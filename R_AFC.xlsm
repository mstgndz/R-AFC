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BuÇalismaKitabi" defaultThemeVersion="166925"/>
  <mc:AlternateContent xmlns:mc="http://schemas.openxmlformats.org/markup-compatibility/2006">
    <mc:Choice Requires="x15">
      <x15ac:absPath xmlns:x15ac="http://schemas.microsoft.com/office/spreadsheetml/2010/11/ac" url="C:\Users\MESUT\Desktop\AFC_R\R-AFC\"/>
    </mc:Choice>
  </mc:AlternateContent>
  <xr:revisionPtr revIDLastSave="0" documentId="13_ncr:1_{A3B78688-55F7-44E2-8970-66770211BE3D}" xr6:coauthVersionLast="47" xr6:coauthVersionMax="47" xr10:uidLastSave="{00000000-0000-0000-0000-000000000000}"/>
  <workbookProtection workbookAlgorithmName="SHA-512" workbookHashValue="iNsmw5Df0f5DOVV4TNfSiaNBPTWhfX8ym3P8EJVxzVeVSXi5oAhRgnGWDBJiPFDV1cfOvF7fNz/EhuZ+KfGR0g==" workbookSaltValue="19ETPF4XC/MiAjzn+nUJYQ==" workbookSpinCount="100000" lockStructure="1"/>
  <bookViews>
    <workbookView xWindow="-120" yWindow="-120" windowWidth="29040" windowHeight="15840" tabRatio="917" activeTab="2" xr2:uid="{F230A151-B715-432B-8134-B25EC643C4B6}"/>
  </bookViews>
  <sheets>
    <sheet name="R-AFC TRACE" sheetId="4" r:id="rId1"/>
    <sheet name="R-AFC TRACE_CONTROL" sheetId="8" state="veryHidden" r:id="rId2"/>
    <sheet name="R-AFC ISOTOPE" sheetId="3" r:id="rId3"/>
    <sheet name="Element Concentration" sheetId="9" r:id="rId4"/>
    <sheet name="Element_Control" sheetId="10" state="veryHidden" r:id="rId5"/>
    <sheet name="R-AFC ISOTOPE_CONTROL" sheetId="5" state="veryHidden" r:id="rId6"/>
  </sheets>
  <calcPr calcId="181029" iterate="1" iterateCount="5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" i="10" l="1"/>
  <c r="F33" i="10" s="1"/>
  <c r="D32" i="10"/>
  <c r="F32" i="10" s="1"/>
  <c r="B21" i="10"/>
  <c r="E6" i="10"/>
  <c r="I6" i="10" s="1"/>
  <c r="M6" i="10" s="1"/>
  <c r="E5" i="10"/>
  <c r="E4" i="10"/>
  <c r="I4" i="10" s="1"/>
  <c r="M4" i="10" s="1"/>
  <c r="J5" i="9" s="1"/>
  <c r="E3" i="10"/>
  <c r="I2" i="10"/>
  <c r="M2" i="10" s="1"/>
  <c r="J3" i="9" s="1"/>
  <c r="C34" i="3"/>
  <c r="C33" i="3"/>
  <c r="C28" i="3" s="1"/>
  <c r="C29" i="3" s="1"/>
  <c r="C33" i="4"/>
  <c r="C36" i="4" s="1"/>
  <c r="C34" i="4"/>
  <c r="H27" i="9"/>
  <c r="E10" i="10" l="1"/>
  <c r="I10" i="10" s="1"/>
  <c r="M10" i="10" s="1"/>
  <c r="Q10" i="10" s="1"/>
  <c r="G18" i="10"/>
  <c r="K18" i="10"/>
  <c r="G19" i="10"/>
  <c r="K19" i="10"/>
  <c r="E7" i="10"/>
  <c r="I7" i="10" s="1"/>
  <c r="M7" i="10" s="1"/>
  <c r="I3" i="10"/>
  <c r="M3" i="10" s="1"/>
  <c r="J4" i="9" s="1"/>
  <c r="E15" i="10"/>
  <c r="I16" i="10" s="1"/>
  <c r="M16" i="10" s="1"/>
  <c r="Q16" i="10" s="1"/>
  <c r="E12" i="10"/>
  <c r="I12" i="10" s="1"/>
  <c r="M12" i="10" s="1"/>
  <c r="E19" i="10"/>
  <c r="I14" i="10" s="1"/>
  <c r="M14" i="10" s="1"/>
  <c r="Q14" i="10" s="1"/>
  <c r="I5" i="10"/>
  <c r="M5" i="10" s="1"/>
  <c r="J6" i="9" s="1"/>
  <c r="E8" i="10"/>
  <c r="I8" i="10" s="1"/>
  <c r="M8" i="10" s="1"/>
  <c r="Q8" i="10" s="1"/>
  <c r="E9" i="10"/>
  <c r="I9" i="10" s="1"/>
  <c r="M9" i="10" s="1"/>
  <c r="Q9" i="10" s="1"/>
  <c r="J27" i="9" s="1"/>
  <c r="E11" i="10"/>
  <c r="I11" i="10" s="1"/>
  <c r="M11" i="10" s="1"/>
  <c r="J8" i="9"/>
  <c r="J9" i="9"/>
  <c r="J11" i="9"/>
  <c r="C28" i="4"/>
  <c r="C29" i="4" s="1"/>
  <c r="H25" i="9"/>
  <c r="H24" i="9"/>
  <c r="C26" i="10" l="1"/>
  <c r="C27" i="10"/>
  <c r="B26" i="10"/>
  <c r="E14" i="10"/>
  <c r="I15" i="10" s="1"/>
  <c r="M15" i="10" s="1"/>
  <c r="Q15" i="10" s="1"/>
  <c r="B27" i="10"/>
  <c r="E17" i="10"/>
  <c r="E13" i="10"/>
  <c r="D26" i="10"/>
  <c r="D27" i="10"/>
  <c r="J12" i="9"/>
  <c r="I13" i="10" l="1"/>
  <c r="M13" i="10" s="1"/>
  <c r="Q13" i="10" s="1"/>
  <c r="D24" i="10"/>
  <c r="D30" i="10" s="1"/>
  <c r="E18" i="10"/>
  <c r="D23" i="10"/>
  <c r="D29" i="10" s="1"/>
  <c r="B24" i="10"/>
  <c r="B30" i="10" s="1"/>
  <c r="B23" i="10"/>
  <c r="B29" i="10" s="1"/>
  <c r="C24" i="10"/>
  <c r="C30" i="10" s="1"/>
  <c r="C23" i="10"/>
  <c r="C29" i="10" s="1"/>
  <c r="E16" i="10"/>
  <c r="I17" i="10" s="1"/>
  <c r="M17" i="10" s="1"/>
  <c r="Q17" i="10" s="1"/>
  <c r="E11" i="8"/>
  <c r="C6" i="8"/>
  <c r="C4" i="8"/>
  <c r="C2" i="8"/>
  <c r="H5" i="8"/>
  <c r="G30" i="10" l="1"/>
  <c r="I19" i="10" s="1"/>
  <c r="M19" i="10" s="1"/>
  <c r="J25" i="9" s="1"/>
  <c r="G29" i="10"/>
  <c r="I18" i="10" s="1"/>
  <c r="M18" i="10" s="1"/>
  <c r="J24" i="9" s="1"/>
  <c r="C8" i="8"/>
  <c r="G7" i="4"/>
  <c r="E27" i="4" l="1"/>
  <c r="C24" i="4"/>
  <c r="C7" i="8"/>
  <c r="C26" i="4" l="1"/>
  <c r="C37" i="4" s="1"/>
  <c r="E123" i="8"/>
  <c r="C35" i="4" l="1"/>
  <c r="L17" i="4"/>
  <c r="D11" i="8" s="1"/>
  <c r="D123" i="8" s="1"/>
  <c r="C118" i="8"/>
  <c r="C117" i="8" s="1"/>
  <c r="C120" i="8"/>
  <c r="C116" i="8"/>
  <c r="C114" i="8"/>
  <c r="K3" i="8" l="1"/>
  <c r="K2" i="8"/>
  <c r="C119" i="8"/>
  <c r="B12" i="8" l="1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" i="8"/>
  <c r="C5" i="8"/>
  <c r="D15" i="5"/>
  <c r="E13" i="5"/>
  <c r="C8" i="5"/>
  <c r="C6" i="5"/>
  <c r="C5" i="5"/>
  <c r="C3" i="5"/>
  <c r="C2" i="5"/>
  <c r="E6" i="5"/>
  <c r="G11" i="8" l="1"/>
  <c r="H11" i="8"/>
  <c r="J11" i="8"/>
  <c r="F11" i="8"/>
  <c r="G99" i="8"/>
  <c r="J99" i="8"/>
  <c r="F99" i="8"/>
  <c r="H99" i="8"/>
  <c r="G87" i="8"/>
  <c r="J87" i="8"/>
  <c r="F87" i="8"/>
  <c r="H87" i="8"/>
  <c r="G75" i="8"/>
  <c r="J75" i="8"/>
  <c r="F75" i="8"/>
  <c r="H75" i="8"/>
  <c r="G59" i="8"/>
  <c r="J59" i="8"/>
  <c r="F59" i="8"/>
  <c r="H59" i="8"/>
  <c r="G47" i="8"/>
  <c r="J47" i="8"/>
  <c r="F47" i="8"/>
  <c r="H47" i="8"/>
  <c r="G31" i="8"/>
  <c r="J31" i="8"/>
  <c r="F31" i="8"/>
  <c r="H31" i="8"/>
  <c r="G15" i="8"/>
  <c r="J15" i="8"/>
  <c r="F15" i="8"/>
  <c r="H15" i="8"/>
  <c r="F110" i="8"/>
  <c r="G110" i="8"/>
  <c r="J110" i="8"/>
  <c r="H110" i="8"/>
  <c r="F106" i="8"/>
  <c r="G106" i="8"/>
  <c r="J106" i="8"/>
  <c r="H106" i="8"/>
  <c r="F102" i="8"/>
  <c r="G102" i="8"/>
  <c r="J102" i="8"/>
  <c r="H102" i="8"/>
  <c r="F98" i="8"/>
  <c r="G98" i="8"/>
  <c r="J98" i="8"/>
  <c r="H98" i="8"/>
  <c r="F94" i="8"/>
  <c r="G94" i="8"/>
  <c r="J94" i="8"/>
  <c r="H94" i="8"/>
  <c r="F90" i="8"/>
  <c r="G90" i="8"/>
  <c r="J90" i="8"/>
  <c r="H90" i="8"/>
  <c r="F86" i="8"/>
  <c r="G86" i="8"/>
  <c r="J86" i="8"/>
  <c r="H86" i="8"/>
  <c r="F82" i="8"/>
  <c r="G82" i="8"/>
  <c r="J82" i="8"/>
  <c r="H82" i="8"/>
  <c r="F78" i="8"/>
  <c r="G78" i="8"/>
  <c r="J78" i="8"/>
  <c r="H78" i="8"/>
  <c r="F74" i="8"/>
  <c r="G74" i="8"/>
  <c r="J74" i="8"/>
  <c r="H74" i="8"/>
  <c r="F70" i="8"/>
  <c r="G70" i="8"/>
  <c r="J70" i="8"/>
  <c r="H70" i="8"/>
  <c r="F66" i="8"/>
  <c r="G66" i="8"/>
  <c r="J66" i="8"/>
  <c r="H66" i="8"/>
  <c r="F62" i="8"/>
  <c r="G62" i="8"/>
  <c r="J62" i="8"/>
  <c r="H62" i="8"/>
  <c r="F58" i="8"/>
  <c r="G58" i="8"/>
  <c r="J58" i="8"/>
  <c r="H58" i="8"/>
  <c r="F54" i="8"/>
  <c r="G54" i="8"/>
  <c r="J54" i="8"/>
  <c r="H54" i="8"/>
  <c r="F50" i="8"/>
  <c r="G50" i="8"/>
  <c r="J50" i="8"/>
  <c r="H50" i="8"/>
  <c r="F46" i="8"/>
  <c r="G46" i="8"/>
  <c r="J46" i="8"/>
  <c r="H46" i="8"/>
  <c r="F42" i="8"/>
  <c r="G42" i="8"/>
  <c r="J42" i="8"/>
  <c r="H42" i="8"/>
  <c r="F38" i="8"/>
  <c r="G38" i="8"/>
  <c r="J38" i="8"/>
  <c r="H38" i="8"/>
  <c r="F34" i="8"/>
  <c r="G34" i="8"/>
  <c r="J34" i="8"/>
  <c r="H34" i="8"/>
  <c r="F30" i="8"/>
  <c r="G30" i="8"/>
  <c r="J30" i="8"/>
  <c r="H30" i="8"/>
  <c r="F26" i="8"/>
  <c r="G26" i="8"/>
  <c r="J26" i="8"/>
  <c r="H26" i="8"/>
  <c r="F22" i="8"/>
  <c r="G22" i="8"/>
  <c r="J22" i="8"/>
  <c r="H22" i="8"/>
  <c r="F18" i="8"/>
  <c r="G18" i="8"/>
  <c r="J18" i="8"/>
  <c r="H18" i="8"/>
  <c r="F14" i="8"/>
  <c r="G14" i="8"/>
  <c r="J14" i="8"/>
  <c r="H14" i="8"/>
  <c r="G103" i="8"/>
  <c r="J103" i="8"/>
  <c r="F103" i="8"/>
  <c r="H103" i="8"/>
  <c r="G91" i="8"/>
  <c r="J91" i="8"/>
  <c r="F91" i="8"/>
  <c r="H91" i="8"/>
  <c r="G79" i="8"/>
  <c r="J79" i="8"/>
  <c r="F79" i="8"/>
  <c r="H79" i="8"/>
  <c r="G71" i="8"/>
  <c r="J71" i="8"/>
  <c r="F71" i="8"/>
  <c r="H71" i="8"/>
  <c r="G63" i="8"/>
  <c r="J63" i="8"/>
  <c r="F63" i="8"/>
  <c r="H63" i="8"/>
  <c r="G51" i="8"/>
  <c r="J51" i="8"/>
  <c r="F51" i="8"/>
  <c r="H51" i="8"/>
  <c r="G39" i="8"/>
  <c r="J39" i="8"/>
  <c r="F39" i="8"/>
  <c r="H39" i="8"/>
  <c r="G27" i="8"/>
  <c r="J27" i="8"/>
  <c r="F27" i="8"/>
  <c r="H27" i="8"/>
  <c r="G23" i="8"/>
  <c r="J23" i="8"/>
  <c r="F23" i="8"/>
  <c r="H23" i="8"/>
  <c r="F109" i="8"/>
  <c r="G109" i="8"/>
  <c r="J109" i="8"/>
  <c r="H109" i="8"/>
  <c r="F105" i="8"/>
  <c r="G105" i="8"/>
  <c r="J105" i="8"/>
  <c r="H105" i="8"/>
  <c r="F101" i="8"/>
  <c r="G101" i="8"/>
  <c r="J101" i="8"/>
  <c r="H101" i="8"/>
  <c r="F97" i="8"/>
  <c r="G97" i="8"/>
  <c r="J97" i="8"/>
  <c r="H97" i="8"/>
  <c r="F93" i="8"/>
  <c r="G93" i="8"/>
  <c r="J93" i="8"/>
  <c r="H93" i="8"/>
  <c r="F89" i="8"/>
  <c r="G89" i="8"/>
  <c r="J89" i="8"/>
  <c r="H89" i="8"/>
  <c r="F85" i="8"/>
  <c r="G85" i="8"/>
  <c r="J85" i="8"/>
  <c r="H85" i="8"/>
  <c r="F81" i="8"/>
  <c r="G81" i="8"/>
  <c r="J81" i="8"/>
  <c r="H81" i="8"/>
  <c r="F77" i="8"/>
  <c r="G77" i="8"/>
  <c r="J77" i="8"/>
  <c r="H77" i="8"/>
  <c r="F73" i="8"/>
  <c r="G73" i="8"/>
  <c r="J73" i="8"/>
  <c r="H73" i="8"/>
  <c r="F69" i="8"/>
  <c r="G69" i="8"/>
  <c r="J69" i="8"/>
  <c r="H69" i="8"/>
  <c r="F65" i="8"/>
  <c r="G65" i="8"/>
  <c r="J65" i="8"/>
  <c r="H65" i="8"/>
  <c r="F61" i="8"/>
  <c r="G61" i="8"/>
  <c r="J61" i="8"/>
  <c r="H61" i="8"/>
  <c r="F57" i="8"/>
  <c r="G57" i="8"/>
  <c r="J57" i="8"/>
  <c r="H57" i="8"/>
  <c r="F53" i="8"/>
  <c r="G53" i="8"/>
  <c r="J53" i="8"/>
  <c r="H53" i="8"/>
  <c r="F49" i="8"/>
  <c r="G49" i="8"/>
  <c r="J49" i="8"/>
  <c r="H49" i="8"/>
  <c r="F45" i="8"/>
  <c r="G45" i="8"/>
  <c r="J45" i="8"/>
  <c r="H45" i="8"/>
  <c r="F41" i="8"/>
  <c r="G41" i="8"/>
  <c r="J41" i="8"/>
  <c r="H41" i="8"/>
  <c r="F37" i="8"/>
  <c r="G37" i="8"/>
  <c r="J37" i="8"/>
  <c r="H37" i="8"/>
  <c r="F33" i="8"/>
  <c r="G33" i="8"/>
  <c r="J33" i="8"/>
  <c r="H33" i="8"/>
  <c r="F29" i="8"/>
  <c r="G29" i="8"/>
  <c r="J29" i="8"/>
  <c r="H29" i="8"/>
  <c r="F25" i="8"/>
  <c r="G25" i="8"/>
  <c r="J25" i="8"/>
  <c r="H25" i="8"/>
  <c r="F21" i="8"/>
  <c r="G21" i="8"/>
  <c r="J21" i="8"/>
  <c r="H21" i="8"/>
  <c r="F17" i="8"/>
  <c r="G17" i="8"/>
  <c r="J17" i="8"/>
  <c r="H17" i="8"/>
  <c r="F13" i="8"/>
  <c r="G13" i="8"/>
  <c r="J13" i="8"/>
  <c r="H13" i="8"/>
  <c r="G107" i="8"/>
  <c r="J107" i="8"/>
  <c r="F107" i="8"/>
  <c r="H107" i="8"/>
  <c r="G95" i="8"/>
  <c r="J95" i="8"/>
  <c r="F95" i="8"/>
  <c r="H95" i="8"/>
  <c r="G83" i="8"/>
  <c r="J83" i="8"/>
  <c r="F83" i="8"/>
  <c r="H83" i="8"/>
  <c r="G67" i="8"/>
  <c r="J67" i="8"/>
  <c r="F67" i="8"/>
  <c r="H67" i="8"/>
  <c r="G55" i="8"/>
  <c r="J55" i="8"/>
  <c r="F55" i="8"/>
  <c r="H55" i="8"/>
  <c r="G43" i="8"/>
  <c r="J43" i="8"/>
  <c r="F43" i="8"/>
  <c r="H43" i="8"/>
  <c r="G35" i="8"/>
  <c r="J35" i="8"/>
  <c r="F35" i="8"/>
  <c r="H35" i="8"/>
  <c r="G19" i="8"/>
  <c r="J19" i="8"/>
  <c r="F19" i="8"/>
  <c r="H19" i="8"/>
  <c r="J108" i="8"/>
  <c r="F108" i="8"/>
  <c r="G108" i="8"/>
  <c r="H108" i="8"/>
  <c r="J104" i="8"/>
  <c r="F104" i="8"/>
  <c r="G104" i="8"/>
  <c r="H104" i="8"/>
  <c r="J100" i="8"/>
  <c r="F100" i="8"/>
  <c r="G100" i="8"/>
  <c r="H100" i="8"/>
  <c r="J96" i="8"/>
  <c r="F96" i="8"/>
  <c r="G96" i="8"/>
  <c r="H96" i="8"/>
  <c r="J92" i="8"/>
  <c r="F92" i="8"/>
  <c r="G92" i="8"/>
  <c r="H92" i="8"/>
  <c r="J88" i="8"/>
  <c r="F88" i="8"/>
  <c r="G88" i="8"/>
  <c r="H88" i="8"/>
  <c r="J84" i="8"/>
  <c r="F84" i="8"/>
  <c r="G84" i="8"/>
  <c r="H84" i="8"/>
  <c r="J80" i="8"/>
  <c r="F80" i="8"/>
  <c r="G80" i="8"/>
  <c r="H80" i="8"/>
  <c r="J76" i="8"/>
  <c r="F76" i="8"/>
  <c r="G76" i="8"/>
  <c r="H76" i="8"/>
  <c r="J72" i="8"/>
  <c r="F72" i="8"/>
  <c r="G72" i="8"/>
  <c r="H72" i="8"/>
  <c r="J68" i="8"/>
  <c r="F68" i="8"/>
  <c r="G68" i="8"/>
  <c r="H68" i="8"/>
  <c r="J64" i="8"/>
  <c r="F64" i="8"/>
  <c r="G64" i="8"/>
  <c r="H64" i="8"/>
  <c r="J60" i="8"/>
  <c r="F60" i="8"/>
  <c r="G60" i="8"/>
  <c r="H60" i="8"/>
  <c r="J56" i="8"/>
  <c r="F56" i="8"/>
  <c r="G56" i="8"/>
  <c r="H56" i="8"/>
  <c r="J52" i="8"/>
  <c r="F52" i="8"/>
  <c r="G52" i="8"/>
  <c r="H52" i="8"/>
  <c r="J48" i="8"/>
  <c r="F48" i="8"/>
  <c r="G48" i="8"/>
  <c r="H48" i="8"/>
  <c r="J44" i="8"/>
  <c r="F44" i="8"/>
  <c r="G44" i="8"/>
  <c r="H44" i="8"/>
  <c r="J40" i="8"/>
  <c r="F40" i="8"/>
  <c r="G40" i="8"/>
  <c r="H40" i="8"/>
  <c r="J36" i="8"/>
  <c r="F36" i="8"/>
  <c r="G36" i="8"/>
  <c r="H36" i="8"/>
  <c r="J32" i="8"/>
  <c r="F32" i="8"/>
  <c r="G32" i="8"/>
  <c r="H32" i="8"/>
  <c r="J28" i="8"/>
  <c r="F28" i="8"/>
  <c r="G28" i="8"/>
  <c r="H28" i="8"/>
  <c r="J24" i="8"/>
  <c r="F24" i="8"/>
  <c r="G24" i="8"/>
  <c r="H24" i="8"/>
  <c r="J20" i="8"/>
  <c r="F20" i="8"/>
  <c r="G20" i="8"/>
  <c r="H20" i="8"/>
  <c r="J16" i="8"/>
  <c r="F16" i="8"/>
  <c r="G16" i="8"/>
  <c r="H16" i="8"/>
  <c r="J12" i="8"/>
  <c r="F12" i="8"/>
  <c r="G12" i="8"/>
  <c r="H12" i="8"/>
  <c r="E126" i="5"/>
  <c r="D126" i="5"/>
  <c r="C121" i="5"/>
  <c r="C120" i="5" s="1"/>
  <c r="C119" i="5"/>
  <c r="C118" i="5"/>
  <c r="C116" i="5"/>
  <c r="C115" i="5"/>
  <c r="I12" i="8" l="1"/>
  <c r="K12" i="8" s="1"/>
  <c r="L12" i="8" s="1"/>
  <c r="M12" i="8" s="1"/>
  <c r="N12" i="8" s="1"/>
  <c r="O12" i="8" s="1"/>
  <c r="P12" i="8" s="1"/>
  <c r="I16" i="8"/>
  <c r="I20" i="8"/>
  <c r="K20" i="8" s="1"/>
  <c r="L20" i="8" s="1"/>
  <c r="M20" i="8" s="1"/>
  <c r="N20" i="8" s="1"/>
  <c r="O20" i="8" s="1"/>
  <c r="P20" i="8" s="1"/>
  <c r="I24" i="8"/>
  <c r="K24" i="8" s="1"/>
  <c r="L24" i="8" s="1"/>
  <c r="M24" i="8" s="1"/>
  <c r="N24" i="8" s="1"/>
  <c r="O24" i="8" s="1"/>
  <c r="P24" i="8" s="1"/>
  <c r="I28" i="8"/>
  <c r="K28" i="8" s="1"/>
  <c r="L28" i="8" s="1"/>
  <c r="M28" i="8" s="1"/>
  <c r="N28" i="8" s="1"/>
  <c r="O28" i="8" s="1"/>
  <c r="P28" i="8" s="1"/>
  <c r="I32" i="8"/>
  <c r="I36" i="8"/>
  <c r="I40" i="8"/>
  <c r="I44" i="8"/>
  <c r="I48" i="8"/>
  <c r="I52" i="8"/>
  <c r="I56" i="8"/>
  <c r="I60" i="8"/>
  <c r="I64" i="8"/>
  <c r="I68" i="8"/>
  <c r="I72" i="8"/>
  <c r="I76" i="8"/>
  <c r="I80" i="8"/>
  <c r="I84" i="8"/>
  <c r="I88" i="8"/>
  <c r="I92" i="8"/>
  <c r="I96" i="8"/>
  <c r="I100" i="8"/>
  <c r="I104" i="8"/>
  <c r="I108" i="8"/>
  <c r="I19" i="8"/>
  <c r="I35" i="8"/>
  <c r="I43" i="8"/>
  <c r="I55" i="8"/>
  <c r="I67" i="8"/>
  <c r="I83" i="8"/>
  <c r="I95" i="8"/>
  <c r="I107" i="8"/>
  <c r="K16" i="8"/>
  <c r="L16" i="8" s="1"/>
  <c r="M16" i="8" s="1"/>
  <c r="N16" i="8" s="1"/>
  <c r="O16" i="8" s="1"/>
  <c r="P16" i="8" s="1"/>
  <c r="I13" i="8"/>
  <c r="I17" i="8"/>
  <c r="I21" i="8"/>
  <c r="I25" i="8"/>
  <c r="I29" i="8"/>
  <c r="I33" i="8"/>
  <c r="I37" i="8"/>
  <c r="I41" i="8"/>
  <c r="I45" i="8"/>
  <c r="I49" i="8"/>
  <c r="I53" i="8"/>
  <c r="I57" i="8"/>
  <c r="I61" i="8"/>
  <c r="I65" i="8"/>
  <c r="I69" i="8"/>
  <c r="I73" i="8"/>
  <c r="I77" i="8"/>
  <c r="I81" i="8"/>
  <c r="I85" i="8"/>
  <c r="I89" i="8"/>
  <c r="I93" i="8"/>
  <c r="I97" i="8"/>
  <c r="I101" i="8"/>
  <c r="I105" i="8"/>
  <c r="I109" i="8"/>
  <c r="I14" i="8"/>
  <c r="I18" i="8"/>
  <c r="I22" i="8"/>
  <c r="I26" i="8"/>
  <c r="I30" i="8"/>
  <c r="K30" i="8" s="1"/>
  <c r="L30" i="8" s="1"/>
  <c r="M30" i="8" s="1"/>
  <c r="N30" i="8" s="1"/>
  <c r="I34" i="8"/>
  <c r="I38" i="8"/>
  <c r="I42" i="8"/>
  <c r="I46" i="8"/>
  <c r="I50" i="8"/>
  <c r="I54" i="8"/>
  <c r="I58" i="8"/>
  <c r="I62" i="8"/>
  <c r="I66" i="8"/>
  <c r="I70" i="8"/>
  <c r="I74" i="8"/>
  <c r="I78" i="8"/>
  <c r="I82" i="8"/>
  <c r="I86" i="8"/>
  <c r="I90" i="8"/>
  <c r="I94" i="8"/>
  <c r="I23" i="8"/>
  <c r="I27" i="8"/>
  <c r="I39" i="8"/>
  <c r="I51" i="8"/>
  <c r="I63" i="8"/>
  <c r="I71" i="8"/>
  <c r="I79" i="8"/>
  <c r="I91" i="8"/>
  <c r="I103" i="8"/>
  <c r="I98" i="8"/>
  <c r="I102" i="8"/>
  <c r="I106" i="8"/>
  <c r="I110" i="8"/>
  <c r="I15" i="8"/>
  <c r="I31" i="8"/>
  <c r="I47" i="8"/>
  <c r="I59" i="8"/>
  <c r="I75" i="8"/>
  <c r="I87" i="8"/>
  <c r="I99" i="8"/>
  <c r="I11" i="8"/>
  <c r="H3" i="5"/>
  <c r="G7" i="3"/>
  <c r="C24" i="3" s="1"/>
  <c r="C26" i="3" s="1"/>
  <c r="H2" i="5"/>
  <c r="C10" i="5"/>
  <c r="C35" i="3" l="1"/>
  <c r="C30" i="3"/>
  <c r="E27" i="3"/>
  <c r="K78" i="8"/>
  <c r="L78" i="8" s="1"/>
  <c r="M78" i="8" s="1"/>
  <c r="N78" i="8" s="1"/>
  <c r="O78" i="8" s="1"/>
  <c r="P78" i="8" s="1"/>
  <c r="K110" i="8"/>
  <c r="L110" i="8" s="1"/>
  <c r="M110" i="8" s="1"/>
  <c r="N110" i="8" s="1"/>
  <c r="O110" i="8" s="1"/>
  <c r="P110" i="8" s="1"/>
  <c r="K39" i="8"/>
  <c r="L39" i="8" s="1"/>
  <c r="M39" i="8" s="1"/>
  <c r="N39" i="8" s="1"/>
  <c r="O39" i="8" s="1"/>
  <c r="P39" i="8" s="1"/>
  <c r="K74" i="8"/>
  <c r="L74" i="8" s="1"/>
  <c r="M74" i="8" s="1"/>
  <c r="N74" i="8" s="1"/>
  <c r="O74" i="8" s="1"/>
  <c r="P74" i="8" s="1"/>
  <c r="K42" i="8"/>
  <c r="L42" i="8" s="1"/>
  <c r="M42" i="8" s="1"/>
  <c r="N42" i="8" s="1"/>
  <c r="O42" i="8" s="1"/>
  <c r="P42" i="8" s="1"/>
  <c r="K109" i="8"/>
  <c r="L109" i="8" s="1"/>
  <c r="M109" i="8" s="1"/>
  <c r="N109" i="8" s="1"/>
  <c r="O109" i="8" s="1"/>
  <c r="P109" i="8" s="1"/>
  <c r="K77" i="8"/>
  <c r="L77" i="8" s="1"/>
  <c r="M77" i="8" s="1"/>
  <c r="N77" i="8" s="1"/>
  <c r="O77" i="8" s="1"/>
  <c r="P77" i="8" s="1"/>
  <c r="K61" i="8"/>
  <c r="L61" i="8" s="1"/>
  <c r="M61" i="8" s="1"/>
  <c r="N61" i="8" s="1"/>
  <c r="O61" i="8" s="1"/>
  <c r="P61" i="8" s="1"/>
  <c r="K45" i="8"/>
  <c r="L45" i="8" s="1"/>
  <c r="M45" i="8" s="1"/>
  <c r="N45" i="8" s="1"/>
  <c r="O45" i="8" s="1"/>
  <c r="P45" i="8" s="1"/>
  <c r="K13" i="8"/>
  <c r="L13" i="8" s="1"/>
  <c r="M13" i="8" s="1"/>
  <c r="N13" i="8" s="1"/>
  <c r="O13" i="8" s="1"/>
  <c r="P13" i="8" s="1"/>
  <c r="K55" i="8"/>
  <c r="L55" i="8" s="1"/>
  <c r="M55" i="8" s="1"/>
  <c r="N55" i="8" s="1"/>
  <c r="O55" i="8" s="1"/>
  <c r="P55" i="8" s="1"/>
  <c r="K108" i="8"/>
  <c r="L108" i="8" s="1"/>
  <c r="M108" i="8" s="1"/>
  <c r="N108" i="8" s="1"/>
  <c r="O108" i="8" s="1"/>
  <c r="P108" i="8" s="1"/>
  <c r="K92" i="8"/>
  <c r="L92" i="8" s="1"/>
  <c r="M92" i="8" s="1"/>
  <c r="N92" i="8" s="1"/>
  <c r="O92" i="8" s="1"/>
  <c r="P92" i="8" s="1"/>
  <c r="K76" i="8"/>
  <c r="L76" i="8" s="1"/>
  <c r="M76" i="8" s="1"/>
  <c r="N76" i="8" s="1"/>
  <c r="O76" i="8" s="1"/>
  <c r="P76" i="8" s="1"/>
  <c r="K60" i="8"/>
  <c r="L60" i="8" s="1"/>
  <c r="M60" i="8" s="1"/>
  <c r="N60" i="8" s="1"/>
  <c r="O60" i="8" s="1"/>
  <c r="P60" i="8" s="1"/>
  <c r="K44" i="8"/>
  <c r="L44" i="8" s="1"/>
  <c r="M44" i="8" s="1"/>
  <c r="N44" i="8" s="1"/>
  <c r="O44" i="8" s="1"/>
  <c r="P44" i="8" s="1"/>
  <c r="K87" i="8"/>
  <c r="L87" i="8" s="1"/>
  <c r="M87" i="8" s="1"/>
  <c r="N87" i="8" s="1"/>
  <c r="O87" i="8" s="1"/>
  <c r="P87" i="8" s="1"/>
  <c r="K31" i="8"/>
  <c r="L31" i="8" s="1"/>
  <c r="M31" i="8" s="1"/>
  <c r="N31" i="8" s="1"/>
  <c r="O31" i="8" s="1"/>
  <c r="P31" i="8" s="1"/>
  <c r="K106" i="8"/>
  <c r="L106" i="8" s="1"/>
  <c r="M106" i="8" s="1"/>
  <c r="N106" i="8" s="1"/>
  <c r="O106" i="8" s="1"/>
  <c r="P106" i="8" s="1"/>
  <c r="K71" i="8"/>
  <c r="L71" i="8" s="1"/>
  <c r="M71" i="8" s="1"/>
  <c r="N71" i="8" s="1"/>
  <c r="O71" i="8" s="1"/>
  <c r="P71" i="8" s="1"/>
  <c r="K27" i="8"/>
  <c r="L27" i="8" s="1"/>
  <c r="M27" i="8" s="1"/>
  <c r="N27" i="8" s="1"/>
  <c r="O27" i="8" s="1"/>
  <c r="P27" i="8" s="1"/>
  <c r="K86" i="8"/>
  <c r="L86" i="8" s="1"/>
  <c r="M86" i="8" s="1"/>
  <c r="N86" i="8" s="1"/>
  <c r="O86" i="8" s="1"/>
  <c r="P86" i="8" s="1"/>
  <c r="K70" i="8"/>
  <c r="L70" i="8" s="1"/>
  <c r="M70" i="8" s="1"/>
  <c r="N70" i="8" s="1"/>
  <c r="O70" i="8" s="1"/>
  <c r="P70" i="8" s="1"/>
  <c r="K54" i="8"/>
  <c r="L54" i="8" s="1"/>
  <c r="M54" i="8" s="1"/>
  <c r="N54" i="8" s="1"/>
  <c r="O54" i="8" s="1"/>
  <c r="P54" i="8" s="1"/>
  <c r="K38" i="8"/>
  <c r="L38" i="8" s="1"/>
  <c r="M38" i="8" s="1"/>
  <c r="N38" i="8" s="1"/>
  <c r="O38" i="8" s="1"/>
  <c r="P38" i="8" s="1"/>
  <c r="K22" i="8"/>
  <c r="L22" i="8" s="1"/>
  <c r="M22" i="8" s="1"/>
  <c r="N22" i="8" s="1"/>
  <c r="O22" i="8" s="1"/>
  <c r="P22" i="8" s="1"/>
  <c r="K105" i="8"/>
  <c r="L105" i="8" s="1"/>
  <c r="M105" i="8" s="1"/>
  <c r="N105" i="8" s="1"/>
  <c r="O105" i="8" s="1"/>
  <c r="P105" i="8" s="1"/>
  <c r="K89" i="8"/>
  <c r="L89" i="8" s="1"/>
  <c r="M89" i="8" s="1"/>
  <c r="N89" i="8" s="1"/>
  <c r="O89" i="8" s="1"/>
  <c r="P89" i="8" s="1"/>
  <c r="K73" i="8"/>
  <c r="L73" i="8" s="1"/>
  <c r="M73" i="8" s="1"/>
  <c r="N73" i="8" s="1"/>
  <c r="O73" i="8" s="1"/>
  <c r="P73" i="8" s="1"/>
  <c r="K57" i="8"/>
  <c r="L57" i="8" s="1"/>
  <c r="M57" i="8" s="1"/>
  <c r="N57" i="8" s="1"/>
  <c r="O57" i="8" s="1"/>
  <c r="P57" i="8" s="1"/>
  <c r="K41" i="8"/>
  <c r="L41" i="8" s="1"/>
  <c r="M41" i="8" s="1"/>
  <c r="N41" i="8" s="1"/>
  <c r="O41" i="8" s="1"/>
  <c r="P41" i="8" s="1"/>
  <c r="K25" i="8"/>
  <c r="L25" i="8" s="1"/>
  <c r="M25" i="8" s="1"/>
  <c r="N25" i="8" s="1"/>
  <c r="O25" i="8" s="1"/>
  <c r="P25" i="8" s="1"/>
  <c r="K107" i="8"/>
  <c r="L107" i="8" s="1"/>
  <c r="M107" i="8" s="1"/>
  <c r="N107" i="8" s="1"/>
  <c r="O107" i="8" s="1"/>
  <c r="P107" i="8" s="1"/>
  <c r="K95" i="8"/>
  <c r="L95" i="8" s="1"/>
  <c r="M95" i="8" s="1"/>
  <c r="N95" i="8" s="1"/>
  <c r="O95" i="8" s="1"/>
  <c r="P95" i="8" s="1"/>
  <c r="K43" i="8"/>
  <c r="L43" i="8" s="1"/>
  <c r="M43" i="8" s="1"/>
  <c r="N43" i="8" s="1"/>
  <c r="O43" i="8" s="1"/>
  <c r="P43" i="8" s="1"/>
  <c r="K104" i="8"/>
  <c r="L104" i="8" s="1"/>
  <c r="M104" i="8" s="1"/>
  <c r="N104" i="8" s="1"/>
  <c r="O104" i="8" s="1"/>
  <c r="P104" i="8" s="1"/>
  <c r="K88" i="8"/>
  <c r="L88" i="8" s="1"/>
  <c r="M88" i="8" s="1"/>
  <c r="N88" i="8" s="1"/>
  <c r="O88" i="8" s="1"/>
  <c r="P88" i="8" s="1"/>
  <c r="K72" i="8"/>
  <c r="L72" i="8" s="1"/>
  <c r="M72" i="8" s="1"/>
  <c r="N72" i="8" s="1"/>
  <c r="O72" i="8" s="1"/>
  <c r="P72" i="8" s="1"/>
  <c r="K56" i="8"/>
  <c r="L56" i="8" s="1"/>
  <c r="M56" i="8" s="1"/>
  <c r="N56" i="8" s="1"/>
  <c r="O56" i="8" s="1"/>
  <c r="P56" i="8" s="1"/>
  <c r="K40" i="8"/>
  <c r="L40" i="8" s="1"/>
  <c r="M40" i="8" s="1"/>
  <c r="N40" i="8" s="1"/>
  <c r="O40" i="8" s="1"/>
  <c r="P40" i="8" s="1"/>
  <c r="K47" i="8"/>
  <c r="L47" i="8" s="1"/>
  <c r="M47" i="8" s="1"/>
  <c r="N47" i="8" s="1"/>
  <c r="O47" i="8" s="1"/>
  <c r="P47" i="8" s="1"/>
  <c r="K58" i="8"/>
  <c r="L58" i="8" s="1"/>
  <c r="M58" i="8" s="1"/>
  <c r="N58" i="8" s="1"/>
  <c r="O58" i="8" s="1"/>
  <c r="P58" i="8" s="1"/>
  <c r="K93" i="8"/>
  <c r="L93" i="8" s="1"/>
  <c r="M93" i="8" s="1"/>
  <c r="N93" i="8" s="1"/>
  <c r="O93" i="8" s="1"/>
  <c r="P93" i="8" s="1"/>
  <c r="K29" i="8"/>
  <c r="L29" i="8" s="1"/>
  <c r="M29" i="8" s="1"/>
  <c r="N29" i="8" s="1"/>
  <c r="O29" i="8" s="1"/>
  <c r="P29" i="8" s="1"/>
  <c r="K102" i="8"/>
  <c r="L102" i="8" s="1"/>
  <c r="M102" i="8" s="1"/>
  <c r="N102" i="8" s="1"/>
  <c r="O102" i="8" s="1"/>
  <c r="P102" i="8" s="1"/>
  <c r="K103" i="8"/>
  <c r="L103" i="8" s="1"/>
  <c r="M103" i="8" s="1"/>
  <c r="N103" i="8" s="1"/>
  <c r="O103" i="8" s="1"/>
  <c r="P103" i="8" s="1"/>
  <c r="K63" i="8"/>
  <c r="L63" i="8" s="1"/>
  <c r="M63" i="8" s="1"/>
  <c r="N63" i="8" s="1"/>
  <c r="O63" i="8" s="1"/>
  <c r="P63" i="8" s="1"/>
  <c r="K23" i="8"/>
  <c r="L23" i="8" s="1"/>
  <c r="M23" i="8" s="1"/>
  <c r="N23" i="8" s="1"/>
  <c r="O23" i="8" s="1"/>
  <c r="P23" i="8" s="1"/>
  <c r="K82" i="8"/>
  <c r="L82" i="8" s="1"/>
  <c r="M82" i="8" s="1"/>
  <c r="N82" i="8" s="1"/>
  <c r="O82" i="8" s="1"/>
  <c r="P82" i="8" s="1"/>
  <c r="K66" i="8"/>
  <c r="L66" i="8" s="1"/>
  <c r="M66" i="8" s="1"/>
  <c r="N66" i="8" s="1"/>
  <c r="O66" i="8" s="1"/>
  <c r="P66" i="8" s="1"/>
  <c r="K50" i="8"/>
  <c r="L50" i="8" s="1"/>
  <c r="M50" i="8" s="1"/>
  <c r="N50" i="8" s="1"/>
  <c r="O50" i="8" s="1"/>
  <c r="P50" i="8" s="1"/>
  <c r="K34" i="8"/>
  <c r="L34" i="8" s="1"/>
  <c r="M34" i="8" s="1"/>
  <c r="N34" i="8" s="1"/>
  <c r="O34" i="8" s="1"/>
  <c r="P34" i="8" s="1"/>
  <c r="K18" i="8"/>
  <c r="L18" i="8" s="1"/>
  <c r="M18" i="8" s="1"/>
  <c r="N18" i="8" s="1"/>
  <c r="O18" i="8" s="1"/>
  <c r="P18" i="8" s="1"/>
  <c r="K101" i="8"/>
  <c r="L101" i="8" s="1"/>
  <c r="M101" i="8" s="1"/>
  <c r="N101" i="8" s="1"/>
  <c r="O101" i="8" s="1"/>
  <c r="P101" i="8" s="1"/>
  <c r="K85" i="8"/>
  <c r="L85" i="8" s="1"/>
  <c r="M85" i="8" s="1"/>
  <c r="N85" i="8" s="1"/>
  <c r="O85" i="8" s="1"/>
  <c r="P85" i="8" s="1"/>
  <c r="K69" i="8"/>
  <c r="L69" i="8" s="1"/>
  <c r="M69" i="8" s="1"/>
  <c r="N69" i="8" s="1"/>
  <c r="O69" i="8" s="1"/>
  <c r="P69" i="8" s="1"/>
  <c r="K53" i="8"/>
  <c r="L53" i="8" s="1"/>
  <c r="M53" i="8" s="1"/>
  <c r="N53" i="8" s="1"/>
  <c r="O53" i="8" s="1"/>
  <c r="P53" i="8" s="1"/>
  <c r="K37" i="8"/>
  <c r="L37" i="8" s="1"/>
  <c r="M37" i="8" s="1"/>
  <c r="N37" i="8" s="1"/>
  <c r="O37" i="8" s="1"/>
  <c r="P37" i="8" s="1"/>
  <c r="K21" i="8"/>
  <c r="L21" i="8" s="1"/>
  <c r="M21" i="8" s="1"/>
  <c r="N21" i="8" s="1"/>
  <c r="O21" i="8" s="1"/>
  <c r="P21" i="8" s="1"/>
  <c r="K83" i="8"/>
  <c r="L83" i="8" s="1"/>
  <c r="M83" i="8" s="1"/>
  <c r="N83" i="8" s="1"/>
  <c r="O83" i="8" s="1"/>
  <c r="P83" i="8" s="1"/>
  <c r="K35" i="8"/>
  <c r="L35" i="8" s="1"/>
  <c r="M35" i="8" s="1"/>
  <c r="N35" i="8" s="1"/>
  <c r="O35" i="8" s="1"/>
  <c r="P35" i="8" s="1"/>
  <c r="K100" i="8"/>
  <c r="L100" i="8" s="1"/>
  <c r="M100" i="8" s="1"/>
  <c r="N100" i="8" s="1"/>
  <c r="O100" i="8" s="1"/>
  <c r="P100" i="8" s="1"/>
  <c r="K84" i="8"/>
  <c r="L84" i="8" s="1"/>
  <c r="M84" i="8" s="1"/>
  <c r="N84" i="8" s="1"/>
  <c r="O84" i="8" s="1"/>
  <c r="P84" i="8" s="1"/>
  <c r="K68" i="8"/>
  <c r="L68" i="8" s="1"/>
  <c r="M68" i="8" s="1"/>
  <c r="N68" i="8" s="1"/>
  <c r="O68" i="8" s="1"/>
  <c r="P68" i="8" s="1"/>
  <c r="K52" i="8"/>
  <c r="L52" i="8" s="1"/>
  <c r="M52" i="8" s="1"/>
  <c r="N52" i="8" s="1"/>
  <c r="O52" i="8" s="1"/>
  <c r="P52" i="8" s="1"/>
  <c r="K36" i="8"/>
  <c r="L36" i="8" s="1"/>
  <c r="M36" i="8" s="1"/>
  <c r="N36" i="8" s="1"/>
  <c r="O36" i="8" s="1"/>
  <c r="P36" i="8" s="1"/>
  <c r="K99" i="8"/>
  <c r="L99" i="8" s="1"/>
  <c r="M99" i="8" s="1"/>
  <c r="N99" i="8" s="1"/>
  <c r="O99" i="8" s="1"/>
  <c r="P99" i="8" s="1"/>
  <c r="K79" i="8"/>
  <c r="L79" i="8" s="1"/>
  <c r="M79" i="8" s="1"/>
  <c r="N79" i="8" s="1"/>
  <c r="O79" i="8" s="1"/>
  <c r="P79" i="8" s="1"/>
  <c r="K90" i="8"/>
  <c r="L90" i="8" s="1"/>
  <c r="M90" i="8" s="1"/>
  <c r="N90" i="8" s="1"/>
  <c r="O90" i="8" s="1"/>
  <c r="P90" i="8" s="1"/>
  <c r="K26" i="8"/>
  <c r="L26" i="8" s="1"/>
  <c r="M26" i="8" s="1"/>
  <c r="N26" i="8" s="1"/>
  <c r="O26" i="8" s="1"/>
  <c r="P26" i="8" s="1"/>
  <c r="K75" i="8"/>
  <c r="L75" i="8" s="1"/>
  <c r="M75" i="8" s="1"/>
  <c r="N75" i="8" s="1"/>
  <c r="O75" i="8" s="1"/>
  <c r="P75" i="8" s="1"/>
  <c r="K15" i="8"/>
  <c r="L15" i="8" s="1"/>
  <c r="M15" i="8" s="1"/>
  <c r="N15" i="8" s="1"/>
  <c r="O15" i="8" s="1"/>
  <c r="P15" i="8" s="1"/>
  <c r="K11" i="8"/>
  <c r="L11" i="8" s="1"/>
  <c r="K59" i="8"/>
  <c r="L59" i="8" s="1"/>
  <c r="M59" i="8" s="1"/>
  <c r="N59" i="8" s="1"/>
  <c r="O59" i="8" s="1"/>
  <c r="P59" i="8" s="1"/>
  <c r="K98" i="8"/>
  <c r="L98" i="8" s="1"/>
  <c r="M98" i="8" s="1"/>
  <c r="N98" i="8" s="1"/>
  <c r="O98" i="8" s="1"/>
  <c r="P98" i="8" s="1"/>
  <c r="K91" i="8"/>
  <c r="L91" i="8" s="1"/>
  <c r="M91" i="8" s="1"/>
  <c r="N91" i="8" s="1"/>
  <c r="O91" i="8" s="1"/>
  <c r="P91" i="8" s="1"/>
  <c r="K51" i="8"/>
  <c r="L51" i="8" s="1"/>
  <c r="M51" i="8" s="1"/>
  <c r="N51" i="8" s="1"/>
  <c r="O51" i="8" s="1"/>
  <c r="P51" i="8" s="1"/>
  <c r="K94" i="8"/>
  <c r="L94" i="8" s="1"/>
  <c r="M94" i="8" s="1"/>
  <c r="N94" i="8" s="1"/>
  <c r="O94" i="8" s="1"/>
  <c r="P94" i="8" s="1"/>
  <c r="K62" i="8"/>
  <c r="L62" i="8" s="1"/>
  <c r="M62" i="8" s="1"/>
  <c r="N62" i="8" s="1"/>
  <c r="O62" i="8" s="1"/>
  <c r="P62" i="8" s="1"/>
  <c r="K46" i="8"/>
  <c r="L46" i="8" s="1"/>
  <c r="M46" i="8" s="1"/>
  <c r="N46" i="8" s="1"/>
  <c r="O46" i="8" s="1"/>
  <c r="P46" i="8" s="1"/>
  <c r="O30" i="8"/>
  <c r="P30" i="8" s="1"/>
  <c r="K14" i="8"/>
  <c r="L14" i="8" s="1"/>
  <c r="M14" i="8" s="1"/>
  <c r="N14" i="8" s="1"/>
  <c r="O14" i="8" s="1"/>
  <c r="P14" i="8" s="1"/>
  <c r="K97" i="8"/>
  <c r="L97" i="8" s="1"/>
  <c r="M97" i="8" s="1"/>
  <c r="N97" i="8" s="1"/>
  <c r="O97" i="8" s="1"/>
  <c r="P97" i="8" s="1"/>
  <c r="K81" i="8"/>
  <c r="L81" i="8" s="1"/>
  <c r="M81" i="8" s="1"/>
  <c r="N81" i="8" s="1"/>
  <c r="O81" i="8" s="1"/>
  <c r="P81" i="8" s="1"/>
  <c r="K65" i="8"/>
  <c r="L65" i="8" s="1"/>
  <c r="M65" i="8" s="1"/>
  <c r="N65" i="8" s="1"/>
  <c r="O65" i="8" s="1"/>
  <c r="P65" i="8" s="1"/>
  <c r="K49" i="8"/>
  <c r="L49" i="8" s="1"/>
  <c r="M49" i="8" s="1"/>
  <c r="N49" i="8" s="1"/>
  <c r="O49" i="8" s="1"/>
  <c r="P49" i="8" s="1"/>
  <c r="K33" i="8"/>
  <c r="L33" i="8" s="1"/>
  <c r="M33" i="8" s="1"/>
  <c r="N33" i="8" s="1"/>
  <c r="O33" i="8" s="1"/>
  <c r="P33" i="8" s="1"/>
  <c r="K17" i="8"/>
  <c r="L17" i="8" s="1"/>
  <c r="M17" i="8" s="1"/>
  <c r="N17" i="8" s="1"/>
  <c r="O17" i="8" s="1"/>
  <c r="P17" i="8" s="1"/>
  <c r="K67" i="8"/>
  <c r="L67" i="8" s="1"/>
  <c r="M67" i="8" s="1"/>
  <c r="N67" i="8" s="1"/>
  <c r="O67" i="8" s="1"/>
  <c r="P67" i="8" s="1"/>
  <c r="K19" i="8"/>
  <c r="L19" i="8" s="1"/>
  <c r="M19" i="8" s="1"/>
  <c r="N19" i="8" s="1"/>
  <c r="O19" i="8" s="1"/>
  <c r="P19" i="8" s="1"/>
  <c r="K96" i="8"/>
  <c r="L96" i="8" s="1"/>
  <c r="M96" i="8" s="1"/>
  <c r="N96" i="8" s="1"/>
  <c r="O96" i="8" s="1"/>
  <c r="P96" i="8" s="1"/>
  <c r="K80" i="8"/>
  <c r="L80" i="8" s="1"/>
  <c r="M80" i="8" s="1"/>
  <c r="N80" i="8" s="1"/>
  <c r="O80" i="8" s="1"/>
  <c r="P80" i="8" s="1"/>
  <c r="K64" i="8"/>
  <c r="L64" i="8" s="1"/>
  <c r="M64" i="8" s="1"/>
  <c r="N64" i="8" s="1"/>
  <c r="O64" i="8" s="1"/>
  <c r="P64" i="8" s="1"/>
  <c r="K48" i="8"/>
  <c r="L48" i="8" s="1"/>
  <c r="M48" i="8" s="1"/>
  <c r="N48" i="8" s="1"/>
  <c r="O48" i="8" s="1"/>
  <c r="P48" i="8" s="1"/>
  <c r="K32" i="8"/>
  <c r="L32" i="8" s="1"/>
  <c r="M32" i="8" s="1"/>
  <c r="N32" i="8" s="1"/>
  <c r="O32" i="8" s="1"/>
  <c r="P32" i="8" s="1"/>
  <c r="B44" i="5"/>
  <c r="B30" i="5"/>
  <c r="F30" i="5" s="1"/>
  <c r="B61" i="5"/>
  <c r="B106" i="5"/>
  <c r="F106" i="5" s="1"/>
  <c r="B50" i="5"/>
  <c r="F50" i="5" s="1"/>
  <c r="B20" i="5"/>
  <c r="B27" i="5"/>
  <c r="F27" i="5" s="1"/>
  <c r="B15" i="5"/>
  <c r="F15" i="5" s="1"/>
  <c r="B28" i="5"/>
  <c r="B69" i="5"/>
  <c r="B66" i="5"/>
  <c r="B99" i="5"/>
  <c r="J99" i="5" s="1"/>
  <c r="B32" i="5"/>
  <c r="J32" i="5" s="1"/>
  <c r="B47" i="5"/>
  <c r="B14" i="5"/>
  <c r="J14" i="5" s="1"/>
  <c r="B37" i="5"/>
  <c r="J37" i="5" s="1"/>
  <c r="B82" i="5"/>
  <c r="B68" i="5"/>
  <c r="B56" i="5"/>
  <c r="F56" i="5" s="1"/>
  <c r="B52" i="5"/>
  <c r="F52" i="5" s="1"/>
  <c r="B64" i="5"/>
  <c r="J64" i="5" s="1"/>
  <c r="B63" i="5"/>
  <c r="B112" i="5"/>
  <c r="B17" i="5"/>
  <c r="B81" i="5"/>
  <c r="B36" i="5"/>
  <c r="B16" i="5"/>
  <c r="B35" i="5"/>
  <c r="J35" i="5" s="1"/>
  <c r="B42" i="5"/>
  <c r="B90" i="5"/>
  <c r="B88" i="5"/>
  <c r="B84" i="5"/>
  <c r="J84" i="5" s="1"/>
  <c r="B92" i="5"/>
  <c r="B87" i="5"/>
  <c r="J87" i="5" s="1"/>
  <c r="B31" i="5"/>
  <c r="B38" i="5"/>
  <c r="J38" i="5" s="1"/>
  <c r="B65" i="5"/>
  <c r="B25" i="5"/>
  <c r="F25" i="5" s="1"/>
  <c r="B70" i="5"/>
  <c r="B102" i="5"/>
  <c r="J102" i="5" s="1"/>
  <c r="B45" i="5"/>
  <c r="J45" i="5" s="1"/>
  <c r="B93" i="5"/>
  <c r="J93" i="5" s="1"/>
  <c r="B105" i="5"/>
  <c r="B48" i="5"/>
  <c r="B60" i="5"/>
  <c r="B80" i="5"/>
  <c r="B43" i="5"/>
  <c r="F43" i="5" s="1"/>
  <c r="B19" i="5"/>
  <c r="B22" i="5"/>
  <c r="F22" i="5" s="1"/>
  <c r="B49" i="5"/>
  <c r="J49" i="5" s="1"/>
  <c r="B58" i="5"/>
  <c r="F58" i="5" s="1"/>
  <c r="B86" i="5"/>
  <c r="B71" i="5"/>
  <c r="B76" i="5"/>
  <c r="B85" i="5"/>
  <c r="B95" i="5"/>
  <c r="B51" i="5"/>
  <c r="F51" i="5" s="1"/>
  <c r="B89" i="5"/>
  <c r="B103" i="5"/>
  <c r="B29" i="5"/>
  <c r="B13" i="5"/>
  <c r="B75" i="5"/>
  <c r="B96" i="5"/>
  <c r="B101" i="5"/>
  <c r="J101" i="5" s="1"/>
  <c r="B107" i="5"/>
  <c r="B79" i="5"/>
  <c r="B97" i="5"/>
  <c r="F97" i="5" s="1"/>
  <c r="B67" i="5"/>
  <c r="J67" i="5" s="1"/>
  <c r="B104" i="5"/>
  <c r="B83" i="5"/>
  <c r="J83" i="5" s="1"/>
  <c r="B55" i="5"/>
  <c r="B110" i="5"/>
  <c r="F110" i="5" s="1"/>
  <c r="B94" i="5"/>
  <c r="B78" i="5"/>
  <c r="J78" i="5" s="1"/>
  <c r="B62" i="5"/>
  <c r="F62" i="5" s="1"/>
  <c r="B41" i="5"/>
  <c r="F41" i="5" s="1"/>
  <c r="B73" i="5"/>
  <c r="B57" i="5"/>
  <c r="B21" i="5"/>
  <c r="J21" i="5" s="1"/>
  <c r="B18" i="5"/>
  <c r="B34" i="5"/>
  <c r="J34" i="5" s="1"/>
  <c r="B40" i="5"/>
  <c r="F40" i="5" s="1"/>
  <c r="B24" i="5"/>
  <c r="B39" i="5"/>
  <c r="J39" i="5" s="1"/>
  <c r="B23" i="5"/>
  <c r="B46" i="5"/>
  <c r="F46" i="5" s="1"/>
  <c r="B26" i="5"/>
  <c r="F26" i="5" s="1"/>
  <c r="B53" i="5"/>
  <c r="B54" i="5"/>
  <c r="F54" i="5" s="1"/>
  <c r="B74" i="5"/>
  <c r="F74" i="5" s="1"/>
  <c r="B98" i="5"/>
  <c r="J98" i="5" s="1"/>
  <c r="B77" i="5"/>
  <c r="J77" i="5" s="1"/>
  <c r="B109" i="5"/>
  <c r="J109" i="5" s="1"/>
  <c r="B33" i="5"/>
  <c r="B91" i="5"/>
  <c r="B59" i="5"/>
  <c r="J59" i="5" s="1"/>
  <c r="B100" i="5"/>
  <c r="B108" i="5"/>
  <c r="B72" i="5"/>
  <c r="C9" i="5"/>
  <c r="B111" i="5"/>
  <c r="F13" i="5" l="1"/>
  <c r="J13" i="5"/>
  <c r="M11" i="8"/>
  <c r="N11" i="8" s="1"/>
  <c r="O11" i="8" s="1"/>
  <c r="P11" i="8" s="1"/>
  <c r="P8" i="8" s="1"/>
  <c r="J7" i="8" s="1"/>
  <c r="F112" i="5"/>
  <c r="F37" i="5"/>
  <c r="J106" i="5"/>
  <c r="J56" i="5"/>
  <c r="F66" i="5"/>
  <c r="J44" i="5"/>
  <c r="F61" i="5"/>
  <c r="F44" i="5"/>
  <c r="J30" i="5"/>
  <c r="J61" i="5"/>
  <c r="F70" i="5"/>
  <c r="J63" i="5"/>
  <c r="J65" i="5"/>
  <c r="J86" i="5"/>
  <c r="J69" i="5"/>
  <c r="J50" i="5"/>
  <c r="F14" i="5"/>
  <c r="J66" i="5"/>
  <c r="J20" i="5"/>
  <c r="J112" i="5"/>
  <c r="J68" i="5"/>
  <c r="F68" i="5"/>
  <c r="F20" i="5"/>
  <c r="F86" i="5"/>
  <c r="J52" i="5"/>
  <c r="J27" i="5"/>
  <c r="F42" i="5"/>
  <c r="J70" i="5"/>
  <c r="J42" i="5"/>
  <c r="F28" i="5"/>
  <c r="J94" i="5"/>
  <c r="J88" i="5"/>
  <c r="J28" i="5"/>
  <c r="J54" i="5"/>
  <c r="F65" i="5"/>
  <c r="F94" i="5"/>
  <c r="F63" i="5"/>
  <c r="F76" i="5"/>
  <c r="J76" i="5"/>
  <c r="F48" i="5"/>
  <c r="J48" i="5"/>
  <c r="F88" i="5"/>
  <c r="F16" i="5"/>
  <c r="F69" i="5"/>
  <c r="J15" i="5"/>
  <c r="J26" i="5"/>
  <c r="F32" i="5"/>
  <c r="J90" i="5"/>
  <c r="F99" i="5"/>
  <c r="F90" i="5"/>
  <c r="J71" i="5"/>
  <c r="J81" i="5"/>
  <c r="F82" i="5"/>
  <c r="F17" i="5"/>
  <c r="J17" i="5"/>
  <c r="J85" i="5"/>
  <c r="J43" i="5"/>
  <c r="J80" i="5"/>
  <c r="J60" i="5"/>
  <c r="F60" i="5"/>
  <c r="F87" i="5"/>
  <c r="F92" i="5"/>
  <c r="J92" i="5"/>
  <c r="F64" i="5"/>
  <c r="F47" i="5"/>
  <c r="J47" i="5"/>
  <c r="F35" i="5"/>
  <c r="F71" i="5"/>
  <c r="F80" i="5"/>
  <c r="J82" i="5"/>
  <c r="F85" i="5"/>
  <c r="F81" i="5"/>
  <c r="F36" i="5"/>
  <c r="J19" i="5"/>
  <c r="F34" i="5"/>
  <c r="J36" i="5"/>
  <c r="J110" i="5"/>
  <c r="J22" i="5"/>
  <c r="J51" i="5"/>
  <c r="F31" i="5"/>
  <c r="F49" i="5"/>
  <c r="J31" i="5"/>
  <c r="F93" i="5"/>
  <c r="J58" i="5"/>
  <c r="F102" i="5"/>
  <c r="F38" i="5"/>
  <c r="J16" i="5"/>
  <c r="F84" i="5"/>
  <c r="F45" i="5"/>
  <c r="J53" i="5"/>
  <c r="F53" i="5"/>
  <c r="F24" i="5"/>
  <c r="J24" i="5"/>
  <c r="J41" i="5"/>
  <c r="J107" i="5"/>
  <c r="F107" i="5"/>
  <c r="J103" i="5"/>
  <c r="J89" i="5"/>
  <c r="F89" i="5"/>
  <c r="F95" i="5"/>
  <c r="J95" i="5"/>
  <c r="J105" i="5"/>
  <c r="F105" i="5"/>
  <c r="J46" i="5"/>
  <c r="J25" i="5"/>
  <c r="F77" i="5"/>
  <c r="F39" i="5"/>
  <c r="F19" i="5"/>
  <c r="F103" i="5"/>
  <c r="F59" i="5"/>
  <c r="F23" i="5"/>
  <c r="J73" i="5"/>
  <c r="F73" i="5"/>
  <c r="J23" i="5"/>
  <c r="F109" i="5"/>
  <c r="F104" i="5"/>
  <c r="J104" i="5"/>
  <c r="J75" i="5"/>
  <c r="F75" i="5"/>
  <c r="J29" i="5"/>
  <c r="F29" i="5"/>
  <c r="J74" i="5"/>
  <c r="F57" i="5"/>
  <c r="F96" i="5"/>
  <c r="J96" i="5"/>
  <c r="F108" i="5"/>
  <c r="J108" i="5"/>
  <c r="J100" i="5"/>
  <c r="F100" i="5"/>
  <c r="J33" i="5"/>
  <c r="F33" i="5"/>
  <c r="F78" i="5"/>
  <c r="J57" i="5"/>
  <c r="J62" i="5"/>
  <c r="J97" i="5"/>
  <c r="F79" i="5"/>
  <c r="F67" i="5"/>
  <c r="J40" i="5"/>
  <c r="J18" i="5"/>
  <c r="J72" i="5"/>
  <c r="F72" i="5"/>
  <c r="J55" i="5"/>
  <c r="F55" i="5"/>
  <c r="F21" i="5"/>
  <c r="F98" i="5"/>
  <c r="F18" i="5"/>
  <c r="J79" i="5"/>
  <c r="F91" i="5"/>
  <c r="J91" i="5"/>
  <c r="F83" i="5"/>
  <c r="F101" i="5"/>
  <c r="F111" i="5"/>
  <c r="J111" i="5"/>
  <c r="K6" i="8" l="1"/>
  <c r="G13" i="4"/>
  <c r="Q15" i="8"/>
  <c r="Q94" i="8"/>
  <c r="Q74" i="8"/>
  <c r="Q50" i="8"/>
  <c r="Q34" i="8"/>
  <c r="Q18" i="8"/>
  <c r="Q93" i="8"/>
  <c r="Q77" i="8"/>
  <c r="Q61" i="8"/>
  <c r="Q45" i="8"/>
  <c r="Q29" i="8"/>
  <c r="Q13" i="8"/>
  <c r="Q96" i="8"/>
  <c r="Q80" i="8"/>
  <c r="Q64" i="8"/>
  <c r="Q48" i="8"/>
  <c r="Q32" i="8"/>
  <c r="Q16" i="8"/>
  <c r="Q70" i="8"/>
  <c r="Q11" i="8"/>
  <c r="Q95" i="8"/>
  <c r="Q79" i="8"/>
  <c r="Q63" i="8"/>
  <c r="Q47" i="8"/>
  <c r="Q31" i="8"/>
  <c r="Q42" i="8"/>
  <c r="Q69" i="8"/>
  <c r="Q37" i="8"/>
  <c r="Q104" i="8"/>
  <c r="Q72" i="8"/>
  <c r="Q40" i="8"/>
  <c r="Q98" i="8"/>
  <c r="Q103" i="8"/>
  <c r="Q55" i="8"/>
  <c r="Q23" i="8"/>
  <c r="Q78" i="8"/>
  <c r="Q38" i="8"/>
  <c r="Q97" i="8"/>
  <c r="Q65" i="8"/>
  <c r="Q33" i="8"/>
  <c r="Q100" i="8"/>
  <c r="Q52" i="8"/>
  <c r="Q20" i="8"/>
  <c r="Q109" i="8"/>
  <c r="Q83" i="8"/>
  <c r="Q51" i="8"/>
  <c r="Q110" i="8"/>
  <c r="Q90" i="8"/>
  <c r="Q66" i="8"/>
  <c r="Q46" i="8"/>
  <c r="Q30" i="8"/>
  <c r="Q105" i="8"/>
  <c r="Q89" i="8"/>
  <c r="Q73" i="8"/>
  <c r="Q57" i="8"/>
  <c r="Q41" i="8"/>
  <c r="Q25" i="8"/>
  <c r="Q108" i="8"/>
  <c r="Q92" i="8"/>
  <c r="Q76" i="8"/>
  <c r="Q60" i="8"/>
  <c r="Q44" i="8"/>
  <c r="Q28" i="8"/>
  <c r="Q12" i="8"/>
  <c r="Q54" i="8"/>
  <c r="Q107" i="8"/>
  <c r="Q91" i="8"/>
  <c r="Q75" i="8"/>
  <c r="Q59" i="8"/>
  <c r="Q43" i="8"/>
  <c r="Q27" i="8"/>
  <c r="Q106" i="8"/>
  <c r="Q82" i="8"/>
  <c r="Q62" i="8"/>
  <c r="Q26" i="8"/>
  <c r="Q101" i="8"/>
  <c r="Q85" i="8"/>
  <c r="Q53" i="8"/>
  <c r="Q21" i="8"/>
  <c r="Q88" i="8"/>
  <c r="Q56" i="8"/>
  <c r="Q24" i="8"/>
  <c r="Q14" i="8"/>
  <c r="Q87" i="8"/>
  <c r="Q71" i="8"/>
  <c r="Q39" i="8"/>
  <c r="Q102" i="8"/>
  <c r="Q58" i="8"/>
  <c r="Q22" i="8"/>
  <c r="Q81" i="8"/>
  <c r="Q49" i="8"/>
  <c r="Q17" i="8"/>
  <c r="Q84" i="8"/>
  <c r="Q68" i="8"/>
  <c r="Q36" i="8"/>
  <c r="Q86" i="8"/>
  <c r="Q99" i="8"/>
  <c r="Q67" i="8"/>
  <c r="Q35" i="8"/>
  <c r="Q19" i="8"/>
  <c r="Q8" i="8" l="1"/>
  <c r="H7" i="8" s="1"/>
  <c r="L6" i="8"/>
  <c r="C31" i="4"/>
  <c r="G26" i="4" l="1"/>
  <c r="G23" i="4"/>
  <c r="G24" i="4" s="1"/>
  <c r="G27" i="4" s="1"/>
  <c r="F8" i="8"/>
  <c r="C38" i="4" s="1"/>
  <c r="H2" i="8"/>
  <c r="O2" i="8" s="1"/>
  <c r="H8" i="8" s="1"/>
  <c r="G16" i="4" s="1"/>
  <c r="G19" i="4" s="1"/>
  <c r="H3" i="8"/>
  <c r="C126" i="8" l="1"/>
  <c r="C130" i="8"/>
  <c r="C134" i="8"/>
  <c r="C138" i="8"/>
  <c r="C142" i="8"/>
  <c r="C146" i="8"/>
  <c r="C150" i="8"/>
  <c r="C154" i="8"/>
  <c r="C158" i="8"/>
  <c r="C162" i="8"/>
  <c r="C166" i="8"/>
  <c r="C170" i="8"/>
  <c r="C174" i="8"/>
  <c r="C178" i="8"/>
  <c r="C182" i="8"/>
  <c r="C186" i="8"/>
  <c r="C190" i="8"/>
  <c r="C194" i="8"/>
  <c r="C198" i="8"/>
  <c r="C202" i="8"/>
  <c r="C206" i="8"/>
  <c r="C210" i="8"/>
  <c r="C214" i="8"/>
  <c r="C218" i="8"/>
  <c r="C222" i="8"/>
  <c r="C171" i="8"/>
  <c r="C175" i="8"/>
  <c r="C183" i="8"/>
  <c r="C187" i="8"/>
  <c r="C191" i="8"/>
  <c r="C199" i="8"/>
  <c r="C203" i="8"/>
  <c r="C207" i="8"/>
  <c r="C215" i="8"/>
  <c r="C219" i="8"/>
  <c r="C123" i="8"/>
  <c r="C125" i="8"/>
  <c r="C133" i="8"/>
  <c r="C145" i="8"/>
  <c r="C153" i="8"/>
  <c r="C165" i="8"/>
  <c r="C173" i="8"/>
  <c r="C185" i="8"/>
  <c r="C193" i="8"/>
  <c r="C205" i="8"/>
  <c r="C217" i="8"/>
  <c r="C127" i="8"/>
  <c r="C131" i="8"/>
  <c r="C135" i="8"/>
  <c r="C139" i="8"/>
  <c r="C143" i="8"/>
  <c r="C147" i="8"/>
  <c r="C151" i="8"/>
  <c r="C155" i="8"/>
  <c r="C159" i="8"/>
  <c r="C163" i="8"/>
  <c r="C167" i="8"/>
  <c r="C179" i="8"/>
  <c r="C195" i="8"/>
  <c r="C211" i="8"/>
  <c r="C141" i="8"/>
  <c r="C161" i="8"/>
  <c r="C181" i="8"/>
  <c r="C197" i="8"/>
  <c r="C213" i="8"/>
  <c r="C124" i="8"/>
  <c r="C128" i="8"/>
  <c r="C132" i="8"/>
  <c r="C136" i="8"/>
  <c r="C140" i="8"/>
  <c r="C144" i="8"/>
  <c r="C148" i="8"/>
  <c r="C152" i="8"/>
  <c r="C156" i="8"/>
  <c r="C160" i="8"/>
  <c r="C164" i="8"/>
  <c r="C168" i="8"/>
  <c r="C172" i="8"/>
  <c r="C176" i="8"/>
  <c r="C180" i="8"/>
  <c r="C184" i="8"/>
  <c r="C188" i="8"/>
  <c r="C192" i="8"/>
  <c r="C196" i="8"/>
  <c r="C200" i="8"/>
  <c r="C204" i="8"/>
  <c r="C208" i="8"/>
  <c r="C212" i="8"/>
  <c r="C216" i="8"/>
  <c r="C220" i="8"/>
  <c r="C129" i="8"/>
  <c r="C137" i="8"/>
  <c r="C149" i="8"/>
  <c r="C157" i="8"/>
  <c r="C169" i="8"/>
  <c r="C177" i="8"/>
  <c r="C189" i="8"/>
  <c r="C201" i="8"/>
  <c r="C209" i="8"/>
  <c r="C221" i="8"/>
  <c r="G169" i="8" l="1"/>
  <c r="H169" i="8"/>
  <c r="J169" i="8"/>
  <c r="F169" i="8"/>
  <c r="G129" i="8"/>
  <c r="J129" i="8"/>
  <c r="F129" i="8"/>
  <c r="H129" i="8"/>
  <c r="F192" i="8"/>
  <c r="H192" i="8"/>
  <c r="G192" i="8"/>
  <c r="J192" i="8"/>
  <c r="F160" i="8"/>
  <c r="G160" i="8"/>
  <c r="H160" i="8"/>
  <c r="J160" i="8"/>
  <c r="F128" i="8"/>
  <c r="G128" i="8"/>
  <c r="H128" i="8"/>
  <c r="J128" i="8"/>
  <c r="J195" i="8"/>
  <c r="H195" i="8"/>
  <c r="F195" i="8"/>
  <c r="G195" i="8"/>
  <c r="J143" i="8"/>
  <c r="H143" i="8"/>
  <c r="F143" i="8"/>
  <c r="G143" i="8"/>
  <c r="G185" i="8"/>
  <c r="F185" i="8"/>
  <c r="H185" i="8"/>
  <c r="J185" i="8"/>
  <c r="J219" i="8"/>
  <c r="H219" i="8"/>
  <c r="F219" i="8"/>
  <c r="G219" i="8"/>
  <c r="J175" i="8"/>
  <c r="F175" i="8"/>
  <c r="G175" i="8"/>
  <c r="H175" i="8"/>
  <c r="J166" i="8"/>
  <c r="F166" i="8"/>
  <c r="G166" i="8"/>
  <c r="H166" i="8"/>
  <c r="G157" i="8"/>
  <c r="F157" i="8"/>
  <c r="J157" i="8"/>
  <c r="H157" i="8"/>
  <c r="J204" i="8"/>
  <c r="H204" i="8"/>
  <c r="F204" i="8"/>
  <c r="G204" i="8"/>
  <c r="J188" i="8"/>
  <c r="H188" i="8"/>
  <c r="F188" i="8"/>
  <c r="G188" i="8"/>
  <c r="F156" i="8"/>
  <c r="G156" i="8"/>
  <c r="H156" i="8"/>
  <c r="J156" i="8"/>
  <c r="F140" i="8"/>
  <c r="G140" i="8"/>
  <c r="H140" i="8"/>
  <c r="J140" i="8"/>
  <c r="F124" i="8"/>
  <c r="G124" i="8"/>
  <c r="H124" i="8"/>
  <c r="J124" i="8"/>
  <c r="G161" i="8"/>
  <c r="H161" i="8"/>
  <c r="J161" i="8"/>
  <c r="F161" i="8"/>
  <c r="J179" i="8"/>
  <c r="H179" i="8"/>
  <c r="F179" i="8"/>
  <c r="G179" i="8"/>
  <c r="F155" i="8"/>
  <c r="G155" i="8"/>
  <c r="J155" i="8"/>
  <c r="H155" i="8"/>
  <c r="F139" i="8"/>
  <c r="G139" i="8"/>
  <c r="H139" i="8"/>
  <c r="J139" i="8"/>
  <c r="G173" i="8"/>
  <c r="F173" i="8"/>
  <c r="J173" i="8"/>
  <c r="H173" i="8"/>
  <c r="G133" i="8"/>
  <c r="H133" i="8"/>
  <c r="F133" i="8"/>
  <c r="J133" i="8"/>
  <c r="F215" i="8"/>
  <c r="G215" i="8"/>
  <c r="J215" i="8"/>
  <c r="H215" i="8"/>
  <c r="F191" i="8"/>
  <c r="G191" i="8"/>
  <c r="J191" i="8"/>
  <c r="H191" i="8"/>
  <c r="F171" i="8"/>
  <c r="H171" i="8"/>
  <c r="G171" i="8"/>
  <c r="J171" i="8"/>
  <c r="J210" i="8"/>
  <c r="F210" i="8"/>
  <c r="G210" i="8"/>
  <c r="H210" i="8"/>
  <c r="J194" i="8"/>
  <c r="F194" i="8"/>
  <c r="H194" i="8"/>
  <c r="G194" i="8"/>
  <c r="J178" i="8"/>
  <c r="H178" i="8"/>
  <c r="G178" i="8"/>
  <c r="F178" i="8"/>
  <c r="J162" i="8"/>
  <c r="H162" i="8"/>
  <c r="G162" i="8"/>
  <c r="F162" i="8"/>
  <c r="J146" i="8"/>
  <c r="G146" i="8"/>
  <c r="F146" i="8"/>
  <c r="H146" i="8"/>
  <c r="J130" i="8"/>
  <c r="H130" i="8"/>
  <c r="G130" i="8"/>
  <c r="F130" i="8"/>
  <c r="G189" i="8"/>
  <c r="H189" i="8"/>
  <c r="J189" i="8"/>
  <c r="F189" i="8"/>
  <c r="G149" i="8"/>
  <c r="F149" i="8"/>
  <c r="J149" i="8"/>
  <c r="H149" i="8"/>
  <c r="J216" i="8"/>
  <c r="G216" i="8"/>
  <c r="H216" i="8"/>
  <c r="F216" i="8"/>
  <c r="F200" i="8"/>
  <c r="G200" i="8"/>
  <c r="J200" i="8"/>
  <c r="H200" i="8"/>
  <c r="F184" i="8"/>
  <c r="G184" i="8"/>
  <c r="H184" i="8"/>
  <c r="J184" i="8"/>
  <c r="J168" i="8"/>
  <c r="H168" i="8"/>
  <c r="F168" i="8"/>
  <c r="G168" i="8"/>
  <c r="F152" i="8"/>
  <c r="G152" i="8"/>
  <c r="J152" i="8"/>
  <c r="H152" i="8"/>
  <c r="F136" i="8"/>
  <c r="G136" i="8"/>
  <c r="H136" i="8"/>
  <c r="J136" i="8"/>
  <c r="G213" i="8"/>
  <c r="J213" i="8"/>
  <c r="F213" i="8"/>
  <c r="H213" i="8"/>
  <c r="G141" i="8"/>
  <c r="H141" i="8"/>
  <c r="F141" i="8"/>
  <c r="J141" i="8"/>
  <c r="J167" i="8"/>
  <c r="F167" i="8"/>
  <c r="H167" i="8"/>
  <c r="G167" i="8"/>
  <c r="J151" i="8"/>
  <c r="H151" i="8"/>
  <c r="F151" i="8"/>
  <c r="G151" i="8"/>
  <c r="J135" i="8"/>
  <c r="H135" i="8"/>
  <c r="F135" i="8"/>
  <c r="G135" i="8"/>
  <c r="G205" i="8"/>
  <c r="J205" i="8"/>
  <c r="H205" i="8"/>
  <c r="F205" i="8"/>
  <c r="G165" i="8"/>
  <c r="F165" i="8"/>
  <c r="H165" i="8"/>
  <c r="J165" i="8"/>
  <c r="G125" i="8"/>
  <c r="J125" i="8"/>
  <c r="H125" i="8"/>
  <c r="F125" i="8"/>
  <c r="F207" i="8"/>
  <c r="G207" i="8"/>
  <c r="J207" i="8"/>
  <c r="H207" i="8"/>
  <c r="J187" i="8"/>
  <c r="H187" i="8"/>
  <c r="F187" i="8"/>
  <c r="G187" i="8"/>
  <c r="J222" i="8"/>
  <c r="G222" i="8"/>
  <c r="H222" i="8"/>
  <c r="F222" i="8"/>
  <c r="J206" i="8"/>
  <c r="H206" i="8"/>
  <c r="G206" i="8"/>
  <c r="F206" i="8"/>
  <c r="J190" i="8"/>
  <c r="H190" i="8"/>
  <c r="G190" i="8"/>
  <c r="F190" i="8"/>
  <c r="J174" i="8"/>
  <c r="F174" i="8"/>
  <c r="G174" i="8"/>
  <c r="H174" i="8"/>
  <c r="J158" i="8"/>
  <c r="F158" i="8"/>
  <c r="H158" i="8"/>
  <c r="G158" i="8"/>
  <c r="J142" i="8"/>
  <c r="H142" i="8"/>
  <c r="F142" i="8"/>
  <c r="G142" i="8"/>
  <c r="J126" i="8"/>
  <c r="G126" i="8"/>
  <c r="F126" i="8"/>
  <c r="H126" i="8"/>
  <c r="G209" i="8"/>
  <c r="H209" i="8"/>
  <c r="F209" i="8"/>
  <c r="J209" i="8"/>
  <c r="J208" i="8"/>
  <c r="H208" i="8"/>
  <c r="F208" i="8"/>
  <c r="G208" i="8"/>
  <c r="F176" i="8"/>
  <c r="G176" i="8"/>
  <c r="J176" i="8"/>
  <c r="H176" i="8"/>
  <c r="F144" i="8"/>
  <c r="G144" i="8"/>
  <c r="J144" i="8"/>
  <c r="H144" i="8"/>
  <c r="G181" i="8"/>
  <c r="J181" i="8"/>
  <c r="F181" i="8"/>
  <c r="H181" i="8"/>
  <c r="J159" i="8"/>
  <c r="H159" i="8"/>
  <c r="F159" i="8"/>
  <c r="G159" i="8"/>
  <c r="J127" i="8"/>
  <c r="H127" i="8"/>
  <c r="F127" i="8"/>
  <c r="G127" i="8"/>
  <c r="G145" i="8"/>
  <c r="J145" i="8"/>
  <c r="H145" i="8"/>
  <c r="F145" i="8"/>
  <c r="F199" i="8"/>
  <c r="G199" i="8"/>
  <c r="J199" i="8"/>
  <c r="H199" i="8"/>
  <c r="J214" i="8"/>
  <c r="G214" i="8"/>
  <c r="F214" i="8"/>
  <c r="H214" i="8"/>
  <c r="J198" i="8"/>
  <c r="G198" i="8"/>
  <c r="F198" i="8"/>
  <c r="H198" i="8"/>
  <c r="J182" i="8"/>
  <c r="H182" i="8"/>
  <c r="G182" i="8"/>
  <c r="F182" i="8"/>
  <c r="J150" i="8"/>
  <c r="H150" i="8"/>
  <c r="F150" i="8"/>
  <c r="G150" i="8"/>
  <c r="J134" i="8"/>
  <c r="F134" i="8"/>
  <c r="G134" i="8"/>
  <c r="H134" i="8"/>
  <c r="G201" i="8"/>
  <c r="F201" i="8"/>
  <c r="J201" i="8"/>
  <c r="H201" i="8"/>
  <c r="J220" i="8"/>
  <c r="H220" i="8"/>
  <c r="G220" i="8"/>
  <c r="F220" i="8"/>
  <c r="F172" i="8"/>
  <c r="G172" i="8"/>
  <c r="H172" i="8"/>
  <c r="J172" i="8"/>
  <c r="G217" i="8"/>
  <c r="H217" i="8"/>
  <c r="F217" i="8"/>
  <c r="J217" i="8"/>
  <c r="G221" i="8"/>
  <c r="J221" i="8"/>
  <c r="H221" i="8"/>
  <c r="F221" i="8"/>
  <c r="G177" i="8"/>
  <c r="H177" i="8"/>
  <c r="J177" i="8"/>
  <c r="F177" i="8"/>
  <c r="G137" i="8"/>
  <c r="J137" i="8"/>
  <c r="F137" i="8"/>
  <c r="H137" i="8"/>
  <c r="F212" i="8"/>
  <c r="H212" i="8"/>
  <c r="G212" i="8"/>
  <c r="J212" i="8"/>
  <c r="J196" i="8"/>
  <c r="H196" i="8"/>
  <c r="F196" i="8"/>
  <c r="G196" i="8"/>
  <c r="J180" i="8"/>
  <c r="H180" i="8"/>
  <c r="F180" i="8"/>
  <c r="G180" i="8"/>
  <c r="F164" i="8"/>
  <c r="G164" i="8"/>
  <c r="J164" i="8"/>
  <c r="H164" i="8"/>
  <c r="F148" i="8"/>
  <c r="G148" i="8"/>
  <c r="H148" i="8"/>
  <c r="J148" i="8"/>
  <c r="F132" i="8"/>
  <c r="G132" i="8"/>
  <c r="J132" i="8"/>
  <c r="H132" i="8"/>
  <c r="G197" i="8"/>
  <c r="H197" i="8"/>
  <c r="J197" i="8"/>
  <c r="F197" i="8"/>
  <c r="J211" i="8"/>
  <c r="H211" i="8"/>
  <c r="F211" i="8"/>
  <c r="G211" i="8"/>
  <c r="F163" i="8"/>
  <c r="G163" i="8"/>
  <c r="J163" i="8"/>
  <c r="H163" i="8"/>
  <c r="F147" i="8"/>
  <c r="G147" i="8"/>
  <c r="J147" i="8"/>
  <c r="H147" i="8"/>
  <c r="F131" i="8"/>
  <c r="G131" i="8"/>
  <c r="J131" i="8"/>
  <c r="H131" i="8"/>
  <c r="G193" i="8"/>
  <c r="F193" i="8"/>
  <c r="J193" i="8"/>
  <c r="H193" i="8"/>
  <c r="G153" i="8"/>
  <c r="H153" i="8"/>
  <c r="J153" i="8"/>
  <c r="F153" i="8"/>
  <c r="F123" i="8"/>
  <c r="J123" i="8"/>
  <c r="G123" i="8"/>
  <c r="H123" i="8"/>
  <c r="J203" i="8"/>
  <c r="H203" i="8"/>
  <c r="F203" i="8"/>
  <c r="G203" i="8"/>
  <c r="F183" i="8"/>
  <c r="G183" i="8"/>
  <c r="J183" i="8"/>
  <c r="H183" i="8"/>
  <c r="J218" i="8"/>
  <c r="H218" i="8"/>
  <c r="F218" i="8"/>
  <c r="G218" i="8"/>
  <c r="J202" i="8"/>
  <c r="F202" i="8"/>
  <c r="H202" i="8"/>
  <c r="G202" i="8"/>
  <c r="J186" i="8"/>
  <c r="F186" i="8"/>
  <c r="G186" i="8"/>
  <c r="H186" i="8"/>
  <c r="J170" i="8"/>
  <c r="H170" i="8"/>
  <c r="G170" i="8"/>
  <c r="F170" i="8"/>
  <c r="J154" i="8"/>
  <c r="G154" i="8"/>
  <c r="F154" i="8"/>
  <c r="H154" i="8"/>
  <c r="J138" i="8"/>
  <c r="G138" i="8"/>
  <c r="H138" i="8"/>
  <c r="F138" i="8"/>
  <c r="I188" i="8" l="1"/>
  <c r="K188" i="8" s="1"/>
  <c r="L188" i="8" s="1"/>
  <c r="M188" i="8" s="1"/>
  <c r="N188" i="8" s="1"/>
  <c r="O188" i="8" s="1"/>
  <c r="P188" i="8" s="1"/>
  <c r="I219" i="8"/>
  <c r="I143" i="8"/>
  <c r="I218" i="8"/>
  <c r="K218" i="8" s="1"/>
  <c r="L218" i="8" s="1"/>
  <c r="M218" i="8" s="1"/>
  <c r="N218" i="8" s="1"/>
  <c r="O218" i="8" s="1"/>
  <c r="P218" i="8" s="1"/>
  <c r="I203" i="8"/>
  <c r="K203" i="8" s="1"/>
  <c r="L203" i="8" s="1"/>
  <c r="M203" i="8" s="1"/>
  <c r="N203" i="8" s="1"/>
  <c r="O203" i="8" s="1"/>
  <c r="P203" i="8" s="1"/>
  <c r="I211" i="8"/>
  <c r="K211" i="8" s="1"/>
  <c r="L211" i="8" s="1"/>
  <c r="M211" i="8" s="1"/>
  <c r="N211" i="8" s="1"/>
  <c r="O211" i="8" s="1"/>
  <c r="P211" i="8" s="1"/>
  <c r="I180" i="8"/>
  <c r="K180" i="8" s="1"/>
  <c r="L180" i="8" s="1"/>
  <c r="M180" i="8" s="1"/>
  <c r="N180" i="8" s="1"/>
  <c r="O180" i="8" s="1"/>
  <c r="P180" i="8" s="1"/>
  <c r="I196" i="8"/>
  <c r="K196" i="8" s="1"/>
  <c r="L196" i="8" s="1"/>
  <c r="M196" i="8" s="1"/>
  <c r="N196" i="8" s="1"/>
  <c r="O196" i="8" s="1"/>
  <c r="P196" i="8" s="1"/>
  <c r="I150" i="8"/>
  <c r="K150" i="8" s="1"/>
  <c r="L150" i="8" s="1"/>
  <c r="M150" i="8" s="1"/>
  <c r="N150" i="8" s="1"/>
  <c r="O150" i="8" s="1"/>
  <c r="P150" i="8" s="1"/>
  <c r="I127" i="8"/>
  <c r="K127" i="8" s="1"/>
  <c r="L127" i="8" s="1"/>
  <c r="M127" i="8" s="1"/>
  <c r="N127" i="8" s="1"/>
  <c r="O127" i="8" s="1"/>
  <c r="P127" i="8" s="1"/>
  <c r="I159" i="8"/>
  <c r="K159" i="8" s="1"/>
  <c r="L159" i="8" s="1"/>
  <c r="M159" i="8" s="1"/>
  <c r="N159" i="8" s="1"/>
  <c r="O159" i="8" s="1"/>
  <c r="P159" i="8" s="1"/>
  <c r="I142" i="8"/>
  <c r="K142" i="8" s="1"/>
  <c r="L142" i="8" s="1"/>
  <c r="M142" i="8" s="1"/>
  <c r="N142" i="8" s="1"/>
  <c r="O142" i="8" s="1"/>
  <c r="P142" i="8" s="1"/>
  <c r="I187" i="8"/>
  <c r="K187" i="8" s="1"/>
  <c r="L187" i="8" s="1"/>
  <c r="M187" i="8" s="1"/>
  <c r="N187" i="8" s="1"/>
  <c r="O187" i="8" s="1"/>
  <c r="P187" i="8" s="1"/>
  <c r="I135" i="8"/>
  <c r="K135" i="8" s="1"/>
  <c r="L135" i="8" s="1"/>
  <c r="M135" i="8" s="1"/>
  <c r="N135" i="8" s="1"/>
  <c r="O135" i="8" s="1"/>
  <c r="P135" i="8" s="1"/>
  <c r="I151" i="8"/>
  <c r="K151" i="8" s="1"/>
  <c r="L151" i="8" s="1"/>
  <c r="M151" i="8" s="1"/>
  <c r="N151" i="8" s="1"/>
  <c r="O151" i="8" s="1"/>
  <c r="P151" i="8" s="1"/>
  <c r="I168" i="8"/>
  <c r="K168" i="8" s="1"/>
  <c r="L168" i="8" s="1"/>
  <c r="M168" i="8" s="1"/>
  <c r="N168" i="8" s="1"/>
  <c r="O168" i="8" s="1"/>
  <c r="P168" i="8" s="1"/>
  <c r="I179" i="8"/>
  <c r="K179" i="8" s="1"/>
  <c r="L179" i="8" s="1"/>
  <c r="M179" i="8" s="1"/>
  <c r="N179" i="8" s="1"/>
  <c r="O179" i="8" s="1"/>
  <c r="P179" i="8" s="1"/>
  <c r="I204" i="8"/>
  <c r="K204" i="8" s="1"/>
  <c r="L204" i="8" s="1"/>
  <c r="M204" i="8" s="1"/>
  <c r="N204" i="8" s="1"/>
  <c r="O204" i="8" s="1"/>
  <c r="P204" i="8" s="1"/>
  <c r="I195" i="8"/>
  <c r="K195" i="8" s="1"/>
  <c r="L195" i="8" s="1"/>
  <c r="M195" i="8" s="1"/>
  <c r="N195" i="8" s="1"/>
  <c r="O195" i="8" s="1"/>
  <c r="P195" i="8" s="1"/>
  <c r="I202" i="8"/>
  <c r="K202" i="8" s="1"/>
  <c r="L202" i="8" s="1"/>
  <c r="M202" i="8" s="1"/>
  <c r="N202" i="8" s="1"/>
  <c r="O202" i="8" s="1"/>
  <c r="P202" i="8" s="1"/>
  <c r="I167" i="8"/>
  <c r="K167" i="8" s="1"/>
  <c r="L167" i="8" s="1"/>
  <c r="M167" i="8" s="1"/>
  <c r="N167" i="8" s="1"/>
  <c r="O167" i="8" s="1"/>
  <c r="P167" i="8" s="1"/>
  <c r="I208" i="8"/>
  <c r="K208" i="8" s="1"/>
  <c r="L208" i="8" s="1"/>
  <c r="M208" i="8" s="1"/>
  <c r="N208" i="8" s="1"/>
  <c r="O208" i="8" s="1"/>
  <c r="P208" i="8" s="1"/>
  <c r="I212" i="8"/>
  <c r="K212" i="8" s="1"/>
  <c r="L212" i="8" s="1"/>
  <c r="M212" i="8" s="1"/>
  <c r="N212" i="8" s="1"/>
  <c r="O212" i="8" s="1"/>
  <c r="P212" i="8" s="1"/>
  <c r="I220" i="8"/>
  <c r="K220" i="8" s="1"/>
  <c r="L220" i="8" s="1"/>
  <c r="M220" i="8" s="1"/>
  <c r="N220" i="8" s="1"/>
  <c r="O220" i="8" s="1"/>
  <c r="P220" i="8" s="1"/>
  <c r="I190" i="8"/>
  <c r="K190" i="8" s="1"/>
  <c r="L190" i="8" s="1"/>
  <c r="M190" i="8" s="1"/>
  <c r="N190" i="8" s="1"/>
  <c r="O190" i="8" s="1"/>
  <c r="P190" i="8" s="1"/>
  <c r="I130" i="8"/>
  <c r="K130" i="8" s="1"/>
  <c r="L130" i="8" s="1"/>
  <c r="M130" i="8" s="1"/>
  <c r="N130" i="8" s="1"/>
  <c r="O130" i="8" s="1"/>
  <c r="P130" i="8" s="1"/>
  <c r="I162" i="8"/>
  <c r="K162" i="8" s="1"/>
  <c r="L162" i="8" s="1"/>
  <c r="M162" i="8" s="1"/>
  <c r="N162" i="8" s="1"/>
  <c r="O162" i="8" s="1"/>
  <c r="P162" i="8" s="1"/>
  <c r="I178" i="8"/>
  <c r="K178" i="8" s="1"/>
  <c r="L178" i="8" s="1"/>
  <c r="M178" i="8" s="1"/>
  <c r="N178" i="8" s="1"/>
  <c r="O178" i="8" s="1"/>
  <c r="P178" i="8" s="1"/>
  <c r="I171" i="8"/>
  <c r="K171" i="8" s="1"/>
  <c r="L171" i="8" s="1"/>
  <c r="M171" i="8" s="1"/>
  <c r="N171" i="8" s="1"/>
  <c r="O171" i="8" s="1"/>
  <c r="P171" i="8" s="1"/>
  <c r="I192" i="8"/>
  <c r="K192" i="8" s="1"/>
  <c r="L192" i="8" s="1"/>
  <c r="M192" i="8" s="1"/>
  <c r="N192" i="8" s="1"/>
  <c r="O192" i="8" s="1"/>
  <c r="P192" i="8" s="1"/>
  <c r="I169" i="8"/>
  <c r="K169" i="8" s="1"/>
  <c r="L169" i="8" s="1"/>
  <c r="M169" i="8" s="1"/>
  <c r="N169" i="8" s="1"/>
  <c r="O169" i="8" s="1"/>
  <c r="P169" i="8" s="1"/>
  <c r="I158" i="8"/>
  <c r="K158" i="8" s="1"/>
  <c r="L158" i="8" s="1"/>
  <c r="M158" i="8" s="1"/>
  <c r="N158" i="8" s="1"/>
  <c r="O158" i="8" s="1"/>
  <c r="P158" i="8" s="1"/>
  <c r="I194" i="8"/>
  <c r="K194" i="8" s="1"/>
  <c r="L194" i="8" s="1"/>
  <c r="M194" i="8" s="1"/>
  <c r="N194" i="8" s="1"/>
  <c r="O194" i="8" s="1"/>
  <c r="P194" i="8" s="1"/>
  <c r="K219" i="8"/>
  <c r="L219" i="8" s="1"/>
  <c r="M219" i="8" s="1"/>
  <c r="N219" i="8" s="1"/>
  <c r="O219" i="8" s="1"/>
  <c r="P219" i="8" s="1"/>
  <c r="K143" i="8"/>
  <c r="L143" i="8" s="1"/>
  <c r="M143" i="8" s="1"/>
  <c r="N143" i="8" s="1"/>
  <c r="O143" i="8" s="1"/>
  <c r="P143" i="8" s="1"/>
  <c r="I170" i="8"/>
  <c r="K170" i="8" s="1"/>
  <c r="L170" i="8" s="1"/>
  <c r="M170" i="8" s="1"/>
  <c r="N170" i="8" s="1"/>
  <c r="O170" i="8" s="1"/>
  <c r="P170" i="8" s="1"/>
  <c r="I182" i="8"/>
  <c r="K182" i="8" s="1"/>
  <c r="L182" i="8" s="1"/>
  <c r="M182" i="8" s="1"/>
  <c r="N182" i="8" s="1"/>
  <c r="O182" i="8" s="1"/>
  <c r="P182" i="8" s="1"/>
  <c r="I206" i="8"/>
  <c r="K206" i="8" s="1"/>
  <c r="L206" i="8" s="1"/>
  <c r="M206" i="8" s="1"/>
  <c r="N206" i="8" s="1"/>
  <c r="O206" i="8" s="1"/>
  <c r="P206" i="8" s="1"/>
  <c r="I134" i="8"/>
  <c r="K134" i="8" s="1"/>
  <c r="L134" i="8" s="1"/>
  <c r="M134" i="8" s="1"/>
  <c r="N134" i="8" s="1"/>
  <c r="O134" i="8" s="1"/>
  <c r="P134" i="8" s="1"/>
  <c r="I166" i="8"/>
  <c r="K166" i="8" s="1"/>
  <c r="L166" i="8" s="1"/>
  <c r="M166" i="8" s="1"/>
  <c r="N166" i="8" s="1"/>
  <c r="O166" i="8" s="1"/>
  <c r="P166" i="8" s="1"/>
  <c r="I154" i="8"/>
  <c r="K154" i="8" s="1"/>
  <c r="L154" i="8" s="1"/>
  <c r="M154" i="8" s="1"/>
  <c r="N154" i="8" s="1"/>
  <c r="O154" i="8" s="1"/>
  <c r="P154" i="8" s="1"/>
  <c r="I183" i="8"/>
  <c r="K183" i="8" s="1"/>
  <c r="L183" i="8" s="1"/>
  <c r="M183" i="8" s="1"/>
  <c r="N183" i="8" s="1"/>
  <c r="O183" i="8" s="1"/>
  <c r="P183" i="8" s="1"/>
  <c r="I131" i="8"/>
  <c r="K131" i="8" s="1"/>
  <c r="L131" i="8" s="1"/>
  <c r="M131" i="8" s="1"/>
  <c r="N131" i="8" s="1"/>
  <c r="O131" i="8" s="1"/>
  <c r="P131" i="8" s="1"/>
  <c r="I147" i="8"/>
  <c r="K147" i="8" s="1"/>
  <c r="L147" i="8" s="1"/>
  <c r="M147" i="8" s="1"/>
  <c r="N147" i="8" s="1"/>
  <c r="O147" i="8" s="1"/>
  <c r="P147" i="8" s="1"/>
  <c r="I163" i="8"/>
  <c r="K163" i="8" s="1"/>
  <c r="L163" i="8" s="1"/>
  <c r="M163" i="8" s="1"/>
  <c r="N163" i="8" s="1"/>
  <c r="O163" i="8" s="1"/>
  <c r="P163" i="8" s="1"/>
  <c r="I132" i="8"/>
  <c r="K132" i="8" s="1"/>
  <c r="L132" i="8" s="1"/>
  <c r="M132" i="8" s="1"/>
  <c r="N132" i="8" s="1"/>
  <c r="O132" i="8" s="1"/>
  <c r="P132" i="8" s="1"/>
  <c r="I148" i="8"/>
  <c r="K148" i="8" s="1"/>
  <c r="L148" i="8" s="1"/>
  <c r="M148" i="8" s="1"/>
  <c r="N148" i="8" s="1"/>
  <c r="O148" i="8" s="1"/>
  <c r="P148" i="8" s="1"/>
  <c r="I164" i="8"/>
  <c r="K164" i="8" s="1"/>
  <c r="L164" i="8" s="1"/>
  <c r="M164" i="8" s="1"/>
  <c r="N164" i="8" s="1"/>
  <c r="O164" i="8" s="1"/>
  <c r="P164" i="8" s="1"/>
  <c r="I172" i="8"/>
  <c r="K172" i="8" s="1"/>
  <c r="L172" i="8" s="1"/>
  <c r="M172" i="8" s="1"/>
  <c r="N172" i="8" s="1"/>
  <c r="O172" i="8" s="1"/>
  <c r="P172" i="8" s="1"/>
  <c r="I198" i="8"/>
  <c r="K198" i="8" s="1"/>
  <c r="L198" i="8" s="1"/>
  <c r="M198" i="8" s="1"/>
  <c r="N198" i="8" s="1"/>
  <c r="O198" i="8" s="1"/>
  <c r="P198" i="8" s="1"/>
  <c r="I214" i="8"/>
  <c r="K214" i="8" s="1"/>
  <c r="L214" i="8" s="1"/>
  <c r="M214" i="8" s="1"/>
  <c r="N214" i="8" s="1"/>
  <c r="O214" i="8" s="1"/>
  <c r="P214" i="8" s="1"/>
  <c r="I199" i="8"/>
  <c r="K199" i="8" s="1"/>
  <c r="L199" i="8" s="1"/>
  <c r="M199" i="8" s="1"/>
  <c r="N199" i="8" s="1"/>
  <c r="O199" i="8" s="1"/>
  <c r="P199" i="8" s="1"/>
  <c r="I144" i="8"/>
  <c r="K144" i="8" s="1"/>
  <c r="L144" i="8" s="1"/>
  <c r="M144" i="8" s="1"/>
  <c r="N144" i="8" s="1"/>
  <c r="O144" i="8" s="1"/>
  <c r="P144" i="8" s="1"/>
  <c r="I176" i="8"/>
  <c r="K176" i="8" s="1"/>
  <c r="L176" i="8" s="1"/>
  <c r="M176" i="8" s="1"/>
  <c r="N176" i="8" s="1"/>
  <c r="O176" i="8" s="1"/>
  <c r="P176" i="8" s="1"/>
  <c r="I126" i="8"/>
  <c r="K126" i="8" s="1"/>
  <c r="L126" i="8" s="1"/>
  <c r="M126" i="8" s="1"/>
  <c r="N126" i="8" s="1"/>
  <c r="O126" i="8" s="1"/>
  <c r="P126" i="8" s="1"/>
  <c r="I222" i="8"/>
  <c r="K222" i="8" s="1"/>
  <c r="L222" i="8" s="1"/>
  <c r="M222" i="8" s="1"/>
  <c r="N222" i="8" s="1"/>
  <c r="O222" i="8" s="1"/>
  <c r="P222" i="8" s="1"/>
  <c r="I207" i="8"/>
  <c r="K207" i="8" s="1"/>
  <c r="L207" i="8" s="1"/>
  <c r="M207" i="8" s="1"/>
  <c r="N207" i="8" s="1"/>
  <c r="O207" i="8" s="1"/>
  <c r="P207" i="8" s="1"/>
  <c r="I136" i="8"/>
  <c r="K136" i="8" s="1"/>
  <c r="L136" i="8" s="1"/>
  <c r="M136" i="8" s="1"/>
  <c r="N136" i="8" s="1"/>
  <c r="O136" i="8" s="1"/>
  <c r="P136" i="8" s="1"/>
  <c r="I152" i="8"/>
  <c r="K152" i="8" s="1"/>
  <c r="L152" i="8" s="1"/>
  <c r="M152" i="8" s="1"/>
  <c r="N152" i="8" s="1"/>
  <c r="O152" i="8" s="1"/>
  <c r="P152" i="8" s="1"/>
  <c r="I184" i="8"/>
  <c r="K184" i="8" s="1"/>
  <c r="L184" i="8" s="1"/>
  <c r="M184" i="8" s="1"/>
  <c r="N184" i="8" s="1"/>
  <c r="O184" i="8" s="1"/>
  <c r="P184" i="8" s="1"/>
  <c r="I200" i="8"/>
  <c r="K200" i="8" s="1"/>
  <c r="L200" i="8" s="1"/>
  <c r="M200" i="8" s="1"/>
  <c r="N200" i="8" s="1"/>
  <c r="O200" i="8" s="1"/>
  <c r="P200" i="8" s="1"/>
  <c r="I216" i="8"/>
  <c r="K216" i="8" s="1"/>
  <c r="L216" i="8" s="1"/>
  <c r="M216" i="8" s="1"/>
  <c r="N216" i="8" s="1"/>
  <c r="O216" i="8" s="1"/>
  <c r="P216" i="8" s="1"/>
  <c r="I146" i="8"/>
  <c r="K146" i="8" s="1"/>
  <c r="L146" i="8" s="1"/>
  <c r="M146" i="8" s="1"/>
  <c r="N146" i="8" s="1"/>
  <c r="O146" i="8" s="1"/>
  <c r="P146" i="8" s="1"/>
  <c r="I191" i="8"/>
  <c r="K191" i="8" s="1"/>
  <c r="L191" i="8" s="1"/>
  <c r="M191" i="8" s="1"/>
  <c r="N191" i="8" s="1"/>
  <c r="O191" i="8" s="1"/>
  <c r="P191" i="8" s="1"/>
  <c r="I215" i="8"/>
  <c r="K215" i="8" s="1"/>
  <c r="L215" i="8" s="1"/>
  <c r="M215" i="8" s="1"/>
  <c r="N215" i="8" s="1"/>
  <c r="O215" i="8" s="1"/>
  <c r="P215" i="8" s="1"/>
  <c r="I139" i="8"/>
  <c r="K139" i="8" s="1"/>
  <c r="L139" i="8" s="1"/>
  <c r="M139" i="8" s="1"/>
  <c r="N139" i="8" s="1"/>
  <c r="O139" i="8" s="1"/>
  <c r="P139" i="8" s="1"/>
  <c r="I155" i="8"/>
  <c r="K155" i="8" s="1"/>
  <c r="L155" i="8" s="1"/>
  <c r="M155" i="8" s="1"/>
  <c r="N155" i="8" s="1"/>
  <c r="O155" i="8" s="1"/>
  <c r="P155" i="8" s="1"/>
  <c r="I124" i="8"/>
  <c r="K124" i="8" s="1"/>
  <c r="L124" i="8" s="1"/>
  <c r="M124" i="8" s="1"/>
  <c r="N124" i="8" s="1"/>
  <c r="O124" i="8" s="1"/>
  <c r="P124" i="8" s="1"/>
  <c r="I140" i="8"/>
  <c r="K140" i="8" s="1"/>
  <c r="L140" i="8" s="1"/>
  <c r="M140" i="8" s="1"/>
  <c r="N140" i="8" s="1"/>
  <c r="O140" i="8" s="1"/>
  <c r="P140" i="8" s="1"/>
  <c r="I156" i="8"/>
  <c r="K156" i="8" s="1"/>
  <c r="L156" i="8" s="1"/>
  <c r="M156" i="8" s="1"/>
  <c r="N156" i="8" s="1"/>
  <c r="O156" i="8" s="1"/>
  <c r="P156" i="8" s="1"/>
  <c r="I128" i="8"/>
  <c r="K128" i="8" s="1"/>
  <c r="L128" i="8" s="1"/>
  <c r="M128" i="8" s="1"/>
  <c r="N128" i="8" s="1"/>
  <c r="O128" i="8" s="1"/>
  <c r="P128" i="8" s="1"/>
  <c r="I160" i="8"/>
  <c r="K160" i="8" s="1"/>
  <c r="L160" i="8" s="1"/>
  <c r="M160" i="8" s="1"/>
  <c r="N160" i="8" s="1"/>
  <c r="O160" i="8" s="1"/>
  <c r="P160" i="8" s="1"/>
  <c r="I186" i="8"/>
  <c r="K186" i="8" s="1"/>
  <c r="L186" i="8" s="1"/>
  <c r="M186" i="8" s="1"/>
  <c r="N186" i="8" s="1"/>
  <c r="O186" i="8" s="1"/>
  <c r="P186" i="8" s="1"/>
  <c r="I123" i="8"/>
  <c r="K123" i="8" s="1"/>
  <c r="L123" i="8" s="1"/>
  <c r="M123" i="8" s="1"/>
  <c r="N123" i="8" s="1"/>
  <c r="O123" i="8" s="1"/>
  <c r="P123" i="8" s="1"/>
  <c r="I174" i="8"/>
  <c r="K174" i="8" s="1"/>
  <c r="L174" i="8" s="1"/>
  <c r="M174" i="8" s="1"/>
  <c r="N174" i="8" s="1"/>
  <c r="O174" i="8" s="1"/>
  <c r="P174" i="8" s="1"/>
  <c r="I210" i="8"/>
  <c r="K210" i="8" s="1"/>
  <c r="L210" i="8" s="1"/>
  <c r="M210" i="8" s="1"/>
  <c r="N210" i="8" s="1"/>
  <c r="O210" i="8" s="1"/>
  <c r="P210" i="8" s="1"/>
  <c r="I175" i="8"/>
  <c r="K175" i="8" s="1"/>
  <c r="L175" i="8" s="1"/>
  <c r="M175" i="8" s="1"/>
  <c r="N175" i="8" s="1"/>
  <c r="O175" i="8" s="1"/>
  <c r="P175" i="8" s="1"/>
  <c r="I138" i="8"/>
  <c r="K138" i="8" s="1"/>
  <c r="L138" i="8" s="1"/>
  <c r="M138" i="8" s="1"/>
  <c r="N138" i="8" s="1"/>
  <c r="O138" i="8" s="1"/>
  <c r="P138" i="8" s="1"/>
  <c r="I153" i="8"/>
  <c r="K153" i="8" s="1"/>
  <c r="L153" i="8" s="1"/>
  <c r="M153" i="8" s="1"/>
  <c r="N153" i="8" s="1"/>
  <c r="O153" i="8" s="1"/>
  <c r="P153" i="8" s="1"/>
  <c r="I193" i="8"/>
  <c r="K193" i="8" s="1"/>
  <c r="L193" i="8" s="1"/>
  <c r="M193" i="8" s="1"/>
  <c r="N193" i="8" s="1"/>
  <c r="O193" i="8" s="1"/>
  <c r="P193" i="8" s="1"/>
  <c r="I197" i="8"/>
  <c r="K197" i="8" s="1"/>
  <c r="L197" i="8" s="1"/>
  <c r="M197" i="8" s="1"/>
  <c r="N197" i="8" s="1"/>
  <c r="O197" i="8" s="1"/>
  <c r="P197" i="8" s="1"/>
  <c r="I137" i="8"/>
  <c r="K137" i="8" s="1"/>
  <c r="L137" i="8" s="1"/>
  <c r="M137" i="8" s="1"/>
  <c r="N137" i="8" s="1"/>
  <c r="O137" i="8" s="1"/>
  <c r="P137" i="8" s="1"/>
  <c r="I177" i="8"/>
  <c r="K177" i="8" s="1"/>
  <c r="L177" i="8" s="1"/>
  <c r="M177" i="8" s="1"/>
  <c r="N177" i="8" s="1"/>
  <c r="O177" i="8" s="1"/>
  <c r="P177" i="8" s="1"/>
  <c r="I221" i="8"/>
  <c r="K221" i="8" s="1"/>
  <c r="L221" i="8" s="1"/>
  <c r="M221" i="8" s="1"/>
  <c r="N221" i="8" s="1"/>
  <c r="O221" i="8" s="1"/>
  <c r="P221" i="8" s="1"/>
  <c r="I217" i="8"/>
  <c r="K217" i="8" s="1"/>
  <c r="L217" i="8" s="1"/>
  <c r="M217" i="8" s="1"/>
  <c r="N217" i="8" s="1"/>
  <c r="O217" i="8" s="1"/>
  <c r="P217" i="8" s="1"/>
  <c r="I201" i="8"/>
  <c r="K201" i="8" s="1"/>
  <c r="L201" i="8" s="1"/>
  <c r="M201" i="8" s="1"/>
  <c r="N201" i="8" s="1"/>
  <c r="O201" i="8" s="1"/>
  <c r="P201" i="8" s="1"/>
  <c r="I145" i="8"/>
  <c r="K145" i="8" s="1"/>
  <c r="L145" i="8" s="1"/>
  <c r="M145" i="8" s="1"/>
  <c r="N145" i="8" s="1"/>
  <c r="O145" i="8" s="1"/>
  <c r="P145" i="8" s="1"/>
  <c r="I181" i="8"/>
  <c r="K181" i="8" s="1"/>
  <c r="L181" i="8" s="1"/>
  <c r="M181" i="8" s="1"/>
  <c r="N181" i="8" s="1"/>
  <c r="O181" i="8" s="1"/>
  <c r="P181" i="8" s="1"/>
  <c r="I209" i="8"/>
  <c r="K209" i="8" s="1"/>
  <c r="L209" i="8" s="1"/>
  <c r="M209" i="8" s="1"/>
  <c r="N209" i="8" s="1"/>
  <c r="O209" i="8" s="1"/>
  <c r="P209" i="8" s="1"/>
  <c r="I125" i="8"/>
  <c r="K125" i="8" s="1"/>
  <c r="L125" i="8" s="1"/>
  <c r="M125" i="8" s="1"/>
  <c r="N125" i="8" s="1"/>
  <c r="O125" i="8" s="1"/>
  <c r="P125" i="8" s="1"/>
  <c r="I165" i="8"/>
  <c r="K165" i="8" s="1"/>
  <c r="L165" i="8" s="1"/>
  <c r="M165" i="8" s="1"/>
  <c r="N165" i="8" s="1"/>
  <c r="O165" i="8" s="1"/>
  <c r="P165" i="8" s="1"/>
  <c r="I205" i="8"/>
  <c r="K205" i="8" s="1"/>
  <c r="L205" i="8" s="1"/>
  <c r="M205" i="8" s="1"/>
  <c r="N205" i="8" s="1"/>
  <c r="O205" i="8" s="1"/>
  <c r="P205" i="8" s="1"/>
  <c r="I141" i="8"/>
  <c r="K141" i="8" s="1"/>
  <c r="L141" i="8" s="1"/>
  <c r="M141" i="8" s="1"/>
  <c r="N141" i="8" s="1"/>
  <c r="O141" i="8" s="1"/>
  <c r="P141" i="8" s="1"/>
  <c r="I213" i="8"/>
  <c r="K213" i="8" s="1"/>
  <c r="L213" i="8" s="1"/>
  <c r="M213" i="8" s="1"/>
  <c r="N213" i="8" s="1"/>
  <c r="O213" i="8" s="1"/>
  <c r="P213" i="8" s="1"/>
  <c r="I149" i="8"/>
  <c r="K149" i="8" s="1"/>
  <c r="L149" i="8" s="1"/>
  <c r="M149" i="8" s="1"/>
  <c r="N149" i="8" s="1"/>
  <c r="O149" i="8" s="1"/>
  <c r="P149" i="8" s="1"/>
  <c r="I189" i="8"/>
  <c r="K189" i="8" s="1"/>
  <c r="L189" i="8" s="1"/>
  <c r="M189" i="8" s="1"/>
  <c r="N189" i="8" s="1"/>
  <c r="O189" i="8" s="1"/>
  <c r="P189" i="8" s="1"/>
  <c r="I133" i="8"/>
  <c r="K133" i="8" s="1"/>
  <c r="L133" i="8" s="1"/>
  <c r="M133" i="8" s="1"/>
  <c r="N133" i="8" s="1"/>
  <c r="O133" i="8" s="1"/>
  <c r="P133" i="8" s="1"/>
  <c r="I173" i="8"/>
  <c r="K173" i="8" s="1"/>
  <c r="L173" i="8" s="1"/>
  <c r="M173" i="8" s="1"/>
  <c r="N173" i="8" s="1"/>
  <c r="O173" i="8" s="1"/>
  <c r="P173" i="8" s="1"/>
  <c r="I161" i="8"/>
  <c r="K161" i="8" s="1"/>
  <c r="L161" i="8" s="1"/>
  <c r="M161" i="8" s="1"/>
  <c r="N161" i="8" s="1"/>
  <c r="O161" i="8" s="1"/>
  <c r="P161" i="8" s="1"/>
  <c r="I157" i="8"/>
  <c r="K157" i="8" s="1"/>
  <c r="L157" i="8" s="1"/>
  <c r="M157" i="8" s="1"/>
  <c r="N157" i="8" s="1"/>
  <c r="O157" i="8" s="1"/>
  <c r="P157" i="8" s="1"/>
  <c r="I185" i="8"/>
  <c r="K185" i="8" s="1"/>
  <c r="L185" i="8" s="1"/>
  <c r="M185" i="8" s="1"/>
  <c r="N185" i="8" s="1"/>
  <c r="O185" i="8" s="1"/>
  <c r="P185" i="8" s="1"/>
  <c r="I129" i="8"/>
  <c r="K129" i="8" s="1"/>
  <c r="L129" i="8" s="1"/>
  <c r="M129" i="8" s="1"/>
  <c r="N129" i="8" s="1"/>
  <c r="O129" i="8" s="1"/>
  <c r="P129" i="8" s="1"/>
  <c r="P120" i="8" l="1"/>
  <c r="L18" i="3"/>
  <c r="C36" i="3" s="1"/>
  <c r="C37" i="3" s="1"/>
  <c r="D13" i="5" l="1"/>
  <c r="G16" i="5" s="1"/>
  <c r="H35" i="5" l="1"/>
  <c r="H31" i="5"/>
  <c r="H33" i="5"/>
  <c r="H37" i="5"/>
  <c r="H23" i="5"/>
  <c r="H15" i="5"/>
  <c r="G50" i="5"/>
  <c r="G42" i="5"/>
  <c r="H38" i="5"/>
  <c r="H34" i="5"/>
  <c r="H29" i="5"/>
  <c r="H21" i="5"/>
  <c r="H13" i="5"/>
  <c r="G48" i="5"/>
  <c r="G40" i="5"/>
  <c r="G46" i="5"/>
  <c r="H27" i="5"/>
  <c r="H19" i="5"/>
  <c r="G54" i="5"/>
  <c r="G38" i="5"/>
  <c r="H36" i="5"/>
  <c r="H32" i="5"/>
  <c r="H25" i="5"/>
  <c r="H17" i="5"/>
  <c r="G52" i="5"/>
  <c r="G44" i="5"/>
  <c r="G35" i="5"/>
  <c r="H28" i="5"/>
  <c r="H24" i="5"/>
  <c r="H20" i="5"/>
  <c r="H16" i="5"/>
  <c r="I16" i="5" s="1"/>
  <c r="G55" i="5"/>
  <c r="G51" i="5"/>
  <c r="G47" i="5"/>
  <c r="G43" i="5"/>
  <c r="G39" i="5"/>
  <c r="G33" i="5"/>
  <c r="G31" i="5"/>
  <c r="H30" i="5"/>
  <c r="H26" i="5"/>
  <c r="H22" i="5"/>
  <c r="H18" i="5"/>
  <c r="H14" i="5"/>
  <c r="G53" i="5"/>
  <c r="G49" i="5"/>
  <c r="G45" i="5"/>
  <c r="G41" i="5"/>
  <c r="G37" i="5"/>
  <c r="G29" i="5"/>
  <c r="G25" i="5"/>
  <c r="G21" i="5"/>
  <c r="G36" i="5"/>
  <c r="G32" i="5"/>
  <c r="G27" i="5"/>
  <c r="G19" i="5"/>
  <c r="G17" i="5"/>
  <c r="G34" i="5"/>
  <c r="G30" i="5"/>
  <c r="G23" i="5"/>
  <c r="G15" i="5"/>
  <c r="G26" i="5"/>
  <c r="G22" i="5"/>
  <c r="G18" i="5"/>
  <c r="G14" i="5"/>
  <c r="G13" i="5"/>
  <c r="G28" i="5"/>
  <c r="G24" i="5"/>
  <c r="G20" i="5"/>
  <c r="H40" i="5"/>
  <c r="H43" i="5"/>
  <c r="H47" i="5"/>
  <c r="H51" i="5"/>
  <c r="H55" i="5"/>
  <c r="H57" i="5"/>
  <c r="H59" i="5"/>
  <c r="H61" i="5"/>
  <c r="H63" i="5"/>
  <c r="H65" i="5"/>
  <c r="H67" i="5"/>
  <c r="H69" i="5"/>
  <c r="H71" i="5"/>
  <c r="H73" i="5"/>
  <c r="H75" i="5"/>
  <c r="H77" i="5"/>
  <c r="H79" i="5"/>
  <c r="H81" i="5"/>
  <c r="G83" i="5"/>
  <c r="G85" i="5"/>
  <c r="G87" i="5"/>
  <c r="G89" i="5"/>
  <c r="G91" i="5"/>
  <c r="G93" i="5"/>
  <c r="G95" i="5"/>
  <c r="G97" i="5"/>
  <c r="G99" i="5"/>
  <c r="G101" i="5"/>
  <c r="G103" i="5"/>
  <c r="G105" i="5"/>
  <c r="G107" i="5"/>
  <c r="G109" i="5"/>
  <c r="G111" i="5"/>
  <c r="H39" i="5"/>
  <c r="H44" i="5"/>
  <c r="H48" i="5"/>
  <c r="H52" i="5"/>
  <c r="G56" i="5"/>
  <c r="G58" i="5"/>
  <c r="G60" i="5"/>
  <c r="G62" i="5"/>
  <c r="H41" i="5"/>
  <c r="H45" i="5"/>
  <c r="H49" i="5"/>
  <c r="H53" i="5"/>
  <c r="H56" i="5"/>
  <c r="H58" i="5"/>
  <c r="H60" i="5"/>
  <c r="H62" i="5"/>
  <c r="H64" i="5"/>
  <c r="H66" i="5"/>
  <c r="H68" i="5"/>
  <c r="H70" i="5"/>
  <c r="H72" i="5"/>
  <c r="H74" i="5"/>
  <c r="H76" i="5"/>
  <c r="H78" i="5"/>
  <c r="H80" i="5"/>
  <c r="H82" i="5"/>
  <c r="G84" i="5"/>
  <c r="G86" i="5"/>
  <c r="G88" i="5"/>
  <c r="G90" i="5"/>
  <c r="G92" i="5"/>
  <c r="G94" i="5"/>
  <c r="G96" i="5"/>
  <c r="G98" i="5"/>
  <c r="G100" i="5"/>
  <c r="G102" i="5"/>
  <c r="G104" i="5"/>
  <c r="G106" i="5"/>
  <c r="G108" i="5"/>
  <c r="G110" i="5"/>
  <c r="G112" i="5"/>
  <c r="H42" i="5"/>
  <c r="H46" i="5"/>
  <c r="H50" i="5"/>
  <c r="H54" i="5"/>
  <c r="G57" i="5"/>
  <c r="G59" i="5"/>
  <c r="G61" i="5"/>
  <c r="G66" i="5"/>
  <c r="G70" i="5"/>
  <c r="G74" i="5"/>
  <c r="G78" i="5"/>
  <c r="I78" i="5" s="1"/>
  <c r="G82" i="5"/>
  <c r="H85" i="5"/>
  <c r="H89" i="5"/>
  <c r="H93" i="5"/>
  <c r="H97" i="5"/>
  <c r="H101" i="5"/>
  <c r="H105" i="5"/>
  <c r="H109" i="5"/>
  <c r="C126" i="5"/>
  <c r="G68" i="5"/>
  <c r="G72" i="5"/>
  <c r="G80" i="5"/>
  <c r="H87" i="5"/>
  <c r="H95" i="5"/>
  <c r="H103" i="5"/>
  <c r="H111" i="5"/>
  <c r="G65" i="5"/>
  <c r="G73" i="5"/>
  <c r="G81" i="5"/>
  <c r="H88" i="5"/>
  <c r="H96" i="5"/>
  <c r="H104" i="5"/>
  <c r="H112" i="5"/>
  <c r="G63" i="5"/>
  <c r="I63" i="5" s="1"/>
  <c r="G67" i="5"/>
  <c r="G71" i="5"/>
  <c r="G75" i="5"/>
  <c r="G79" i="5"/>
  <c r="I79" i="5" s="1"/>
  <c r="H86" i="5"/>
  <c r="H90" i="5"/>
  <c r="H94" i="5"/>
  <c r="H98" i="5"/>
  <c r="H102" i="5"/>
  <c r="H106" i="5"/>
  <c r="H110" i="5"/>
  <c r="G64" i="5"/>
  <c r="G76" i="5"/>
  <c r="H83" i="5"/>
  <c r="H91" i="5"/>
  <c r="H99" i="5"/>
  <c r="H107" i="5"/>
  <c r="G69" i="5"/>
  <c r="G77" i="5"/>
  <c r="I77" i="5" s="1"/>
  <c r="H84" i="5"/>
  <c r="H92" i="5"/>
  <c r="H100" i="5"/>
  <c r="H108" i="5"/>
  <c r="I17" i="5" l="1"/>
  <c r="K17" i="5" s="1"/>
  <c r="L17" i="5" s="1"/>
  <c r="M17" i="5" s="1"/>
  <c r="N17" i="5" s="1"/>
  <c r="O17" i="5" s="1"/>
  <c r="I31" i="5"/>
  <c r="K31" i="5" s="1"/>
  <c r="L31" i="5" s="1"/>
  <c r="M31" i="5" s="1"/>
  <c r="N31" i="5" s="1"/>
  <c r="O31" i="5" s="1"/>
  <c r="I13" i="5"/>
  <c r="K13" i="5" s="1"/>
  <c r="L13" i="5" s="1"/>
  <c r="M13" i="5" s="1"/>
  <c r="N13" i="5" s="1"/>
  <c r="I52" i="5"/>
  <c r="K52" i="5" s="1"/>
  <c r="L52" i="5" s="1"/>
  <c r="M52" i="5" s="1"/>
  <c r="N52" i="5" s="1"/>
  <c r="O52" i="5" s="1"/>
  <c r="I46" i="5"/>
  <c r="K46" i="5" s="1"/>
  <c r="L46" i="5" s="1"/>
  <c r="M46" i="5" s="1"/>
  <c r="N46" i="5" s="1"/>
  <c r="I37" i="5"/>
  <c r="K37" i="5" s="1"/>
  <c r="L37" i="5" s="1"/>
  <c r="M37" i="5" s="1"/>
  <c r="N37" i="5" s="1"/>
  <c r="O37" i="5" s="1"/>
  <c r="K77" i="5"/>
  <c r="L77" i="5" s="1"/>
  <c r="M77" i="5" s="1"/>
  <c r="N77" i="5" s="1"/>
  <c r="O77" i="5" s="1"/>
  <c r="K16" i="5"/>
  <c r="L16" i="5" s="1"/>
  <c r="M16" i="5" s="1"/>
  <c r="N16" i="5" s="1"/>
  <c r="O16" i="5" s="1"/>
  <c r="K79" i="5"/>
  <c r="L79" i="5" s="1"/>
  <c r="M79" i="5" s="1"/>
  <c r="N79" i="5" s="1"/>
  <c r="O79" i="5" s="1"/>
  <c r="K63" i="5"/>
  <c r="L63" i="5" s="1"/>
  <c r="M63" i="5" s="1"/>
  <c r="N63" i="5" s="1"/>
  <c r="O63" i="5" s="1"/>
  <c r="K78" i="5"/>
  <c r="L78" i="5" s="1"/>
  <c r="M78" i="5" s="1"/>
  <c r="N78" i="5" s="1"/>
  <c r="O78" i="5" s="1"/>
  <c r="I65" i="5"/>
  <c r="I35" i="5"/>
  <c r="I32" i="5"/>
  <c r="I29" i="5"/>
  <c r="I33" i="5"/>
  <c r="I76" i="5"/>
  <c r="I39" i="5"/>
  <c r="I61" i="5"/>
  <c r="I53" i="5"/>
  <c r="I55" i="5"/>
  <c r="I26" i="5"/>
  <c r="I36" i="5"/>
  <c r="I38" i="5"/>
  <c r="I24" i="5"/>
  <c r="I69" i="5"/>
  <c r="I68" i="5"/>
  <c r="I101" i="5"/>
  <c r="I42" i="5"/>
  <c r="I21" i="5"/>
  <c r="I14" i="5"/>
  <c r="I28" i="5"/>
  <c r="I23" i="5"/>
  <c r="I22" i="5"/>
  <c r="I30" i="5"/>
  <c r="I27" i="5"/>
  <c r="I20" i="5"/>
  <c r="I15" i="5"/>
  <c r="I18" i="5"/>
  <c r="I19" i="5"/>
  <c r="I54" i="5"/>
  <c r="I41" i="5"/>
  <c r="I43" i="5"/>
  <c r="I25" i="5"/>
  <c r="I50" i="5"/>
  <c r="I40" i="5"/>
  <c r="I34" i="5"/>
  <c r="I49" i="5"/>
  <c r="I48" i="5"/>
  <c r="I51" i="5"/>
  <c r="I45" i="5"/>
  <c r="I44" i="5"/>
  <c r="I47" i="5"/>
  <c r="I102" i="5"/>
  <c r="I110" i="5"/>
  <c r="I112" i="5"/>
  <c r="I105" i="5"/>
  <c r="I89" i="5"/>
  <c r="I94" i="5"/>
  <c r="I71" i="5"/>
  <c r="I73" i="5"/>
  <c r="I70" i="5"/>
  <c r="I57" i="5"/>
  <c r="I98" i="5"/>
  <c r="I107" i="5"/>
  <c r="I99" i="5"/>
  <c r="I91" i="5"/>
  <c r="I106" i="5"/>
  <c r="I90" i="5"/>
  <c r="I58" i="5"/>
  <c r="I83" i="5"/>
  <c r="I82" i="5"/>
  <c r="I66" i="5"/>
  <c r="I104" i="5"/>
  <c r="I56" i="5"/>
  <c r="I64" i="5"/>
  <c r="I88" i="5"/>
  <c r="I80" i="5"/>
  <c r="I86" i="5"/>
  <c r="I62" i="5"/>
  <c r="I111" i="5"/>
  <c r="I103" i="5"/>
  <c r="I95" i="5"/>
  <c r="I87" i="5"/>
  <c r="I67" i="5"/>
  <c r="I96" i="5"/>
  <c r="I97" i="5"/>
  <c r="I75" i="5"/>
  <c r="I81" i="5"/>
  <c r="I72" i="5"/>
  <c r="I74" i="5"/>
  <c r="I59" i="5"/>
  <c r="I108" i="5"/>
  <c r="I100" i="5"/>
  <c r="I92" i="5"/>
  <c r="I84" i="5"/>
  <c r="I60" i="5"/>
  <c r="I109" i="5"/>
  <c r="I93" i="5"/>
  <c r="I85" i="5"/>
  <c r="O13" i="5" l="1"/>
  <c r="P13" i="5" s="1"/>
  <c r="P77" i="5"/>
  <c r="P63" i="5"/>
  <c r="P78" i="5"/>
  <c r="P79" i="5"/>
  <c r="K84" i="5"/>
  <c r="L84" i="5" s="1"/>
  <c r="M84" i="5" s="1"/>
  <c r="N84" i="5" s="1"/>
  <c r="O84" i="5" s="1"/>
  <c r="K87" i="5"/>
  <c r="L87" i="5" s="1"/>
  <c r="M87" i="5" s="1"/>
  <c r="N87" i="5" s="1"/>
  <c r="O87" i="5" s="1"/>
  <c r="K64" i="5"/>
  <c r="L64" i="5" s="1"/>
  <c r="M64" i="5" s="1"/>
  <c r="N64" i="5" s="1"/>
  <c r="O64" i="5" s="1"/>
  <c r="K98" i="5"/>
  <c r="L98" i="5" s="1"/>
  <c r="M98" i="5" s="1"/>
  <c r="N98" i="5" s="1"/>
  <c r="O98" i="5" s="1"/>
  <c r="K71" i="5"/>
  <c r="L71" i="5" s="1"/>
  <c r="M71" i="5" s="1"/>
  <c r="N71" i="5" s="1"/>
  <c r="O71" i="5" s="1"/>
  <c r="K44" i="5"/>
  <c r="L44" i="5" s="1"/>
  <c r="M44" i="5" s="1"/>
  <c r="N44" i="5" s="1"/>
  <c r="O44" i="5" s="1"/>
  <c r="K25" i="5"/>
  <c r="L25" i="5" s="1"/>
  <c r="M25" i="5" s="1"/>
  <c r="N25" i="5" s="1"/>
  <c r="O25" i="5" s="1"/>
  <c r="K27" i="5"/>
  <c r="L27" i="5" s="1"/>
  <c r="M27" i="5" s="1"/>
  <c r="N27" i="5" s="1"/>
  <c r="O27" i="5" s="1"/>
  <c r="K101" i="5"/>
  <c r="L101" i="5" s="1"/>
  <c r="M101" i="5" s="1"/>
  <c r="N101" i="5" s="1"/>
  <c r="O101" i="5" s="1"/>
  <c r="K38" i="5"/>
  <c r="L38" i="5" s="1"/>
  <c r="M38" i="5" s="1"/>
  <c r="N38" i="5" s="1"/>
  <c r="O38" i="5" s="1"/>
  <c r="K53" i="5"/>
  <c r="L53" i="5" s="1"/>
  <c r="M53" i="5" s="1"/>
  <c r="N53" i="5" s="1"/>
  <c r="O53" i="5" s="1"/>
  <c r="K33" i="5"/>
  <c r="L33" i="5" s="1"/>
  <c r="M33" i="5" s="1"/>
  <c r="N33" i="5" s="1"/>
  <c r="O33" i="5" s="1"/>
  <c r="K65" i="5"/>
  <c r="L65" i="5" s="1"/>
  <c r="M65" i="5" s="1"/>
  <c r="N65" i="5" s="1"/>
  <c r="O65" i="5" s="1"/>
  <c r="K100" i="5"/>
  <c r="L100" i="5" s="1"/>
  <c r="M100" i="5" s="1"/>
  <c r="N100" i="5" s="1"/>
  <c r="O100" i="5" s="1"/>
  <c r="K96" i="5"/>
  <c r="L96" i="5" s="1"/>
  <c r="M96" i="5" s="1"/>
  <c r="N96" i="5" s="1"/>
  <c r="O96" i="5" s="1"/>
  <c r="K80" i="5"/>
  <c r="L80" i="5" s="1"/>
  <c r="M80" i="5" s="1"/>
  <c r="N80" i="5" s="1"/>
  <c r="O80" i="5" s="1"/>
  <c r="K60" i="5"/>
  <c r="L60" i="5" s="1"/>
  <c r="M60" i="5" s="1"/>
  <c r="N60" i="5" s="1"/>
  <c r="O60" i="5" s="1"/>
  <c r="K108" i="5"/>
  <c r="L108" i="5" s="1"/>
  <c r="M108" i="5" s="1"/>
  <c r="N108" i="5" s="1"/>
  <c r="O108" i="5" s="1"/>
  <c r="K81" i="5"/>
  <c r="L81" i="5" s="1"/>
  <c r="M81" i="5" s="1"/>
  <c r="N81" i="5" s="1"/>
  <c r="O81" i="5" s="1"/>
  <c r="K67" i="5"/>
  <c r="L67" i="5" s="1"/>
  <c r="M67" i="5" s="1"/>
  <c r="N67" i="5" s="1"/>
  <c r="O67" i="5" s="1"/>
  <c r="K111" i="5"/>
  <c r="L111" i="5" s="1"/>
  <c r="M111" i="5" s="1"/>
  <c r="N111" i="5" s="1"/>
  <c r="O111" i="5" s="1"/>
  <c r="K88" i="5"/>
  <c r="L88" i="5" s="1"/>
  <c r="M88" i="5" s="1"/>
  <c r="N88" i="5" s="1"/>
  <c r="O88" i="5" s="1"/>
  <c r="K66" i="5"/>
  <c r="L66" i="5" s="1"/>
  <c r="M66" i="5" s="1"/>
  <c r="N66" i="5" s="1"/>
  <c r="O66" i="5" s="1"/>
  <c r="K90" i="5"/>
  <c r="L90" i="5" s="1"/>
  <c r="M90" i="5" s="1"/>
  <c r="N90" i="5" s="1"/>
  <c r="O90" i="5" s="1"/>
  <c r="K107" i="5"/>
  <c r="L107" i="5" s="1"/>
  <c r="M107" i="5" s="1"/>
  <c r="N107" i="5" s="1"/>
  <c r="O107" i="5" s="1"/>
  <c r="K73" i="5"/>
  <c r="L73" i="5" s="1"/>
  <c r="M73" i="5" s="1"/>
  <c r="N73" i="5" s="1"/>
  <c r="O73" i="5" s="1"/>
  <c r="K105" i="5"/>
  <c r="L105" i="5" s="1"/>
  <c r="M105" i="5" s="1"/>
  <c r="N105" i="5" s="1"/>
  <c r="O105" i="5" s="1"/>
  <c r="K47" i="5"/>
  <c r="L47" i="5" s="1"/>
  <c r="M47" i="5" s="1"/>
  <c r="N47" i="5" s="1"/>
  <c r="K48" i="5"/>
  <c r="L48" i="5" s="1"/>
  <c r="M48" i="5" s="1"/>
  <c r="N48" i="5" s="1"/>
  <c r="O48" i="5" s="1"/>
  <c r="K50" i="5"/>
  <c r="L50" i="5" s="1"/>
  <c r="M50" i="5" s="1"/>
  <c r="N50" i="5" s="1"/>
  <c r="K54" i="5"/>
  <c r="L54" i="5" s="1"/>
  <c r="M54" i="5" s="1"/>
  <c r="N54" i="5" s="1"/>
  <c r="O54" i="5" s="1"/>
  <c r="K20" i="5"/>
  <c r="L20" i="5" s="1"/>
  <c r="M20" i="5" s="1"/>
  <c r="N20" i="5" s="1"/>
  <c r="K23" i="5"/>
  <c r="L23" i="5" s="1"/>
  <c r="M23" i="5" s="1"/>
  <c r="N23" i="5" s="1"/>
  <c r="O23" i="5" s="1"/>
  <c r="K42" i="5"/>
  <c r="L42" i="5" s="1"/>
  <c r="M42" i="5" s="1"/>
  <c r="N42" i="5" s="1"/>
  <c r="K24" i="5"/>
  <c r="L24" i="5" s="1"/>
  <c r="M24" i="5" s="1"/>
  <c r="N24" i="5" s="1"/>
  <c r="O24" i="5" s="1"/>
  <c r="K55" i="5"/>
  <c r="L55" i="5" s="1"/>
  <c r="M55" i="5" s="1"/>
  <c r="N55" i="5" s="1"/>
  <c r="K76" i="5"/>
  <c r="L76" i="5" s="1"/>
  <c r="M76" i="5" s="1"/>
  <c r="N76" i="5" s="1"/>
  <c r="O76" i="5" s="1"/>
  <c r="K35" i="5"/>
  <c r="L35" i="5" s="1"/>
  <c r="M35" i="5" s="1"/>
  <c r="N35" i="5" s="1"/>
  <c r="O46" i="5"/>
  <c r="K75" i="5"/>
  <c r="L75" i="5" s="1"/>
  <c r="M75" i="5" s="1"/>
  <c r="N75" i="5" s="1"/>
  <c r="O75" i="5" s="1"/>
  <c r="P37" i="5"/>
  <c r="K93" i="5"/>
  <c r="L93" i="5" s="1"/>
  <c r="M93" i="5" s="1"/>
  <c r="N93" i="5" s="1"/>
  <c r="O93" i="5" s="1"/>
  <c r="K92" i="5"/>
  <c r="L92" i="5" s="1"/>
  <c r="M92" i="5" s="1"/>
  <c r="N92" i="5" s="1"/>
  <c r="O92" i="5" s="1"/>
  <c r="K74" i="5"/>
  <c r="L74" i="5" s="1"/>
  <c r="M74" i="5" s="1"/>
  <c r="N74" i="5" s="1"/>
  <c r="O74" i="5" s="1"/>
  <c r="K97" i="5"/>
  <c r="L97" i="5" s="1"/>
  <c r="M97" i="5" s="1"/>
  <c r="N97" i="5" s="1"/>
  <c r="O97" i="5" s="1"/>
  <c r="K95" i="5"/>
  <c r="L95" i="5" s="1"/>
  <c r="M95" i="5" s="1"/>
  <c r="N95" i="5" s="1"/>
  <c r="O95" i="5" s="1"/>
  <c r="K86" i="5"/>
  <c r="L86" i="5" s="1"/>
  <c r="M86" i="5" s="1"/>
  <c r="N86" i="5" s="1"/>
  <c r="O86" i="5" s="1"/>
  <c r="K56" i="5"/>
  <c r="L56" i="5" s="1"/>
  <c r="M56" i="5" s="1"/>
  <c r="N56" i="5" s="1"/>
  <c r="O56" i="5" s="1"/>
  <c r="K83" i="5"/>
  <c r="L83" i="5" s="1"/>
  <c r="M83" i="5" s="1"/>
  <c r="N83" i="5" s="1"/>
  <c r="O83" i="5" s="1"/>
  <c r="K91" i="5"/>
  <c r="L91" i="5" s="1"/>
  <c r="M91" i="5" s="1"/>
  <c r="N91" i="5" s="1"/>
  <c r="O91" i="5" s="1"/>
  <c r="K57" i="5"/>
  <c r="L57" i="5" s="1"/>
  <c r="M57" i="5" s="1"/>
  <c r="N57" i="5" s="1"/>
  <c r="O57" i="5" s="1"/>
  <c r="K94" i="5"/>
  <c r="L94" i="5" s="1"/>
  <c r="M94" i="5" s="1"/>
  <c r="N94" i="5" s="1"/>
  <c r="O94" i="5" s="1"/>
  <c r="K110" i="5"/>
  <c r="L110" i="5" s="1"/>
  <c r="M110" i="5" s="1"/>
  <c r="N110" i="5" s="1"/>
  <c r="O110" i="5" s="1"/>
  <c r="K45" i="5"/>
  <c r="L45" i="5" s="1"/>
  <c r="M45" i="5" s="1"/>
  <c r="N45" i="5" s="1"/>
  <c r="O45" i="5" s="1"/>
  <c r="K34" i="5"/>
  <c r="L34" i="5" s="1"/>
  <c r="M34" i="5" s="1"/>
  <c r="N34" i="5" s="1"/>
  <c r="K43" i="5"/>
  <c r="L43" i="5" s="1"/>
  <c r="M43" i="5" s="1"/>
  <c r="N43" i="5" s="1"/>
  <c r="O43" i="5" s="1"/>
  <c r="K18" i="5"/>
  <c r="L18" i="5" s="1"/>
  <c r="M18" i="5" s="1"/>
  <c r="N18" i="5" s="1"/>
  <c r="K30" i="5"/>
  <c r="L30" i="5" s="1"/>
  <c r="M30" i="5" s="1"/>
  <c r="N30" i="5" s="1"/>
  <c r="O30" i="5" s="1"/>
  <c r="K14" i="5"/>
  <c r="L14" i="5" s="1"/>
  <c r="M14" i="5" s="1"/>
  <c r="N14" i="5" s="1"/>
  <c r="K68" i="5"/>
  <c r="L68" i="5" s="1"/>
  <c r="M68" i="5" s="1"/>
  <c r="N68" i="5" s="1"/>
  <c r="O68" i="5" s="1"/>
  <c r="K36" i="5"/>
  <c r="L36" i="5" s="1"/>
  <c r="M36" i="5" s="1"/>
  <c r="N36" i="5" s="1"/>
  <c r="K61" i="5"/>
  <c r="L61" i="5" s="1"/>
  <c r="M61" i="5" s="1"/>
  <c r="N61" i="5" s="1"/>
  <c r="O61" i="5" s="1"/>
  <c r="K29" i="5"/>
  <c r="L29" i="5" s="1"/>
  <c r="M29" i="5" s="1"/>
  <c r="N29" i="5" s="1"/>
  <c r="K85" i="5"/>
  <c r="L85" i="5" s="1"/>
  <c r="M85" i="5" s="1"/>
  <c r="N85" i="5" s="1"/>
  <c r="O85" i="5" s="1"/>
  <c r="K59" i="5"/>
  <c r="L59" i="5" s="1"/>
  <c r="M59" i="5" s="1"/>
  <c r="N59" i="5" s="1"/>
  <c r="O59" i="5" s="1"/>
  <c r="K62" i="5"/>
  <c r="L62" i="5" s="1"/>
  <c r="M62" i="5" s="1"/>
  <c r="N62" i="5" s="1"/>
  <c r="O62" i="5" s="1"/>
  <c r="K82" i="5"/>
  <c r="L82" i="5" s="1"/>
  <c r="M82" i="5" s="1"/>
  <c r="N82" i="5" s="1"/>
  <c r="O82" i="5" s="1"/>
  <c r="K106" i="5"/>
  <c r="L106" i="5" s="1"/>
  <c r="M106" i="5" s="1"/>
  <c r="N106" i="5" s="1"/>
  <c r="O106" i="5" s="1"/>
  <c r="K112" i="5"/>
  <c r="L112" i="5" s="1"/>
  <c r="M112" i="5" s="1"/>
  <c r="N112" i="5" s="1"/>
  <c r="O112" i="5" s="1"/>
  <c r="K49" i="5"/>
  <c r="L49" i="5" s="1"/>
  <c r="M49" i="5" s="1"/>
  <c r="N49" i="5" s="1"/>
  <c r="O49" i="5" s="1"/>
  <c r="K19" i="5"/>
  <c r="L19" i="5" s="1"/>
  <c r="M19" i="5" s="1"/>
  <c r="N19" i="5" s="1"/>
  <c r="K28" i="5"/>
  <c r="L28" i="5" s="1"/>
  <c r="M28" i="5" s="1"/>
  <c r="N28" i="5" s="1"/>
  <c r="O28" i="5" s="1"/>
  <c r="P52" i="5"/>
  <c r="P17" i="5"/>
  <c r="K109" i="5"/>
  <c r="L109" i="5" s="1"/>
  <c r="M109" i="5" s="1"/>
  <c r="N109" i="5" s="1"/>
  <c r="O109" i="5" s="1"/>
  <c r="K72" i="5"/>
  <c r="L72" i="5" s="1"/>
  <c r="M72" i="5" s="1"/>
  <c r="N72" i="5" s="1"/>
  <c r="O72" i="5" s="1"/>
  <c r="K103" i="5"/>
  <c r="L103" i="5" s="1"/>
  <c r="M103" i="5" s="1"/>
  <c r="N103" i="5" s="1"/>
  <c r="O103" i="5" s="1"/>
  <c r="K104" i="5"/>
  <c r="L104" i="5" s="1"/>
  <c r="M104" i="5" s="1"/>
  <c r="N104" i="5" s="1"/>
  <c r="O104" i="5" s="1"/>
  <c r="K58" i="5"/>
  <c r="L58" i="5" s="1"/>
  <c r="M58" i="5" s="1"/>
  <c r="N58" i="5" s="1"/>
  <c r="O58" i="5" s="1"/>
  <c r="K99" i="5"/>
  <c r="L99" i="5" s="1"/>
  <c r="M99" i="5" s="1"/>
  <c r="N99" i="5" s="1"/>
  <c r="O99" i="5" s="1"/>
  <c r="K70" i="5"/>
  <c r="L70" i="5" s="1"/>
  <c r="M70" i="5" s="1"/>
  <c r="N70" i="5" s="1"/>
  <c r="O70" i="5" s="1"/>
  <c r="K89" i="5"/>
  <c r="L89" i="5" s="1"/>
  <c r="M89" i="5" s="1"/>
  <c r="N89" i="5" s="1"/>
  <c r="O89" i="5" s="1"/>
  <c r="K102" i="5"/>
  <c r="L102" i="5" s="1"/>
  <c r="M102" i="5" s="1"/>
  <c r="N102" i="5" s="1"/>
  <c r="O102" i="5" s="1"/>
  <c r="K51" i="5"/>
  <c r="L51" i="5" s="1"/>
  <c r="M51" i="5" s="1"/>
  <c r="N51" i="5" s="1"/>
  <c r="K40" i="5"/>
  <c r="L40" i="5" s="1"/>
  <c r="M40" i="5" s="1"/>
  <c r="N40" i="5" s="1"/>
  <c r="O40" i="5" s="1"/>
  <c r="K41" i="5"/>
  <c r="L41" i="5" s="1"/>
  <c r="M41" i="5" s="1"/>
  <c r="N41" i="5" s="1"/>
  <c r="K15" i="5"/>
  <c r="L15" i="5" s="1"/>
  <c r="M15" i="5" s="1"/>
  <c r="N15" i="5" s="1"/>
  <c r="O15" i="5" s="1"/>
  <c r="K22" i="5"/>
  <c r="L22" i="5" s="1"/>
  <c r="M22" i="5" s="1"/>
  <c r="N22" i="5" s="1"/>
  <c r="K21" i="5"/>
  <c r="L21" i="5" s="1"/>
  <c r="M21" i="5" s="1"/>
  <c r="N21" i="5" s="1"/>
  <c r="O21" i="5" s="1"/>
  <c r="K69" i="5"/>
  <c r="L69" i="5" s="1"/>
  <c r="M69" i="5" s="1"/>
  <c r="N69" i="5" s="1"/>
  <c r="O69" i="5" s="1"/>
  <c r="K26" i="5"/>
  <c r="L26" i="5" s="1"/>
  <c r="M26" i="5" s="1"/>
  <c r="N26" i="5" s="1"/>
  <c r="O26" i="5" s="1"/>
  <c r="K39" i="5"/>
  <c r="L39" i="5" s="1"/>
  <c r="M39" i="5" s="1"/>
  <c r="N39" i="5" s="1"/>
  <c r="K32" i="5"/>
  <c r="L32" i="5" s="1"/>
  <c r="M32" i="5" s="1"/>
  <c r="N32" i="5" s="1"/>
  <c r="O32" i="5" s="1"/>
  <c r="P31" i="5"/>
  <c r="P16" i="5"/>
  <c r="P108" i="5" l="1"/>
  <c r="P80" i="5"/>
  <c r="P100" i="5"/>
  <c r="P106" i="5"/>
  <c r="P62" i="5"/>
  <c r="P85" i="5"/>
  <c r="P94" i="5"/>
  <c r="P91" i="5"/>
  <c r="P56" i="5"/>
  <c r="P95" i="5"/>
  <c r="P74" i="5"/>
  <c r="P93" i="5"/>
  <c r="P73" i="5"/>
  <c r="P90" i="5"/>
  <c r="P88" i="5"/>
  <c r="P67" i="5"/>
  <c r="P71" i="5"/>
  <c r="P64" i="5"/>
  <c r="P112" i="5"/>
  <c r="P59" i="5"/>
  <c r="P68" i="5"/>
  <c r="P110" i="5"/>
  <c r="P57" i="5"/>
  <c r="P83" i="5"/>
  <c r="P86" i="5"/>
  <c r="P97" i="5"/>
  <c r="P92" i="5"/>
  <c r="P105" i="5"/>
  <c r="P107" i="5"/>
  <c r="P66" i="5"/>
  <c r="P111" i="5"/>
  <c r="P82" i="5"/>
  <c r="P65" i="5"/>
  <c r="P69" i="5"/>
  <c r="P102" i="5"/>
  <c r="P70" i="5"/>
  <c r="P58" i="5"/>
  <c r="P103" i="5"/>
  <c r="P109" i="5"/>
  <c r="P61" i="5"/>
  <c r="P76" i="5"/>
  <c r="P46" i="5"/>
  <c r="P84" i="5"/>
  <c r="P89" i="5"/>
  <c r="P99" i="5"/>
  <c r="P104" i="5"/>
  <c r="P72" i="5"/>
  <c r="P101" i="5"/>
  <c r="P75" i="5"/>
  <c r="P33" i="5"/>
  <c r="P38" i="5"/>
  <c r="P27" i="5"/>
  <c r="P44" i="5"/>
  <c r="P98" i="5"/>
  <c r="P87" i="5"/>
  <c r="P21" i="5"/>
  <c r="P40" i="5"/>
  <c r="P28" i="5"/>
  <c r="P49" i="5"/>
  <c r="P43" i="5"/>
  <c r="P24" i="5"/>
  <c r="P23" i="5"/>
  <c r="P54" i="5"/>
  <c r="P48" i="5"/>
  <c r="P81" i="5"/>
  <c r="P60" i="5"/>
  <c r="P96" i="5"/>
  <c r="P32" i="5"/>
  <c r="P26" i="5"/>
  <c r="P15" i="5"/>
  <c r="P30" i="5"/>
  <c r="P45" i="5"/>
  <c r="O39" i="5"/>
  <c r="O22" i="5"/>
  <c r="O41" i="5"/>
  <c r="O51" i="5"/>
  <c r="O19" i="5"/>
  <c r="O29" i="5"/>
  <c r="O36" i="5"/>
  <c r="O14" i="5"/>
  <c r="O18" i="5"/>
  <c r="O34" i="5"/>
  <c r="O35" i="5"/>
  <c r="O55" i="5"/>
  <c r="O42" i="5"/>
  <c r="O20" i="5"/>
  <c r="O50" i="5"/>
  <c r="O47" i="5"/>
  <c r="P53" i="5"/>
  <c r="P25" i="5"/>
  <c r="P34" i="5" l="1"/>
  <c r="P18" i="5"/>
  <c r="P19" i="5"/>
  <c r="P39" i="5"/>
  <c r="P41" i="5"/>
  <c r="P55" i="5"/>
  <c r="P51" i="5"/>
  <c r="P47" i="5"/>
  <c r="P14" i="5"/>
  <c r="P22" i="5"/>
  <c r="P20" i="5"/>
  <c r="P50" i="5"/>
  <c r="P35" i="5"/>
  <c r="P36" i="5"/>
  <c r="P42" i="5"/>
  <c r="P29" i="5"/>
  <c r="P10" i="5" l="1"/>
  <c r="Q24" i="5" l="1"/>
  <c r="Q13" i="5"/>
  <c r="Q68" i="5"/>
  <c r="Q53" i="5"/>
  <c r="Q83" i="5"/>
  <c r="Q97" i="5"/>
  <c r="Q110" i="5"/>
  <c r="Q67" i="5"/>
  <c r="Q31" i="5"/>
  <c r="Q57" i="5"/>
  <c r="Q91" i="5"/>
  <c r="Q86" i="5"/>
  <c r="Q90" i="5"/>
  <c r="Q49" i="5"/>
  <c r="Q92" i="5"/>
  <c r="Q34" i="5"/>
  <c r="Q59" i="5"/>
  <c r="Q98" i="5"/>
  <c r="Q66" i="5"/>
  <c r="Q74" i="5"/>
  <c r="Q25" i="5"/>
  <c r="Q96" i="5"/>
  <c r="Q62" i="5"/>
  <c r="Q33" i="5"/>
  <c r="Q76" i="5"/>
  <c r="Q105" i="5"/>
  <c r="Q35" i="5"/>
  <c r="Q100" i="5"/>
  <c r="Q85" i="5"/>
  <c r="Q16" i="5"/>
  <c r="Q47" i="5"/>
  <c r="Q28" i="5"/>
  <c r="Q99" i="5"/>
  <c r="Q37" i="5"/>
  <c r="Q19" i="5"/>
  <c r="Q87" i="5"/>
  <c r="Q93" i="5"/>
  <c r="Q48" i="5"/>
  <c r="Q107" i="5"/>
  <c r="Q111" i="5"/>
  <c r="Q104" i="5"/>
  <c r="Q77" i="5"/>
  <c r="Q72" i="5"/>
  <c r="Q18" i="5"/>
  <c r="Q63" i="5"/>
  <c r="Q52" i="5"/>
  <c r="Q50" i="5"/>
  <c r="Q21" i="5"/>
  <c r="Q64" i="5"/>
  <c r="Q51" i="5"/>
  <c r="Q42" i="5"/>
  <c r="Q81" i="5"/>
  <c r="Q17" i="5"/>
  <c r="Q78" i="5"/>
  <c r="Q60" i="5"/>
  <c r="Q106" i="5"/>
  <c r="Q73" i="5"/>
  <c r="Q84" i="5"/>
  <c r="Q30" i="5"/>
  <c r="Q15" i="5"/>
  <c r="Q75" i="5"/>
  <c r="Q38" i="5"/>
  <c r="Q61" i="5"/>
  <c r="Q102" i="5"/>
  <c r="Q56" i="5"/>
  <c r="Q58" i="5"/>
  <c r="Q71" i="5"/>
  <c r="Q95" i="5"/>
  <c r="Q89" i="5"/>
  <c r="Q94" i="5"/>
  <c r="Q20" i="5"/>
  <c r="Q14" i="5"/>
  <c r="Q55" i="5"/>
  <c r="Q32" i="5"/>
  <c r="Q23" i="5"/>
  <c r="Q26" i="5"/>
  <c r="Q65" i="5"/>
  <c r="Q79" i="5"/>
  <c r="Q108" i="5"/>
  <c r="Q44" i="5"/>
  <c r="Q54" i="5"/>
  <c r="Q41" i="5"/>
  <c r="Q36" i="5"/>
  <c r="Q101" i="5"/>
  <c r="Q80" i="5"/>
  <c r="Q43" i="5"/>
  <c r="Q22" i="5"/>
  <c r="Q29" i="5"/>
  <c r="Q70" i="5"/>
  <c r="Q40" i="5"/>
  <c r="Q46" i="5"/>
  <c r="Q27" i="5"/>
  <c r="Q69" i="5"/>
  <c r="Q112" i="5"/>
  <c r="Q103" i="5"/>
  <c r="Q82" i="5"/>
  <c r="Q109" i="5"/>
  <c r="Q45" i="5"/>
  <c r="Q39" i="5"/>
  <c r="Q88" i="5"/>
  <c r="Q10" i="5" l="1"/>
  <c r="E9" i="5" s="1"/>
  <c r="C38" i="3" l="1"/>
  <c r="E24" i="4"/>
  <c r="E24" i="3"/>
  <c r="E3" i="5"/>
  <c r="E2" i="5"/>
  <c r="K2" i="5" s="1"/>
  <c r="E10" i="5" s="1"/>
  <c r="G16" i="3" s="1"/>
  <c r="C123" i="5" l="1"/>
  <c r="C122" i="5" s="1"/>
  <c r="F205" i="5" s="1"/>
  <c r="H219" i="5" l="1"/>
  <c r="G160" i="5"/>
  <c r="G136" i="5"/>
  <c r="F153" i="5"/>
  <c r="G162" i="5"/>
  <c r="G155" i="5"/>
  <c r="H134" i="5"/>
  <c r="F189" i="5"/>
  <c r="G135" i="5"/>
  <c r="H138" i="5"/>
  <c r="G153" i="5"/>
  <c r="J159" i="5"/>
  <c r="J174" i="5"/>
  <c r="J148" i="5"/>
  <c r="H166" i="5"/>
  <c r="G175" i="5"/>
  <c r="J178" i="5"/>
  <c r="F137" i="5"/>
  <c r="H130" i="5"/>
  <c r="G156" i="5"/>
  <c r="F168" i="5"/>
  <c r="G140" i="5"/>
  <c r="H216" i="5"/>
  <c r="F202" i="5"/>
  <c r="G141" i="5"/>
  <c r="G169" i="5"/>
  <c r="F217" i="5"/>
  <c r="G161" i="5"/>
  <c r="F132" i="5"/>
  <c r="G144" i="5"/>
  <c r="G216" i="5"/>
  <c r="F133" i="5"/>
  <c r="F224" i="5"/>
  <c r="F219" i="5"/>
  <c r="H183" i="5"/>
  <c r="G193" i="5"/>
  <c r="J207" i="5"/>
  <c r="H163" i="5"/>
  <c r="G129" i="5"/>
  <c r="F204" i="5"/>
  <c r="H225" i="5"/>
  <c r="H178" i="5"/>
  <c r="G222" i="5"/>
  <c r="F200" i="5"/>
  <c r="H161" i="5"/>
  <c r="H201" i="5"/>
  <c r="H218" i="5"/>
  <c r="H204" i="5"/>
  <c r="G133" i="5"/>
  <c r="H159" i="5"/>
  <c r="H198" i="5"/>
  <c r="H223" i="5"/>
  <c r="J219" i="5"/>
  <c r="H170" i="5"/>
  <c r="F155" i="5"/>
  <c r="F183" i="5"/>
  <c r="J130" i="5"/>
  <c r="H187" i="5"/>
  <c r="G218" i="5"/>
  <c r="J133" i="5"/>
  <c r="J188" i="5"/>
  <c r="G185" i="5"/>
  <c r="G221" i="5"/>
  <c r="J202" i="5"/>
  <c r="G203" i="5"/>
  <c r="G192" i="5"/>
  <c r="J183" i="5"/>
  <c r="G204" i="5"/>
  <c r="I204" i="5" s="1"/>
  <c r="H133" i="5"/>
  <c r="J200" i="5"/>
  <c r="F149" i="5"/>
  <c r="H150" i="5"/>
  <c r="H211" i="5"/>
  <c r="J221" i="5"/>
  <c r="J190" i="5"/>
  <c r="H128" i="5"/>
  <c r="G191" i="5"/>
  <c r="J145" i="5"/>
  <c r="G159" i="5"/>
  <c r="H135" i="5"/>
  <c r="J169" i="5"/>
  <c r="J153" i="5"/>
  <c r="J220" i="5"/>
  <c r="H126" i="5"/>
  <c r="H185" i="5"/>
  <c r="G200" i="5"/>
  <c r="F128" i="5"/>
  <c r="G163" i="5"/>
  <c r="G166" i="5"/>
  <c r="F213" i="5"/>
  <c r="J161" i="5"/>
  <c r="H181" i="5"/>
  <c r="J192" i="5"/>
  <c r="H221" i="5"/>
  <c r="G186" i="5"/>
  <c r="G197" i="5"/>
  <c r="J171" i="5"/>
  <c r="F160" i="5"/>
  <c r="H144" i="5"/>
  <c r="G224" i="5"/>
  <c r="F156" i="5"/>
  <c r="H222" i="5"/>
  <c r="H127" i="5"/>
  <c r="G213" i="5"/>
  <c r="F193" i="5"/>
  <c r="G126" i="5"/>
  <c r="F158" i="5"/>
  <c r="J157" i="5"/>
  <c r="F216" i="5"/>
  <c r="J184" i="5"/>
  <c r="F209" i="5"/>
  <c r="J179" i="5"/>
  <c r="H172" i="5"/>
  <c r="G158" i="5"/>
  <c r="H177" i="5"/>
  <c r="H195" i="5"/>
  <c r="J155" i="5"/>
  <c r="J191" i="5"/>
  <c r="F195" i="5"/>
  <c r="J216" i="5"/>
  <c r="H189" i="5"/>
  <c r="G171" i="5"/>
  <c r="G178" i="5"/>
  <c r="H212" i="5"/>
  <c r="G214" i="5"/>
  <c r="J164" i="5"/>
  <c r="F180" i="5"/>
  <c r="H152" i="5"/>
  <c r="G188" i="5"/>
  <c r="H169" i="5"/>
  <c r="I169" i="5" s="1"/>
  <c r="H206" i="5"/>
  <c r="H192" i="5"/>
  <c r="F207" i="5"/>
  <c r="J141" i="5"/>
  <c r="F126" i="5"/>
  <c r="G180" i="5"/>
  <c r="H180" i="5"/>
  <c r="J213" i="5"/>
  <c r="J137" i="5"/>
  <c r="F186" i="5"/>
  <c r="F172" i="5"/>
  <c r="H179" i="5"/>
  <c r="H136" i="5"/>
  <c r="I136" i="5" s="1"/>
  <c r="F129" i="5"/>
  <c r="J217" i="5"/>
  <c r="F141" i="5"/>
  <c r="G172" i="5"/>
  <c r="H162" i="5"/>
  <c r="J193" i="5"/>
  <c r="F223" i="5"/>
  <c r="H220" i="5"/>
  <c r="G128" i="5"/>
  <c r="F130" i="5"/>
  <c r="F225" i="5"/>
  <c r="J208" i="5"/>
  <c r="G210" i="5"/>
  <c r="H132" i="5"/>
  <c r="F143" i="5"/>
  <c r="J194" i="5"/>
  <c r="H199" i="5"/>
  <c r="G164" i="5"/>
  <c r="H203" i="5"/>
  <c r="H167" i="5"/>
  <c r="H154" i="5"/>
  <c r="J151" i="5"/>
  <c r="F127" i="5"/>
  <c r="J143" i="5"/>
  <c r="F173" i="5"/>
  <c r="G152" i="5"/>
  <c r="G217" i="5"/>
  <c r="H158" i="5"/>
  <c r="G189" i="5"/>
  <c r="J131" i="5"/>
  <c r="J158" i="5"/>
  <c r="H153" i="5"/>
  <c r="I153" i="5" s="1"/>
  <c r="H160" i="5"/>
  <c r="I160" i="5" s="1"/>
  <c r="G137" i="5"/>
  <c r="H129" i="5"/>
  <c r="G146" i="5"/>
  <c r="F145" i="5"/>
  <c r="J199" i="5"/>
  <c r="J156" i="5"/>
  <c r="G150" i="5"/>
  <c r="H215" i="5"/>
  <c r="F165" i="5"/>
  <c r="F178" i="5"/>
  <c r="J126" i="5"/>
  <c r="F203" i="5"/>
  <c r="J214" i="5"/>
  <c r="F201" i="5"/>
  <c r="H191" i="5"/>
  <c r="J134" i="5"/>
  <c r="J139" i="5"/>
  <c r="G181" i="5"/>
  <c r="F139" i="5"/>
  <c r="J170" i="5"/>
  <c r="J162" i="5"/>
  <c r="J150" i="5"/>
  <c r="F222" i="5"/>
  <c r="J218" i="5"/>
  <c r="J135" i="5"/>
  <c r="G198" i="5"/>
  <c r="G176" i="5"/>
  <c r="G132" i="5"/>
  <c r="G147" i="5"/>
  <c r="G187" i="5"/>
  <c r="H139" i="5"/>
  <c r="J195" i="5"/>
  <c r="J152" i="5"/>
  <c r="J140" i="5"/>
  <c r="F166" i="5"/>
  <c r="G174" i="5"/>
  <c r="G134" i="5"/>
  <c r="H196" i="5"/>
  <c r="G168" i="5"/>
  <c r="G209" i="5"/>
  <c r="G220" i="5"/>
  <c r="H217" i="5"/>
  <c r="F211" i="5"/>
  <c r="J197" i="5"/>
  <c r="F134" i="5"/>
  <c r="H143" i="5"/>
  <c r="H156" i="5"/>
  <c r="H171" i="5"/>
  <c r="H147" i="5"/>
  <c r="G196" i="5"/>
  <c r="I196" i="5" s="1"/>
  <c r="G139" i="5"/>
  <c r="I139" i="5" s="1"/>
  <c r="J129" i="5"/>
  <c r="F170" i="5"/>
  <c r="F154" i="5"/>
  <c r="J175" i="5"/>
  <c r="J224" i="5"/>
  <c r="F221" i="5"/>
  <c r="H224" i="5"/>
  <c r="G207" i="5"/>
  <c r="H214" i="5"/>
  <c r="G225" i="5"/>
  <c r="G179" i="5"/>
  <c r="H148" i="5"/>
  <c r="J222" i="5"/>
  <c r="J204" i="5"/>
  <c r="F167" i="5"/>
  <c r="G142" i="5"/>
  <c r="H200" i="5"/>
  <c r="H165" i="5"/>
  <c r="J223" i="5"/>
  <c r="F181" i="5"/>
  <c r="G182" i="5"/>
  <c r="H145" i="5"/>
  <c r="H202" i="5"/>
  <c r="J181" i="5"/>
  <c r="F150" i="5"/>
  <c r="F198" i="5"/>
  <c r="H173" i="5"/>
  <c r="H213" i="5"/>
  <c r="G211" i="5"/>
  <c r="F164" i="5"/>
  <c r="G149" i="5"/>
  <c r="G165" i="5"/>
  <c r="J173" i="5"/>
  <c r="J185" i="5"/>
  <c r="G190" i="5"/>
  <c r="F220" i="5"/>
  <c r="J136" i="5"/>
  <c r="J142" i="5"/>
  <c r="J180" i="5"/>
  <c r="F162" i="5"/>
  <c r="G173" i="5"/>
  <c r="G215" i="5"/>
  <c r="H182" i="5"/>
  <c r="G127" i="5"/>
  <c r="I127" i="5" s="1"/>
  <c r="J209" i="5"/>
  <c r="J210" i="5"/>
  <c r="J203" i="5"/>
  <c r="J186" i="5"/>
  <c r="F182" i="5"/>
  <c r="F192" i="5"/>
  <c r="G151" i="5"/>
  <c r="G131" i="5"/>
  <c r="G167" i="5"/>
  <c r="G177" i="5"/>
  <c r="H140" i="5"/>
  <c r="I140" i="5" s="1"/>
  <c r="G138" i="5"/>
  <c r="H155" i="5"/>
  <c r="H149" i="5"/>
  <c r="G206" i="5"/>
  <c r="J166" i="5"/>
  <c r="F215" i="5"/>
  <c r="J211" i="5"/>
  <c r="J149" i="5"/>
  <c r="F194" i="5"/>
  <c r="J205" i="5"/>
  <c r="H207" i="5"/>
  <c r="H190" i="5"/>
  <c r="H146" i="5"/>
  <c r="G194" i="5"/>
  <c r="H194" i="5"/>
  <c r="G208" i="5"/>
  <c r="H176" i="5"/>
  <c r="J172" i="5"/>
  <c r="J189" i="5"/>
  <c r="J212" i="5"/>
  <c r="F174" i="5"/>
  <c r="F208" i="5"/>
  <c r="J187" i="5"/>
  <c r="F163" i="5"/>
  <c r="F179" i="5"/>
  <c r="J146" i="5"/>
  <c r="F218" i="5"/>
  <c r="F177" i="5"/>
  <c r="F144" i="5"/>
  <c r="F147" i="5"/>
  <c r="J198" i="5"/>
  <c r="J127" i="5"/>
  <c r="J138" i="5"/>
  <c r="J196" i="5"/>
  <c r="F169" i="5"/>
  <c r="F196" i="5"/>
  <c r="F157" i="5"/>
  <c r="J225" i="5"/>
  <c r="F161" i="5"/>
  <c r="J144" i="5"/>
  <c r="F142" i="5"/>
  <c r="F136" i="5"/>
  <c r="J167" i="5"/>
  <c r="H164" i="5"/>
  <c r="G205" i="5"/>
  <c r="G130" i="5"/>
  <c r="I130" i="5" s="1"/>
  <c r="G145" i="5"/>
  <c r="H174" i="5"/>
  <c r="G154" i="5"/>
  <c r="H157" i="5"/>
  <c r="H168" i="5"/>
  <c r="H197" i="5"/>
  <c r="G212" i="5"/>
  <c r="H188" i="5"/>
  <c r="H210" i="5"/>
  <c r="H186" i="5"/>
  <c r="F148" i="5"/>
  <c r="J160" i="5"/>
  <c r="F135" i="5"/>
  <c r="F214" i="5"/>
  <c r="J154" i="5"/>
  <c r="J132" i="5"/>
  <c r="J163" i="5"/>
  <c r="F171" i="5"/>
  <c r="F187" i="5"/>
  <c r="J177" i="5"/>
  <c r="J206" i="5"/>
  <c r="J215" i="5"/>
  <c r="F131" i="5"/>
  <c r="F140" i="5"/>
  <c r="F212" i="5"/>
  <c r="F191" i="5"/>
  <c r="J182" i="5"/>
  <c r="F190" i="5"/>
  <c r="F159" i="5"/>
  <c r="F175" i="5"/>
  <c r="J128" i="5"/>
  <c r="F188" i="5"/>
  <c r="J165" i="5"/>
  <c r="H131" i="5"/>
  <c r="H205" i="5"/>
  <c r="G183" i="5"/>
  <c r="H193" i="5"/>
  <c r="G170" i="5"/>
  <c r="I170" i="5" s="1"/>
  <c r="G201" i="5"/>
  <c r="H141" i="5"/>
  <c r="G219" i="5"/>
  <c r="I219" i="5" s="1"/>
  <c r="H137" i="5"/>
  <c r="J201" i="5"/>
  <c r="J176" i="5"/>
  <c r="F152" i="5"/>
  <c r="F184" i="5"/>
  <c r="F138" i="5"/>
  <c r="F146" i="5"/>
  <c r="J147" i="5"/>
  <c r="F185" i="5"/>
  <c r="F197" i="5"/>
  <c r="H142" i="5"/>
  <c r="H175" i="5"/>
  <c r="G184" i="5"/>
  <c r="G223" i="5"/>
  <c r="H209" i="5"/>
  <c r="G143" i="5"/>
  <c r="G202" i="5"/>
  <c r="H184" i="5"/>
  <c r="H151" i="5"/>
  <c r="G195" i="5"/>
  <c r="G148" i="5"/>
  <c r="G157" i="5"/>
  <c r="F176" i="5"/>
  <c r="F151" i="5"/>
  <c r="F199" i="5"/>
  <c r="J168" i="5"/>
  <c r="F210" i="5"/>
  <c r="F206" i="5"/>
  <c r="H208" i="5"/>
  <c r="G199" i="5"/>
  <c r="I218" i="5" l="1"/>
  <c r="K218" i="5" s="1"/>
  <c r="L218" i="5" s="1"/>
  <c r="M218" i="5" s="1"/>
  <c r="N218" i="5" s="1"/>
  <c r="O218" i="5" s="1"/>
  <c r="P218" i="5" s="1"/>
  <c r="I159" i="5"/>
  <c r="K159" i="5" s="1"/>
  <c r="L159" i="5" s="1"/>
  <c r="M159" i="5" s="1"/>
  <c r="N159" i="5" s="1"/>
  <c r="O159" i="5" s="1"/>
  <c r="P159" i="5" s="1"/>
  <c r="I183" i="5"/>
  <c r="K183" i="5" s="1"/>
  <c r="L183" i="5" s="1"/>
  <c r="M183" i="5" s="1"/>
  <c r="N183" i="5" s="1"/>
  <c r="O183" i="5" s="1"/>
  <c r="P183" i="5" s="1"/>
  <c r="I216" i="5"/>
  <c r="K216" i="5" s="1"/>
  <c r="L216" i="5" s="1"/>
  <c r="M216" i="5" s="1"/>
  <c r="N216" i="5" s="1"/>
  <c r="O216" i="5" s="1"/>
  <c r="P216" i="5" s="1"/>
  <c r="I198" i="5"/>
  <c r="K198" i="5" s="1"/>
  <c r="L198" i="5" s="1"/>
  <c r="M198" i="5" s="1"/>
  <c r="N198" i="5" s="1"/>
  <c r="O198" i="5" s="1"/>
  <c r="P198" i="5" s="1"/>
  <c r="I134" i="5"/>
  <c r="I129" i="5"/>
  <c r="K129" i="5" s="1"/>
  <c r="L129" i="5" s="1"/>
  <c r="M129" i="5" s="1"/>
  <c r="N129" i="5" s="1"/>
  <c r="O129" i="5" s="1"/>
  <c r="P129" i="5" s="1"/>
  <c r="I222" i="5"/>
  <c r="K222" i="5" s="1"/>
  <c r="L222" i="5" s="1"/>
  <c r="M222" i="5" s="1"/>
  <c r="N222" i="5" s="1"/>
  <c r="O222" i="5" s="1"/>
  <c r="P222" i="5" s="1"/>
  <c r="I221" i="5"/>
  <c r="K221" i="5" s="1"/>
  <c r="L221" i="5" s="1"/>
  <c r="M221" i="5" s="1"/>
  <c r="N221" i="5" s="1"/>
  <c r="O221" i="5" s="1"/>
  <c r="P221" i="5" s="1"/>
  <c r="I166" i="5"/>
  <c r="K166" i="5" s="1"/>
  <c r="L166" i="5" s="1"/>
  <c r="M166" i="5" s="1"/>
  <c r="N166" i="5" s="1"/>
  <c r="O166" i="5" s="1"/>
  <c r="P166" i="5" s="1"/>
  <c r="I186" i="5"/>
  <c r="K186" i="5" s="1"/>
  <c r="L186" i="5" s="1"/>
  <c r="M186" i="5" s="1"/>
  <c r="N186" i="5" s="1"/>
  <c r="O186" i="5" s="1"/>
  <c r="P186" i="5" s="1"/>
  <c r="I175" i="5"/>
  <c r="K175" i="5" s="1"/>
  <c r="L175" i="5" s="1"/>
  <c r="M175" i="5" s="1"/>
  <c r="N175" i="5" s="1"/>
  <c r="O175" i="5" s="1"/>
  <c r="P175" i="5" s="1"/>
  <c r="I213" i="5"/>
  <c r="K213" i="5" s="1"/>
  <c r="L213" i="5" s="1"/>
  <c r="M213" i="5" s="1"/>
  <c r="N213" i="5" s="1"/>
  <c r="O213" i="5" s="1"/>
  <c r="P213" i="5" s="1"/>
  <c r="I156" i="5"/>
  <c r="K156" i="5" s="1"/>
  <c r="L156" i="5" s="1"/>
  <c r="M156" i="5" s="1"/>
  <c r="N156" i="5" s="1"/>
  <c r="O156" i="5" s="1"/>
  <c r="P156" i="5" s="1"/>
  <c r="I223" i="5"/>
  <c r="K223" i="5" s="1"/>
  <c r="L223" i="5" s="1"/>
  <c r="M223" i="5" s="1"/>
  <c r="N223" i="5" s="1"/>
  <c r="O223" i="5" s="1"/>
  <c r="P223" i="5" s="1"/>
  <c r="I141" i="5"/>
  <c r="K141" i="5" s="1"/>
  <c r="L141" i="5" s="1"/>
  <c r="M141" i="5" s="1"/>
  <c r="N141" i="5" s="1"/>
  <c r="O141" i="5" s="1"/>
  <c r="P141" i="5" s="1"/>
  <c r="K130" i="5"/>
  <c r="L130" i="5" s="1"/>
  <c r="M130" i="5" s="1"/>
  <c r="N130" i="5" s="1"/>
  <c r="O130" i="5" s="1"/>
  <c r="P130" i="5" s="1"/>
  <c r="I211" i="5"/>
  <c r="K211" i="5" s="1"/>
  <c r="L211" i="5" s="1"/>
  <c r="M211" i="5" s="1"/>
  <c r="N211" i="5" s="1"/>
  <c r="O211" i="5" s="1"/>
  <c r="P211" i="5" s="1"/>
  <c r="I162" i="5"/>
  <c r="K162" i="5" s="1"/>
  <c r="L162" i="5" s="1"/>
  <c r="M162" i="5" s="1"/>
  <c r="N162" i="5" s="1"/>
  <c r="O162" i="5" s="1"/>
  <c r="P162" i="5" s="1"/>
  <c r="I203" i="5"/>
  <c r="K203" i="5" s="1"/>
  <c r="L203" i="5" s="1"/>
  <c r="M203" i="5" s="1"/>
  <c r="N203" i="5" s="1"/>
  <c r="O203" i="5" s="1"/>
  <c r="P203" i="5" s="1"/>
  <c r="I185" i="5"/>
  <c r="K185" i="5" s="1"/>
  <c r="L185" i="5" s="1"/>
  <c r="M185" i="5" s="1"/>
  <c r="N185" i="5" s="1"/>
  <c r="O185" i="5" s="1"/>
  <c r="P185" i="5" s="1"/>
  <c r="I144" i="5"/>
  <c r="K144" i="5" s="1"/>
  <c r="L144" i="5" s="1"/>
  <c r="M144" i="5" s="1"/>
  <c r="N144" i="5" s="1"/>
  <c r="O144" i="5" s="1"/>
  <c r="P144" i="5" s="1"/>
  <c r="K153" i="5"/>
  <c r="L153" i="5" s="1"/>
  <c r="M153" i="5" s="1"/>
  <c r="N153" i="5" s="1"/>
  <c r="O153" i="5" s="1"/>
  <c r="P153" i="5" s="1"/>
  <c r="I155" i="5"/>
  <c r="K155" i="5" s="1"/>
  <c r="L155" i="5" s="1"/>
  <c r="M155" i="5" s="1"/>
  <c r="N155" i="5" s="1"/>
  <c r="O155" i="5" s="1"/>
  <c r="P155" i="5" s="1"/>
  <c r="I201" i="5"/>
  <c r="K201" i="5" s="1"/>
  <c r="L201" i="5" s="1"/>
  <c r="M201" i="5" s="1"/>
  <c r="N201" i="5" s="1"/>
  <c r="O201" i="5" s="1"/>
  <c r="P201" i="5" s="1"/>
  <c r="I138" i="5"/>
  <c r="K138" i="5" s="1"/>
  <c r="L138" i="5" s="1"/>
  <c r="M138" i="5" s="1"/>
  <c r="N138" i="5" s="1"/>
  <c r="O138" i="5" s="1"/>
  <c r="P138" i="5" s="1"/>
  <c r="I200" i="5"/>
  <c r="K200" i="5" s="1"/>
  <c r="L200" i="5" s="1"/>
  <c r="M200" i="5" s="1"/>
  <c r="N200" i="5" s="1"/>
  <c r="O200" i="5" s="1"/>
  <c r="P200" i="5" s="1"/>
  <c r="I171" i="5"/>
  <c r="K171" i="5" s="1"/>
  <c r="L171" i="5" s="1"/>
  <c r="M171" i="5" s="1"/>
  <c r="N171" i="5" s="1"/>
  <c r="O171" i="5" s="1"/>
  <c r="P171" i="5" s="1"/>
  <c r="I192" i="5"/>
  <c r="K192" i="5" s="1"/>
  <c r="L192" i="5" s="1"/>
  <c r="M192" i="5" s="1"/>
  <c r="N192" i="5" s="1"/>
  <c r="O192" i="5" s="1"/>
  <c r="P192" i="5" s="1"/>
  <c r="I163" i="5"/>
  <c r="K163" i="5" s="1"/>
  <c r="L163" i="5" s="1"/>
  <c r="M163" i="5" s="1"/>
  <c r="N163" i="5" s="1"/>
  <c r="O163" i="5" s="1"/>
  <c r="P163" i="5" s="1"/>
  <c r="I187" i="5"/>
  <c r="K187" i="5" s="1"/>
  <c r="L187" i="5" s="1"/>
  <c r="M187" i="5" s="1"/>
  <c r="N187" i="5" s="1"/>
  <c r="O187" i="5" s="1"/>
  <c r="P187" i="5" s="1"/>
  <c r="I178" i="5"/>
  <c r="K178" i="5" s="1"/>
  <c r="L178" i="5" s="1"/>
  <c r="M178" i="5" s="1"/>
  <c r="N178" i="5" s="1"/>
  <c r="O178" i="5" s="1"/>
  <c r="P178" i="5" s="1"/>
  <c r="I135" i="5"/>
  <c r="K135" i="5" s="1"/>
  <c r="L135" i="5" s="1"/>
  <c r="M135" i="5" s="1"/>
  <c r="N135" i="5" s="1"/>
  <c r="O135" i="5" s="1"/>
  <c r="P135" i="5" s="1"/>
  <c r="I161" i="5"/>
  <c r="K161" i="5" s="1"/>
  <c r="L161" i="5" s="1"/>
  <c r="M161" i="5" s="1"/>
  <c r="N161" i="5" s="1"/>
  <c r="O161" i="5" s="1"/>
  <c r="P161" i="5" s="1"/>
  <c r="I126" i="5"/>
  <c r="K126" i="5" s="1"/>
  <c r="L126" i="5" s="1"/>
  <c r="M126" i="5" s="1"/>
  <c r="N126" i="5" s="1"/>
  <c r="O126" i="5" s="1"/>
  <c r="P126" i="5" s="1"/>
  <c r="I197" i="5"/>
  <c r="K197" i="5" s="1"/>
  <c r="L197" i="5" s="1"/>
  <c r="M197" i="5" s="1"/>
  <c r="N197" i="5" s="1"/>
  <c r="O197" i="5" s="1"/>
  <c r="P197" i="5" s="1"/>
  <c r="I224" i="5"/>
  <c r="K224" i="5" s="1"/>
  <c r="L224" i="5" s="1"/>
  <c r="M224" i="5" s="1"/>
  <c r="N224" i="5" s="1"/>
  <c r="O224" i="5" s="1"/>
  <c r="P224" i="5" s="1"/>
  <c r="I181" i="5"/>
  <c r="K181" i="5" s="1"/>
  <c r="L181" i="5" s="1"/>
  <c r="M181" i="5" s="1"/>
  <c r="N181" i="5" s="1"/>
  <c r="O181" i="5" s="1"/>
  <c r="P181" i="5" s="1"/>
  <c r="I150" i="5"/>
  <c r="K150" i="5" s="1"/>
  <c r="L150" i="5" s="1"/>
  <c r="M150" i="5" s="1"/>
  <c r="N150" i="5" s="1"/>
  <c r="O150" i="5" s="1"/>
  <c r="P150" i="5" s="1"/>
  <c r="I193" i="5"/>
  <c r="K193" i="5" s="1"/>
  <c r="L193" i="5" s="1"/>
  <c r="M193" i="5" s="1"/>
  <c r="N193" i="5" s="1"/>
  <c r="O193" i="5" s="1"/>
  <c r="P193" i="5" s="1"/>
  <c r="I191" i="5"/>
  <c r="K191" i="5" s="1"/>
  <c r="L191" i="5" s="1"/>
  <c r="M191" i="5" s="1"/>
  <c r="N191" i="5" s="1"/>
  <c r="O191" i="5" s="1"/>
  <c r="P191" i="5" s="1"/>
  <c r="I133" i="5"/>
  <c r="K133" i="5" s="1"/>
  <c r="L133" i="5" s="1"/>
  <c r="M133" i="5" s="1"/>
  <c r="N133" i="5" s="1"/>
  <c r="O133" i="5" s="1"/>
  <c r="P133" i="5" s="1"/>
  <c r="K219" i="5"/>
  <c r="L219" i="5" s="1"/>
  <c r="M219" i="5" s="1"/>
  <c r="N219" i="5" s="1"/>
  <c r="O219" i="5" s="1"/>
  <c r="P219" i="5" s="1"/>
  <c r="I225" i="5"/>
  <c r="K225" i="5" s="1"/>
  <c r="L225" i="5" s="1"/>
  <c r="M225" i="5" s="1"/>
  <c r="N225" i="5" s="1"/>
  <c r="O225" i="5" s="1"/>
  <c r="P225" i="5" s="1"/>
  <c r="I128" i="5"/>
  <c r="K128" i="5" s="1"/>
  <c r="L128" i="5" s="1"/>
  <c r="M128" i="5" s="1"/>
  <c r="N128" i="5" s="1"/>
  <c r="O128" i="5" s="1"/>
  <c r="P128" i="5" s="1"/>
  <c r="K169" i="5"/>
  <c r="L169" i="5" s="1"/>
  <c r="M169" i="5" s="1"/>
  <c r="N169" i="5" s="1"/>
  <c r="O169" i="5" s="1"/>
  <c r="P169" i="5" s="1"/>
  <c r="I152" i="5"/>
  <c r="K152" i="5" s="1"/>
  <c r="L152" i="5" s="1"/>
  <c r="M152" i="5" s="1"/>
  <c r="N152" i="5" s="1"/>
  <c r="O152" i="5" s="1"/>
  <c r="P152" i="5" s="1"/>
  <c r="I142" i="5"/>
  <c r="K142" i="5" s="1"/>
  <c r="L142" i="5" s="1"/>
  <c r="M142" i="5" s="1"/>
  <c r="N142" i="5" s="1"/>
  <c r="O142" i="5" s="1"/>
  <c r="P142" i="5" s="1"/>
  <c r="I188" i="5"/>
  <c r="K188" i="5" s="1"/>
  <c r="L188" i="5" s="1"/>
  <c r="M188" i="5" s="1"/>
  <c r="N188" i="5" s="1"/>
  <c r="O188" i="5" s="1"/>
  <c r="P188" i="5" s="1"/>
  <c r="I215" i="5"/>
  <c r="K215" i="5" s="1"/>
  <c r="L215" i="5" s="1"/>
  <c r="M215" i="5" s="1"/>
  <c r="N215" i="5" s="1"/>
  <c r="O215" i="5" s="1"/>
  <c r="P215" i="5" s="1"/>
  <c r="I206" i="5"/>
  <c r="K206" i="5" s="1"/>
  <c r="L206" i="5" s="1"/>
  <c r="M206" i="5" s="1"/>
  <c r="N206" i="5" s="1"/>
  <c r="O206" i="5" s="1"/>
  <c r="P206" i="5" s="1"/>
  <c r="I148" i="5"/>
  <c r="K148" i="5" s="1"/>
  <c r="L148" i="5" s="1"/>
  <c r="M148" i="5" s="1"/>
  <c r="N148" i="5" s="1"/>
  <c r="O148" i="5" s="1"/>
  <c r="P148" i="5" s="1"/>
  <c r="I189" i="5"/>
  <c r="K189" i="5" s="1"/>
  <c r="L189" i="5" s="1"/>
  <c r="M189" i="5" s="1"/>
  <c r="N189" i="5" s="1"/>
  <c r="O189" i="5" s="1"/>
  <c r="P189" i="5" s="1"/>
  <c r="I172" i="5"/>
  <c r="K172" i="5" s="1"/>
  <c r="L172" i="5" s="1"/>
  <c r="M172" i="5" s="1"/>
  <c r="N172" i="5" s="1"/>
  <c r="O172" i="5" s="1"/>
  <c r="P172" i="5" s="1"/>
  <c r="I179" i="5"/>
  <c r="K179" i="5" s="1"/>
  <c r="L179" i="5" s="1"/>
  <c r="M179" i="5" s="1"/>
  <c r="N179" i="5" s="1"/>
  <c r="O179" i="5" s="1"/>
  <c r="P179" i="5" s="1"/>
  <c r="I177" i="5"/>
  <c r="K177" i="5" s="1"/>
  <c r="L177" i="5" s="1"/>
  <c r="M177" i="5" s="1"/>
  <c r="N177" i="5" s="1"/>
  <c r="O177" i="5" s="1"/>
  <c r="P177" i="5" s="1"/>
  <c r="K136" i="5"/>
  <c r="L136" i="5" s="1"/>
  <c r="M136" i="5" s="1"/>
  <c r="N136" i="5" s="1"/>
  <c r="O136" i="5" s="1"/>
  <c r="P136" i="5" s="1"/>
  <c r="I209" i="5"/>
  <c r="K209" i="5" s="1"/>
  <c r="L209" i="5" s="1"/>
  <c r="M209" i="5" s="1"/>
  <c r="N209" i="5" s="1"/>
  <c r="O209" i="5" s="1"/>
  <c r="P209" i="5" s="1"/>
  <c r="I167" i="5"/>
  <c r="K167" i="5" s="1"/>
  <c r="L167" i="5" s="1"/>
  <c r="M167" i="5" s="1"/>
  <c r="N167" i="5" s="1"/>
  <c r="O167" i="5" s="1"/>
  <c r="P167" i="5" s="1"/>
  <c r="I220" i="5"/>
  <c r="K220" i="5" s="1"/>
  <c r="L220" i="5" s="1"/>
  <c r="M220" i="5" s="1"/>
  <c r="N220" i="5" s="1"/>
  <c r="O220" i="5" s="1"/>
  <c r="P220" i="5" s="1"/>
  <c r="I195" i="5"/>
  <c r="K195" i="5" s="1"/>
  <c r="L195" i="5" s="1"/>
  <c r="M195" i="5" s="1"/>
  <c r="N195" i="5" s="1"/>
  <c r="O195" i="5" s="1"/>
  <c r="P195" i="5" s="1"/>
  <c r="I210" i="5"/>
  <c r="K210" i="5" s="1"/>
  <c r="L210" i="5" s="1"/>
  <c r="M210" i="5" s="1"/>
  <c r="N210" i="5" s="1"/>
  <c r="O210" i="5" s="1"/>
  <c r="P210" i="5" s="1"/>
  <c r="I217" i="5"/>
  <c r="K217" i="5" s="1"/>
  <c r="L217" i="5" s="1"/>
  <c r="M217" i="5" s="1"/>
  <c r="N217" i="5" s="1"/>
  <c r="O217" i="5" s="1"/>
  <c r="P217" i="5" s="1"/>
  <c r="I180" i="5"/>
  <c r="K180" i="5" s="1"/>
  <c r="L180" i="5" s="1"/>
  <c r="M180" i="5" s="1"/>
  <c r="N180" i="5" s="1"/>
  <c r="O180" i="5" s="1"/>
  <c r="P180" i="5" s="1"/>
  <c r="I168" i="5"/>
  <c r="K168" i="5" s="1"/>
  <c r="L168" i="5" s="1"/>
  <c r="M168" i="5" s="1"/>
  <c r="N168" i="5" s="1"/>
  <c r="O168" i="5" s="1"/>
  <c r="P168" i="5" s="1"/>
  <c r="I194" i="5"/>
  <c r="K194" i="5" s="1"/>
  <c r="L194" i="5" s="1"/>
  <c r="M194" i="5" s="1"/>
  <c r="N194" i="5" s="1"/>
  <c r="O194" i="5" s="1"/>
  <c r="P194" i="5" s="1"/>
  <c r="I207" i="5"/>
  <c r="K207" i="5" s="1"/>
  <c r="L207" i="5" s="1"/>
  <c r="M207" i="5" s="1"/>
  <c r="N207" i="5" s="1"/>
  <c r="O207" i="5" s="1"/>
  <c r="P207" i="5" s="1"/>
  <c r="I214" i="5"/>
  <c r="K214" i="5" s="1"/>
  <c r="L214" i="5" s="1"/>
  <c r="M214" i="5" s="1"/>
  <c r="N214" i="5" s="1"/>
  <c r="O214" i="5" s="1"/>
  <c r="P214" i="5" s="1"/>
  <c r="I158" i="5"/>
  <c r="K158" i="5" s="1"/>
  <c r="L158" i="5" s="1"/>
  <c r="M158" i="5" s="1"/>
  <c r="N158" i="5" s="1"/>
  <c r="O158" i="5" s="1"/>
  <c r="P158" i="5" s="1"/>
  <c r="I137" i="5"/>
  <c r="K137" i="5" s="1"/>
  <c r="L137" i="5" s="1"/>
  <c r="M137" i="5" s="1"/>
  <c r="N137" i="5" s="1"/>
  <c r="O137" i="5" s="1"/>
  <c r="P137" i="5" s="1"/>
  <c r="I164" i="5"/>
  <c r="K164" i="5" s="1"/>
  <c r="L164" i="5" s="1"/>
  <c r="M164" i="5" s="1"/>
  <c r="N164" i="5" s="1"/>
  <c r="O164" i="5" s="1"/>
  <c r="P164" i="5" s="1"/>
  <c r="I146" i="5"/>
  <c r="K146" i="5" s="1"/>
  <c r="L146" i="5" s="1"/>
  <c r="M146" i="5" s="1"/>
  <c r="N146" i="5" s="1"/>
  <c r="O146" i="5" s="1"/>
  <c r="P146" i="5" s="1"/>
  <c r="I132" i="5"/>
  <c r="K132" i="5" s="1"/>
  <c r="L132" i="5" s="1"/>
  <c r="M132" i="5" s="1"/>
  <c r="N132" i="5" s="1"/>
  <c r="O132" i="5" s="1"/>
  <c r="P132" i="5" s="1"/>
  <c r="K170" i="5"/>
  <c r="L170" i="5" s="1"/>
  <c r="M170" i="5" s="1"/>
  <c r="N170" i="5" s="1"/>
  <c r="O170" i="5" s="1"/>
  <c r="P170" i="5" s="1"/>
  <c r="I199" i="5"/>
  <c r="K199" i="5" s="1"/>
  <c r="L199" i="5" s="1"/>
  <c r="M199" i="5" s="1"/>
  <c r="N199" i="5" s="1"/>
  <c r="O199" i="5" s="1"/>
  <c r="P199" i="5" s="1"/>
  <c r="I212" i="5"/>
  <c r="K212" i="5" s="1"/>
  <c r="L212" i="5" s="1"/>
  <c r="M212" i="5" s="1"/>
  <c r="N212" i="5" s="1"/>
  <c r="O212" i="5" s="1"/>
  <c r="P212" i="5" s="1"/>
  <c r="I154" i="5"/>
  <c r="K154" i="5" s="1"/>
  <c r="L154" i="5" s="1"/>
  <c r="M154" i="5" s="1"/>
  <c r="N154" i="5" s="1"/>
  <c r="O154" i="5" s="1"/>
  <c r="P154" i="5" s="1"/>
  <c r="K134" i="5"/>
  <c r="L134" i="5" s="1"/>
  <c r="M134" i="5" s="1"/>
  <c r="N134" i="5" s="1"/>
  <c r="O134" i="5" s="1"/>
  <c r="P134" i="5" s="1"/>
  <c r="I174" i="5"/>
  <c r="K174" i="5" s="1"/>
  <c r="L174" i="5" s="1"/>
  <c r="M174" i="5" s="1"/>
  <c r="N174" i="5" s="1"/>
  <c r="O174" i="5" s="1"/>
  <c r="P174" i="5" s="1"/>
  <c r="I176" i="5"/>
  <c r="K176" i="5" s="1"/>
  <c r="L176" i="5" s="1"/>
  <c r="M176" i="5" s="1"/>
  <c r="N176" i="5" s="1"/>
  <c r="O176" i="5" s="1"/>
  <c r="P176" i="5" s="1"/>
  <c r="I147" i="5"/>
  <c r="K147" i="5" s="1"/>
  <c r="L147" i="5" s="1"/>
  <c r="M147" i="5" s="1"/>
  <c r="N147" i="5" s="1"/>
  <c r="O147" i="5" s="1"/>
  <c r="P147" i="5" s="1"/>
  <c r="I182" i="5"/>
  <c r="K182" i="5" s="1"/>
  <c r="L182" i="5" s="1"/>
  <c r="M182" i="5" s="1"/>
  <c r="N182" i="5" s="1"/>
  <c r="O182" i="5" s="1"/>
  <c r="P182" i="5" s="1"/>
  <c r="I149" i="5"/>
  <c r="K149" i="5" s="1"/>
  <c r="L149" i="5" s="1"/>
  <c r="M149" i="5" s="1"/>
  <c r="N149" i="5" s="1"/>
  <c r="O149" i="5" s="1"/>
  <c r="P149" i="5" s="1"/>
  <c r="I173" i="5"/>
  <c r="K173" i="5" s="1"/>
  <c r="L173" i="5" s="1"/>
  <c r="M173" i="5" s="1"/>
  <c r="N173" i="5" s="1"/>
  <c r="O173" i="5" s="1"/>
  <c r="P173" i="5" s="1"/>
  <c r="I202" i="5"/>
  <c r="K202" i="5" s="1"/>
  <c r="L202" i="5" s="1"/>
  <c r="M202" i="5" s="1"/>
  <c r="N202" i="5" s="1"/>
  <c r="O202" i="5" s="1"/>
  <c r="P202" i="5" s="1"/>
  <c r="I208" i="5"/>
  <c r="K208" i="5" s="1"/>
  <c r="L208" i="5" s="1"/>
  <c r="M208" i="5" s="1"/>
  <c r="N208" i="5" s="1"/>
  <c r="O208" i="5" s="1"/>
  <c r="P208" i="5" s="1"/>
  <c r="K204" i="5"/>
  <c r="L204" i="5" s="1"/>
  <c r="M204" i="5" s="1"/>
  <c r="N204" i="5" s="1"/>
  <c r="O204" i="5" s="1"/>
  <c r="P204" i="5" s="1"/>
  <c r="I143" i="5"/>
  <c r="K143" i="5" s="1"/>
  <c r="L143" i="5" s="1"/>
  <c r="M143" i="5" s="1"/>
  <c r="N143" i="5" s="1"/>
  <c r="O143" i="5" s="1"/>
  <c r="P143" i="5" s="1"/>
  <c r="K140" i="5"/>
  <c r="L140" i="5" s="1"/>
  <c r="M140" i="5" s="1"/>
  <c r="N140" i="5" s="1"/>
  <c r="O140" i="5" s="1"/>
  <c r="P140" i="5" s="1"/>
  <c r="I190" i="5"/>
  <c r="K190" i="5" s="1"/>
  <c r="L190" i="5" s="1"/>
  <c r="M190" i="5" s="1"/>
  <c r="N190" i="5" s="1"/>
  <c r="O190" i="5" s="1"/>
  <c r="P190" i="5" s="1"/>
  <c r="K139" i="5"/>
  <c r="L139" i="5" s="1"/>
  <c r="M139" i="5" s="1"/>
  <c r="N139" i="5" s="1"/>
  <c r="O139" i="5" s="1"/>
  <c r="P139" i="5" s="1"/>
  <c r="I145" i="5"/>
  <c r="K145" i="5" s="1"/>
  <c r="L145" i="5" s="1"/>
  <c r="M145" i="5" s="1"/>
  <c r="N145" i="5" s="1"/>
  <c r="O145" i="5" s="1"/>
  <c r="P145" i="5" s="1"/>
  <c r="I165" i="5"/>
  <c r="K165" i="5" s="1"/>
  <c r="L165" i="5" s="1"/>
  <c r="M165" i="5" s="1"/>
  <c r="N165" i="5" s="1"/>
  <c r="O165" i="5" s="1"/>
  <c r="P165" i="5" s="1"/>
  <c r="I131" i="5"/>
  <c r="K131" i="5" s="1"/>
  <c r="L131" i="5" s="1"/>
  <c r="M131" i="5" s="1"/>
  <c r="N131" i="5" s="1"/>
  <c r="O131" i="5" s="1"/>
  <c r="P131" i="5" s="1"/>
  <c r="K127" i="5"/>
  <c r="L127" i="5" s="1"/>
  <c r="M127" i="5" s="1"/>
  <c r="N127" i="5" s="1"/>
  <c r="O127" i="5" s="1"/>
  <c r="P127" i="5" s="1"/>
  <c r="I151" i="5"/>
  <c r="K151" i="5" s="1"/>
  <c r="L151" i="5" s="1"/>
  <c r="M151" i="5" s="1"/>
  <c r="N151" i="5" s="1"/>
  <c r="O151" i="5" s="1"/>
  <c r="P151" i="5" s="1"/>
  <c r="K160" i="5"/>
  <c r="L160" i="5" s="1"/>
  <c r="M160" i="5" s="1"/>
  <c r="N160" i="5" s="1"/>
  <c r="O160" i="5" s="1"/>
  <c r="P160" i="5" s="1"/>
  <c r="K196" i="5"/>
  <c r="L196" i="5" s="1"/>
  <c r="M196" i="5" s="1"/>
  <c r="N196" i="5" s="1"/>
  <c r="O196" i="5" s="1"/>
  <c r="P196" i="5" s="1"/>
  <c r="I184" i="5"/>
  <c r="K184" i="5" s="1"/>
  <c r="L184" i="5" s="1"/>
  <c r="M184" i="5" s="1"/>
  <c r="N184" i="5" s="1"/>
  <c r="O184" i="5" s="1"/>
  <c r="P184" i="5" s="1"/>
  <c r="I205" i="5"/>
  <c r="K205" i="5" s="1"/>
  <c r="L205" i="5" s="1"/>
  <c r="M205" i="5" s="1"/>
  <c r="N205" i="5" s="1"/>
  <c r="O205" i="5" s="1"/>
  <c r="P205" i="5" s="1"/>
  <c r="I157" i="5"/>
  <c r="K157" i="5" s="1"/>
  <c r="L157" i="5" s="1"/>
  <c r="M157" i="5" s="1"/>
  <c r="N157" i="5" s="1"/>
  <c r="O157" i="5" s="1"/>
  <c r="P157" i="5" s="1"/>
  <c r="P123" i="5" l="1"/>
  <c r="I9" i="5" s="1"/>
  <c r="J8" i="5" s="1"/>
  <c r="K8" i="5" s="1"/>
  <c r="G13" i="3" l="1"/>
  <c r="C31" i="3" l="1"/>
  <c r="G23" i="3" s="1"/>
  <c r="G24" i="3" s="1"/>
  <c r="G27" i="3" s="1"/>
  <c r="G19" i="3"/>
  <c r="G26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MESUT</author>
  </authors>
  <commentList>
    <comment ref="B2" authorId="0" shapeId="0" xr:uid="{E6627F9E-CCD4-4AA5-9F79-A4FBD1F96F5A}">
      <text>
        <r>
          <rPr>
            <b/>
            <sz val="9"/>
            <color indexed="81"/>
            <rFont val="Tahoma"/>
            <family val="2"/>
          </rPr>
          <t xml:space="preserve">
R-AFC 
</t>
        </r>
        <r>
          <rPr>
            <sz val="9"/>
            <color indexed="81"/>
            <rFont val="Tahoma"/>
            <family val="2"/>
          </rPr>
          <t>by 
Mesut GÜNDÜZ</t>
        </r>
      </text>
    </comment>
    <comment ref="G7" authorId="0" shapeId="0" xr:uid="{E3836699-BABC-40A3-8563-7A72D0214D31}">
      <text>
        <r>
          <rPr>
            <b/>
            <i/>
            <sz val="9"/>
            <color indexed="81"/>
            <rFont val="Tahoma"/>
            <family val="2"/>
          </rPr>
          <t>r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Tahoma"/>
            <family val="2"/>
          </rPr>
          <t>rate of assimilation of crust/rate of fractional crystallization</t>
        </r>
      </text>
    </comment>
    <comment ref="K7" authorId="0" shapeId="0" xr:uid="{01B96F57-A3D9-4466-9838-FFA105B5E7A7}">
      <text>
        <r>
          <rPr>
            <sz val="9"/>
            <color indexed="81"/>
            <rFont val="Tahoma"/>
            <family val="2"/>
          </rPr>
          <t>Element concentration in the original magma</t>
        </r>
      </text>
    </comment>
    <comment ref="K9" authorId="0" shapeId="0" xr:uid="{80F2AE2F-9C9A-411F-AF54-5E4A8727E36D}">
      <text>
        <r>
          <rPr>
            <sz val="9"/>
            <color indexed="81"/>
            <rFont val="Tahoma"/>
            <family val="2"/>
          </rPr>
          <t>Element concentration in wall-rock melt</t>
        </r>
      </text>
    </comment>
    <comment ref="K11" authorId="0" shapeId="0" xr:uid="{FDC39EE5-9884-44CC-B1BF-0BF9D3858314}">
      <text>
        <r>
          <rPr>
            <sz val="9"/>
            <color indexed="81"/>
            <rFont val="Tahoma"/>
            <family val="2"/>
          </rPr>
          <t>Element concentration in the recharge magma</t>
        </r>
      </text>
    </comment>
    <comment ref="G13" authorId="0" shapeId="0" xr:uid="{D142BD6E-29A0-4B16-97DD-0412FD3C1083}">
      <text>
        <r>
          <rPr>
            <b/>
            <i/>
            <sz val="9"/>
            <color indexed="81"/>
            <rFont val="Tahoma"/>
            <family val="2"/>
          </rPr>
          <t>ρ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Tahoma"/>
            <family val="2"/>
          </rPr>
          <t>crust/magma ratio in situations involving magma recharge or replenishment (Equation 6 from Aitcheson and Forrest 1994)</t>
        </r>
      </text>
    </comment>
    <comment ref="K13" authorId="0" shapeId="0" xr:uid="{B48A72ED-32FB-452D-AB9F-41170C29F7E6}">
      <text>
        <r>
          <rPr>
            <sz val="9"/>
            <color indexed="81"/>
            <rFont val="Tahoma"/>
            <family val="2"/>
          </rPr>
          <t>Element concentration in the contaminated magma (from Dataset or "Element Concentration" sheet)</t>
        </r>
      </text>
    </comment>
    <comment ref="K15" authorId="0" shapeId="0" xr:uid="{FE597114-1560-49FE-BBE4-C0EB04D5A4A7}">
      <text>
        <r>
          <rPr>
            <sz val="9"/>
            <color indexed="81"/>
            <rFont val="Tahoma"/>
            <family val="2"/>
          </rPr>
          <t>Fraction of magma remaining in non-recharge situations (Equation 6a from DePaolo 1981)</t>
        </r>
      </text>
    </comment>
    <comment ref="G16" authorId="0" shapeId="0" xr:uid="{BACBFAE7-F0D1-4E64-AA81-CFA5498C3EDE}">
      <text>
        <r>
          <rPr>
            <sz val="9"/>
            <color indexed="81"/>
            <rFont val="Tahoma"/>
            <family val="2"/>
          </rPr>
          <t xml:space="preserve">Algebraic multiplication of </t>
        </r>
        <r>
          <rPr>
            <b/>
            <i/>
            <sz val="9"/>
            <color indexed="81"/>
            <rFont val="Tahoma"/>
            <family val="2"/>
          </rPr>
          <t>β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b/>
            <i/>
            <sz val="9"/>
            <color indexed="81"/>
            <rFont val="Tahoma"/>
            <family val="2"/>
          </rPr>
          <t>r</t>
        </r>
      </text>
    </comment>
    <comment ref="K17" authorId="0" shapeId="0" xr:uid="{C311B5A7-9C31-4DEF-BD45-11FD970B8D37}">
      <text>
        <r>
          <rPr>
            <sz val="9"/>
            <color indexed="81"/>
            <rFont val="Tahoma"/>
            <family val="2"/>
          </rPr>
          <t>Element concentration in the contaminated magma (Equation 6a from DePaolo 1981)</t>
        </r>
      </text>
    </comment>
    <comment ref="G19" authorId="0" shapeId="0" xr:uid="{DB1EF6E4-FE6C-414E-9820-BF31541BDF28}">
      <text>
        <r>
          <rPr>
            <sz val="9"/>
            <color indexed="81"/>
            <rFont val="Tahoma"/>
            <family val="2"/>
          </rPr>
          <t xml:space="preserve">Original magma 
(1-"Crust/Magma ratio" and "Magma recharge")
</t>
        </r>
      </text>
    </comment>
    <comment ref="K19" authorId="0" shapeId="0" xr:uid="{875EE48D-F2DB-4D59-B24F-489FA8B668BA}">
      <text>
        <r>
          <rPr>
            <sz val="9"/>
            <color indexed="81"/>
            <rFont val="Tahoma"/>
            <family val="2"/>
          </rPr>
          <t>Bulk distribution coefficient of the element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MESUT</author>
  </authors>
  <commentList>
    <comment ref="B2" authorId="0" shapeId="0" xr:uid="{C071277F-1150-4893-92EE-EED34C02F34A}">
      <text>
        <r>
          <rPr>
            <b/>
            <sz val="9"/>
            <color indexed="81"/>
            <rFont val="Tahoma"/>
            <family val="2"/>
          </rPr>
          <t xml:space="preserve">
R-AFC 
</t>
        </r>
        <r>
          <rPr>
            <sz val="9"/>
            <color indexed="81"/>
            <rFont val="Tahoma"/>
            <family val="2"/>
          </rPr>
          <t>by 
Mesut GÜNDÜZ</t>
        </r>
      </text>
    </comment>
    <comment ref="G7" authorId="0" shapeId="0" xr:uid="{63E3DEA1-A577-49B4-BB66-C23688D4B96C}">
      <text>
        <r>
          <rPr>
            <b/>
            <i/>
            <sz val="9"/>
            <color indexed="81"/>
            <rFont val="Tahoma"/>
            <family val="2"/>
          </rPr>
          <t>r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Tahoma"/>
            <family val="2"/>
          </rPr>
          <t>rate of assimilation of crust/rate of fractional crystallization</t>
        </r>
      </text>
    </comment>
    <comment ref="K7" authorId="0" shapeId="0" xr:uid="{2FE57AA2-FD84-4240-A810-EFD2B3F1A8DC}">
      <text>
        <r>
          <rPr>
            <sz val="9"/>
            <color indexed="81"/>
            <rFont val="Tahoma"/>
            <family val="2"/>
          </rPr>
          <t>Element concentration in the original magma</t>
        </r>
      </text>
    </comment>
    <comment ref="K8" authorId="0" shapeId="0" xr:uid="{7DC8988A-567A-4F84-9FD7-16792E01C7BC}">
      <text>
        <r>
          <rPr>
            <sz val="9"/>
            <color indexed="81"/>
            <rFont val="Tahoma"/>
            <family val="2"/>
          </rPr>
          <t>Isotopic ratio in the original magma</t>
        </r>
      </text>
    </comment>
    <comment ref="K10" authorId="0" shapeId="0" xr:uid="{656D2222-6528-4257-950E-4F6868593BC4}">
      <text>
        <r>
          <rPr>
            <sz val="9"/>
            <color indexed="81"/>
            <rFont val="Tahoma"/>
            <family val="2"/>
          </rPr>
          <t>Element concentration in wall-rock melt</t>
        </r>
      </text>
    </comment>
    <comment ref="K11" authorId="0" shapeId="0" xr:uid="{2CCB48EE-8E89-4CCF-88D1-CBFD46A448FA}">
      <text>
        <r>
          <rPr>
            <sz val="9"/>
            <color indexed="81"/>
            <rFont val="Tahoma"/>
            <family val="2"/>
          </rPr>
          <t>Isotopic ratio in the wall-rock melt</t>
        </r>
      </text>
    </comment>
    <comment ref="G13" authorId="0" shapeId="0" xr:uid="{9D5C8E97-1D79-4B81-A44F-AE6ECC45139F}">
      <text>
        <r>
          <rPr>
            <b/>
            <i/>
            <sz val="9"/>
            <color indexed="81"/>
            <rFont val="Tahoma"/>
            <family val="2"/>
          </rPr>
          <t>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 crust/magma ratio in situations involving magma recharge or replenishment (Equation 9 and 10 from Aitcheson and Forrest 1994)</t>
        </r>
      </text>
    </comment>
    <comment ref="K13" authorId="0" shapeId="0" xr:uid="{37F8B32E-8266-48E7-9FA9-0FE39594CA10}">
      <text>
        <r>
          <rPr>
            <sz val="9"/>
            <color indexed="81"/>
            <rFont val="Tahoma"/>
            <family val="2"/>
          </rPr>
          <t>Element concentration in the recharge magma</t>
        </r>
      </text>
    </comment>
    <comment ref="K14" authorId="0" shapeId="0" xr:uid="{A15E932A-EE99-43E9-9C83-8FE499A89164}">
      <text>
        <r>
          <rPr>
            <sz val="9"/>
            <color indexed="81"/>
            <rFont val="Tahoma"/>
            <family val="2"/>
          </rPr>
          <t>Isotopic ratio in the recharge magma</t>
        </r>
      </text>
    </comment>
    <comment ref="G16" authorId="0" shapeId="0" xr:uid="{0C4E2998-0770-48CA-BFD2-E98BF77EB29C}">
      <text>
        <r>
          <rPr>
            <sz val="9"/>
            <color indexed="81"/>
            <rFont val="Tahoma"/>
            <family val="2"/>
          </rPr>
          <t xml:space="preserve">Algebraic multiplication of </t>
        </r>
        <r>
          <rPr>
            <b/>
            <i/>
            <sz val="9"/>
            <color indexed="81"/>
            <rFont val="Tahoma"/>
            <family val="2"/>
          </rPr>
          <t>β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b/>
            <i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6" authorId="0" shapeId="0" xr:uid="{22E2F764-7855-4A79-B167-4E06DCA571F0}">
      <text>
        <r>
          <rPr>
            <sz val="9"/>
            <color indexed="81"/>
            <rFont val="Tahoma"/>
            <family val="2"/>
          </rPr>
          <t>Element concentration in the contaminated magma (from Dataset or "Element Concentration" sheet)</t>
        </r>
      </text>
    </comment>
    <comment ref="K17" authorId="0" shapeId="0" xr:uid="{E2B5C67A-7969-49FC-860C-7CA212A967B6}">
      <text>
        <r>
          <rPr>
            <sz val="9"/>
            <color indexed="81"/>
            <rFont val="Tahoma"/>
            <family val="2"/>
          </rPr>
          <t>Fraction of magma remaining in non-recharge situations (Equation 6a from DePaolo 1981)</t>
        </r>
      </text>
    </comment>
    <comment ref="K18" authorId="0" shapeId="0" xr:uid="{C583A45D-6F7D-48D9-907F-F3EDEF0662E3}">
      <text>
        <r>
          <rPr>
            <sz val="9"/>
            <color indexed="81"/>
            <rFont val="Tahoma"/>
            <family val="2"/>
          </rPr>
          <t>Isotopic ratio in the contaminated magma (Equation 15a from DePaolo 1981)</t>
        </r>
      </text>
    </comment>
    <comment ref="G19" authorId="0" shapeId="0" xr:uid="{4FD744D4-DDDD-4CD2-9DB8-7556DE46C0EC}">
      <text>
        <r>
          <rPr>
            <sz val="9"/>
            <color indexed="81"/>
            <rFont val="Tahoma"/>
            <family val="2"/>
          </rPr>
          <t xml:space="preserve">Original magma 
(1-"Crust/Magma ratio" and "Magma recharge")
</t>
        </r>
      </text>
    </comment>
    <comment ref="K20" authorId="0" shapeId="0" xr:uid="{20E7F6C7-305C-4EF9-A8C5-51EAA52D3F67}">
      <text>
        <r>
          <rPr>
            <sz val="9"/>
            <color indexed="81"/>
            <rFont val="Tahoma"/>
            <family val="2"/>
          </rPr>
          <t>Bulk distribution coefficient of the element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Progressive</author>
  </authors>
  <commentList>
    <comment ref="H22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162"/>
          </rPr>
          <t>Confidence level to calculate of lower and upper limits</t>
        </r>
      </text>
    </comment>
  </commentList>
</comments>
</file>

<file path=xl/sharedStrings.xml><?xml version="1.0" encoding="utf-8"?>
<sst xmlns="http://schemas.openxmlformats.org/spreadsheetml/2006/main" count="189" uniqueCount="69">
  <si>
    <t>r</t>
  </si>
  <si>
    <t>D</t>
  </si>
  <si>
    <t>z</t>
  </si>
  <si>
    <t>ρ</t>
  </si>
  <si>
    <r>
      <rPr>
        <sz val="11"/>
        <color theme="1"/>
        <rFont val="Arial Tur"/>
        <charset val="1"/>
      </rPr>
      <t>ɛ</t>
    </r>
    <r>
      <rPr>
        <sz val="11"/>
        <color theme="1"/>
        <rFont val="Calibri"/>
        <family val="2"/>
        <scheme val="minor"/>
      </rPr>
      <t>m</t>
    </r>
  </si>
  <si>
    <t>C0</t>
  </si>
  <si>
    <t>Ca</t>
  </si>
  <si>
    <t>Cm</t>
  </si>
  <si>
    <t>β</t>
  </si>
  <si>
    <t>ρ'</t>
  </si>
  <si>
    <r>
      <rPr>
        <sz val="11"/>
        <color theme="1"/>
        <rFont val="Arial Tur"/>
        <charset val="1"/>
      </rPr>
      <t>ɛ</t>
    </r>
    <r>
      <rPr>
        <sz val="11"/>
        <color theme="1"/>
        <rFont val="Calibri"/>
        <family val="2"/>
        <scheme val="minor"/>
      </rPr>
      <t>r</t>
    </r>
  </si>
  <si>
    <t>ɛ0</t>
  </si>
  <si>
    <t>ɛa</t>
  </si>
  <si>
    <t>Cr</t>
  </si>
  <si>
    <t>ɛm</t>
  </si>
  <si>
    <t>ɛr</t>
  </si>
  <si>
    <t>beta</t>
  </si>
  <si>
    <t>recharge</t>
  </si>
  <si>
    <r>
      <t>C</t>
    </r>
    <r>
      <rPr>
        <b/>
        <vertAlign val="subscript"/>
        <sz val="10"/>
        <color theme="1"/>
        <rFont val="Times New Roman"/>
        <family val="1"/>
      </rPr>
      <t>m</t>
    </r>
    <r>
      <rPr>
        <b/>
        <vertAlign val="superscript"/>
        <sz val="10"/>
        <color theme="1"/>
        <rFont val="Times New Roman"/>
        <family val="1"/>
      </rPr>
      <t>0</t>
    </r>
  </si>
  <si>
    <r>
      <t>ɛ</t>
    </r>
    <r>
      <rPr>
        <b/>
        <vertAlign val="subscript"/>
        <sz val="10"/>
        <color theme="1"/>
        <rFont val="Times New Roman"/>
        <family val="1"/>
      </rPr>
      <t>m</t>
    </r>
    <r>
      <rPr>
        <b/>
        <vertAlign val="superscript"/>
        <sz val="10"/>
        <color theme="1"/>
        <rFont val="Times New Roman"/>
        <family val="1"/>
      </rPr>
      <t>0</t>
    </r>
  </si>
  <si>
    <r>
      <t>C</t>
    </r>
    <r>
      <rPr>
        <b/>
        <vertAlign val="subscript"/>
        <sz val="10"/>
        <color theme="1"/>
        <rFont val="Times New Roman"/>
        <family val="1"/>
      </rPr>
      <t>a</t>
    </r>
  </si>
  <si>
    <r>
      <t>ɛ</t>
    </r>
    <r>
      <rPr>
        <b/>
        <vertAlign val="subscript"/>
        <sz val="10"/>
        <color theme="1"/>
        <rFont val="Times New Roman"/>
        <family val="1"/>
      </rPr>
      <t>a</t>
    </r>
  </si>
  <si>
    <r>
      <t>ɛ</t>
    </r>
    <r>
      <rPr>
        <b/>
        <vertAlign val="subscript"/>
        <sz val="10"/>
        <color theme="1"/>
        <rFont val="Times New Roman"/>
        <family val="1"/>
      </rPr>
      <t>m</t>
    </r>
  </si>
  <si>
    <r>
      <t>C</t>
    </r>
    <r>
      <rPr>
        <b/>
        <vertAlign val="subscript"/>
        <sz val="10"/>
        <color theme="1"/>
        <rFont val="Times New Roman"/>
        <family val="1"/>
      </rPr>
      <t>r</t>
    </r>
  </si>
  <si>
    <r>
      <t>ɛ</t>
    </r>
    <r>
      <rPr>
        <b/>
        <vertAlign val="subscript"/>
        <sz val="10"/>
        <color theme="1"/>
        <rFont val="Times New Roman"/>
        <family val="1"/>
      </rPr>
      <t>r</t>
    </r>
  </si>
  <si>
    <t>Magma recharge</t>
  </si>
  <si>
    <r>
      <t>C</t>
    </r>
    <r>
      <rPr>
        <b/>
        <vertAlign val="subscript"/>
        <sz val="10"/>
        <color theme="1"/>
        <rFont val="Times New Roman"/>
        <family val="1"/>
      </rPr>
      <t>m</t>
    </r>
  </si>
  <si>
    <t>Sr</t>
  </si>
  <si>
    <t>1-F</t>
  </si>
  <si>
    <t>F</t>
  </si>
  <si>
    <t>R-AFC</t>
  </si>
  <si>
    <r>
      <t>C</t>
    </r>
    <r>
      <rPr>
        <b/>
        <vertAlign val="subscript"/>
        <sz val="10"/>
        <color theme="1"/>
        <rFont val="Times New Roman"/>
        <family val="1"/>
      </rPr>
      <t>m</t>
    </r>
    <r>
      <rPr>
        <b/>
        <i/>
        <vertAlign val="superscript"/>
        <sz val="10"/>
        <color theme="1"/>
        <rFont val="Times New Roman"/>
        <family val="1"/>
      </rPr>
      <t>x</t>
    </r>
  </si>
  <si>
    <t>Crust/Magma</t>
  </si>
  <si>
    <t>Original magma</t>
  </si>
  <si>
    <t>Element</t>
  </si>
  <si>
    <t>)</t>
  </si>
  <si>
    <t>(</t>
  </si>
  <si>
    <t xml:space="preserve">Upper limit </t>
  </si>
  <si>
    <t xml:space="preserve">Lower limit </t>
  </si>
  <si>
    <t>Variance</t>
  </si>
  <si>
    <t>Upper limit</t>
  </si>
  <si>
    <t>Confidence level</t>
  </si>
  <si>
    <t>Calculated t-value</t>
  </si>
  <si>
    <t>Lower limit</t>
  </si>
  <si>
    <t>Degrees of freedom</t>
  </si>
  <si>
    <t>Coefficient of Variation</t>
  </si>
  <si>
    <t>Standard Error</t>
  </si>
  <si>
    <t>Standard Deviation</t>
  </si>
  <si>
    <t>Deviation from average</t>
  </si>
  <si>
    <t>Harmonic Mean</t>
  </si>
  <si>
    <t>Geometric Mean</t>
  </si>
  <si>
    <t>G-28</t>
  </si>
  <si>
    <t>Arithmetic Mean</t>
  </si>
  <si>
    <t>Rate of Change</t>
  </si>
  <si>
    <t>G-24A</t>
  </si>
  <si>
    <t>Change Range</t>
  </si>
  <si>
    <t>G-15</t>
  </si>
  <si>
    <t>M-13</t>
  </si>
  <si>
    <r>
      <t>X</t>
    </r>
    <r>
      <rPr>
        <b/>
        <sz val="9"/>
        <color theme="1"/>
        <rFont val="Times New Roman"/>
        <family val="1"/>
        <charset val="162"/>
      </rPr>
      <t>min</t>
    </r>
  </si>
  <si>
    <t>M-12</t>
  </si>
  <si>
    <r>
      <t>X</t>
    </r>
    <r>
      <rPr>
        <b/>
        <sz val="9"/>
        <color theme="1"/>
        <rFont val="Times New Roman"/>
        <family val="1"/>
        <charset val="162"/>
      </rPr>
      <t>max</t>
    </r>
  </si>
  <si>
    <t>M-6</t>
  </si>
  <si>
    <t>Number of Samples</t>
  </si>
  <si>
    <t>M-2</t>
  </si>
  <si>
    <t>CALCULATIONS</t>
  </si>
  <si>
    <t>Dataset</t>
  </si>
  <si>
    <r>
      <rPr>
        <b/>
        <sz val="14"/>
        <color rgb="FF800000"/>
        <rFont val="Times New Roman"/>
        <family val="1"/>
      </rPr>
      <t>C</t>
    </r>
    <r>
      <rPr>
        <b/>
        <vertAlign val="subscript"/>
        <sz val="14"/>
        <color rgb="FF800000"/>
        <rFont val="Times New Roman"/>
        <family val="1"/>
      </rPr>
      <t>m</t>
    </r>
    <r>
      <rPr>
        <b/>
        <i/>
        <vertAlign val="superscript"/>
        <sz val="14"/>
        <color rgb="FF800000"/>
        <rFont val="Times New Roman"/>
        <family val="1"/>
      </rPr>
      <t>x</t>
    </r>
    <r>
      <rPr>
        <b/>
        <i/>
        <sz val="14"/>
        <color rgb="FF800000"/>
        <rFont val="Times New Roman"/>
        <family val="1"/>
      </rPr>
      <t xml:space="preserve"> </t>
    </r>
    <r>
      <rPr>
        <b/>
        <sz val="14"/>
        <color rgb="FF800000"/>
        <rFont val="Times New Roman"/>
        <family val="1"/>
      </rPr>
      <t>Estimation</t>
    </r>
  </si>
  <si>
    <r>
      <t>X</t>
    </r>
    <r>
      <rPr>
        <b/>
        <sz val="9"/>
        <color rgb="FFFF0000"/>
        <rFont val="Times New Roman"/>
        <family val="1"/>
        <charset val="162"/>
      </rPr>
      <t>max</t>
    </r>
  </si>
  <si>
    <r>
      <t>X</t>
    </r>
    <r>
      <rPr>
        <b/>
        <sz val="9"/>
        <color rgb="FFFF0000"/>
        <rFont val="Times New Roman"/>
        <family val="1"/>
        <charset val="162"/>
      </rPr>
      <t>min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</si>
</sst>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"/>
  </numFmts>
  <fonts count="48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rial Tur"/>
    </font>
    <font>
      <sz val="11"/>
      <color theme="1"/>
      <name val="Arial Tur"/>
      <charset val="1"/>
    </font>
    <font>
      <sz val="11"/>
      <color theme="1"/>
      <name val="Calibri"/>
      <family val="2"/>
      <charset val="1"/>
      <scheme val="minor"/>
    </font>
    <font>
      <sz val="11"/>
      <color theme="0" tint="-0.34998626667073579"/>
      <name val="Arial Tur"/>
      <charset val="1"/>
    </font>
    <font>
      <sz val="10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b/>
      <vertAlign val="superscript"/>
      <sz val="10"/>
      <color theme="1"/>
      <name val="Times New Roman"/>
      <family val="1"/>
    </font>
    <font>
      <b/>
      <i/>
      <sz val="12"/>
      <color rgb="FF800000"/>
      <name val="Times New Roman"/>
      <family val="1"/>
    </font>
    <font>
      <b/>
      <i/>
      <sz val="11"/>
      <color rgb="FF800000"/>
      <name val="Calibri"/>
      <family val="2"/>
      <scheme val="minor"/>
    </font>
    <font>
      <b/>
      <i/>
      <sz val="14"/>
      <color rgb="FF80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sz val="14"/>
      <color rgb="FF800000"/>
      <name val="Times New Roman"/>
      <family val="1"/>
    </font>
    <font>
      <b/>
      <sz val="10"/>
      <color rgb="FF800000"/>
      <name val="Times New Roman"/>
      <family val="1"/>
    </font>
    <font>
      <b/>
      <i/>
      <vertAlign val="superscript"/>
      <sz val="10"/>
      <color theme="1"/>
      <name val="Times New Roman"/>
      <family val="1"/>
    </font>
    <font>
      <b/>
      <i/>
      <sz val="11"/>
      <color rgb="FF800000"/>
      <name val="Times New Roman"/>
      <family val="1"/>
    </font>
    <font>
      <b/>
      <sz val="10"/>
      <name val="Times New Roman"/>
      <family val="1"/>
    </font>
    <font>
      <sz val="11"/>
      <name val="Calibri"/>
      <family val="2"/>
      <scheme val="minor"/>
    </font>
    <font>
      <sz val="11"/>
      <color theme="1"/>
      <name val="Times New Roman"/>
      <family val="1"/>
      <charset val="162"/>
    </font>
    <font>
      <sz val="11"/>
      <name val="Times New Roman"/>
      <family val="1"/>
      <charset val="162"/>
    </font>
    <font>
      <sz val="10"/>
      <color theme="1"/>
      <name val="Times New Roman"/>
      <family val="1"/>
      <charset val="162"/>
    </font>
    <font>
      <b/>
      <sz val="10"/>
      <color theme="1"/>
      <name val="Times New Roman"/>
      <family val="1"/>
      <charset val="162"/>
    </font>
    <font>
      <b/>
      <sz val="11"/>
      <color theme="1"/>
      <name val="Times New Roman"/>
      <family val="1"/>
      <charset val="162"/>
    </font>
    <font>
      <sz val="10"/>
      <color theme="1"/>
      <name val="Calibri"/>
      <family val="2"/>
      <charset val="162"/>
      <scheme val="minor"/>
    </font>
    <font>
      <b/>
      <sz val="9"/>
      <color theme="1"/>
      <name val="Times New Roman"/>
      <family val="1"/>
      <charset val="162"/>
    </font>
    <font>
      <b/>
      <sz val="10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9"/>
      <color indexed="81"/>
      <name val="Tahoma"/>
      <family val="2"/>
      <charset val="162"/>
    </font>
    <font>
      <sz val="11"/>
      <color theme="0" tint="-0.249977111117893"/>
      <name val="Calibri"/>
      <family val="2"/>
      <scheme val="minor"/>
    </font>
    <font>
      <b/>
      <i/>
      <vertAlign val="superscript"/>
      <sz val="14"/>
      <color rgb="FF800000"/>
      <name val="Times New Roman"/>
      <family val="1"/>
    </font>
    <font>
      <sz val="14"/>
      <color theme="1"/>
      <name val="Calibri"/>
      <family val="2"/>
      <scheme val="minor"/>
    </font>
    <font>
      <b/>
      <vertAlign val="subscript"/>
      <sz val="14"/>
      <color rgb="FF800000"/>
      <name val="Times New Roman"/>
      <family val="1"/>
    </font>
    <font>
      <b/>
      <i/>
      <sz val="10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FF0000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sz val="10"/>
      <color rgb="FFFF0000"/>
      <name val="Times New Roman"/>
      <family val="1"/>
      <charset val="162"/>
    </font>
    <font>
      <b/>
      <sz val="9"/>
      <color rgb="FFFF0000"/>
      <name val="Times New Roman"/>
      <family val="1"/>
      <charset val="162"/>
    </font>
    <font>
      <b/>
      <sz val="11"/>
      <color rgb="FFFF0000"/>
      <name val="Times New Roman"/>
      <family val="1"/>
      <charset val="162"/>
    </font>
    <font>
      <sz val="9"/>
      <color rgb="FFFF0000"/>
      <name val="Times New Roman"/>
      <family val="1"/>
      <charset val="16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patternFill patternType="solid">
        <fgColor theme="0" tint="-4.9989318521683403E-2"/>
        <bgColor auto="1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9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4" borderId="2" xfId="0" applyFill="1" applyBorder="1"/>
    <xf numFmtId="0" fontId="0" fillId="4" borderId="3" xfId="0" applyFill="1" applyBorder="1"/>
    <xf numFmtId="0" fontId="1" fillId="4" borderId="2" xfId="0" applyFont="1" applyFill="1" applyBorder="1"/>
    <xf numFmtId="2" fontId="1" fillId="4" borderId="3" xfId="0" applyNumberFormat="1" applyFont="1" applyFill="1" applyBorder="1"/>
    <xf numFmtId="0" fontId="0" fillId="5" borderId="0" xfId="0" applyFill="1"/>
    <xf numFmtId="9" fontId="0" fillId="5" borderId="0" xfId="0" applyNumberFormat="1" applyFill="1"/>
    <xf numFmtId="0" fontId="0" fillId="5" borderId="5" xfId="0" applyFill="1" applyBorder="1"/>
    <xf numFmtId="9" fontId="0" fillId="6" borderId="1" xfId="0" applyNumberFormat="1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2" fontId="0" fillId="5" borderId="0" xfId="0" applyNumberFormat="1" applyFill="1"/>
    <xf numFmtId="164" fontId="0" fillId="6" borderId="1" xfId="0" applyNumberFormat="1" applyFill="1" applyBorder="1" applyAlignment="1">
      <alignment horizontal="center" vertical="center"/>
    </xf>
    <xf numFmtId="2" fontId="0" fillId="5" borderId="5" xfId="0" applyNumberFormat="1" applyFill="1" applyBorder="1"/>
    <xf numFmtId="165" fontId="0" fillId="3" borderId="1" xfId="0" applyNumberFormat="1" applyFill="1" applyBorder="1"/>
    <xf numFmtId="0" fontId="0" fillId="7" borderId="1" xfId="0" applyFill="1" applyBorder="1" applyAlignment="1">
      <alignment horizontal="center"/>
    </xf>
    <xf numFmtId="0" fontId="0" fillId="2" borderId="7" xfId="0" applyFill="1" applyBorder="1"/>
    <xf numFmtId="2" fontId="0" fillId="3" borderId="7" xfId="0" applyNumberFormat="1" applyFill="1" applyBorder="1"/>
    <xf numFmtId="0" fontId="3" fillId="2" borderId="8" xfId="0" applyFont="1" applyFill="1" applyBorder="1"/>
    <xf numFmtId="2" fontId="0" fillId="3" borderId="8" xfId="0" applyNumberFormat="1" applyFill="1" applyBorder="1"/>
    <xf numFmtId="0" fontId="5" fillId="4" borderId="9" xfId="0" applyFont="1" applyFill="1" applyBorder="1"/>
    <xf numFmtId="2" fontId="1" fillId="4" borderId="10" xfId="0" applyNumberFormat="1" applyFont="1" applyFill="1" applyBorder="1"/>
    <xf numFmtId="2" fontId="0" fillId="4" borderId="1" xfId="0" applyNumberFormat="1" applyFill="1" applyBorder="1"/>
    <xf numFmtId="2" fontId="0" fillId="6" borderId="1" xfId="0" applyNumberFormat="1" applyFill="1" applyBorder="1"/>
    <xf numFmtId="9" fontId="0" fillId="3" borderId="8" xfId="0" applyNumberFormat="1" applyFill="1" applyBorder="1"/>
    <xf numFmtId="2" fontId="0" fillId="0" borderId="0" xfId="0" applyNumberFormat="1"/>
    <xf numFmtId="2" fontId="0" fillId="2" borderId="8" xfId="0" applyNumberFormat="1" applyFill="1" applyBorder="1"/>
    <xf numFmtId="2" fontId="0" fillId="2" borderId="7" xfId="0" applyNumberFormat="1" applyFill="1" applyBorder="1"/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164" fontId="0" fillId="5" borderId="0" xfId="0" applyNumberFormat="1" applyFill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0" xfId="0" applyFill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5" xfId="0" applyFill="1" applyBorder="1" applyAlignment="1">
      <alignment horizontal="center"/>
    </xf>
    <xf numFmtId="2" fontId="0" fillId="2" borderId="15" xfId="0" applyNumberFormat="1" applyFill="1" applyBorder="1"/>
    <xf numFmtId="0" fontId="7" fillId="2" borderId="0" xfId="0" applyFont="1" applyFill="1" applyAlignment="1">
      <alignment horizontal="center"/>
    </xf>
    <xf numFmtId="10" fontId="0" fillId="0" borderId="0" xfId="0" applyNumberFormat="1"/>
    <xf numFmtId="0" fontId="7" fillId="2" borderId="0" xfId="0" applyFont="1" applyFill="1"/>
    <xf numFmtId="165" fontId="7" fillId="2" borderId="0" xfId="0" applyNumberFormat="1" applyFont="1" applyFill="1"/>
    <xf numFmtId="2" fontId="7" fillId="2" borderId="0" xfId="0" applyNumberFormat="1" applyFont="1" applyFill="1"/>
    <xf numFmtId="0" fontId="9" fillId="2" borderId="0" xfId="0" applyFont="1" applyFill="1" applyAlignment="1">
      <alignment horizontal="center" vertical="center"/>
    </xf>
    <xf numFmtId="0" fontId="10" fillId="6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10" fillId="6" borderId="1" xfId="0" applyFont="1" applyFill="1" applyBorder="1" applyAlignment="1">
      <alignment horizontal="center" vertical="top"/>
    </xf>
    <xf numFmtId="164" fontId="0" fillId="6" borderId="1" xfId="0" applyNumberFormat="1" applyFill="1" applyBorder="1"/>
    <xf numFmtId="0" fontId="2" fillId="0" borderId="0" xfId="0" applyFont="1"/>
    <xf numFmtId="0" fontId="9" fillId="2" borderId="14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9" fillId="2" borderId="16" xfId="0" applyFont="1" applyFill="1" applyBorder="1" applyAlignment="1">
      <alignment horizontal="center" vertical="center"/>
    </xf>
    <xf numFmtId="0" fontId="19" fillId="2" borderId="17" xfId="0" applyFont="1" applyFill="1" applyBorder="1" applyAlignment="1">
      <alignment horizontal="center" vertical="center"/>
    </xf>
    <xf numFmtId="0" fontId="19" fillId="2" borderId="18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9" fillId="8" borderId="1" xfId="0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>
      <alignment horizontal="center" vertical="center"/>
    </xf>
    <xf numFmtId="164" fontId="0" fillId="0" borderId="0" xfId="0" applyNumberFormat="1"/>
    <xf numFmtId="164" fontId="0" fillId="0" borderId="1" xfId="0" applyNumberFormat="1" applyBorder="1"/>
    <xf numFmtId="0" fontId="2" fillId="0" borderId="0" xfId="0" applyFont="1" applyAlignment="1">
      <alignment horizontal="center"/>
    </xf>
    <xf numFmtId="0" fontId="23" fillId="6" borderId="1" xfId="0" applyFont="1" applyFill="1" applyBorder="1" applyAlignment="1">
      <alignment horizontal="center" vertical="center"/>
    </xf>
    <xf numFmtId="0" fontId="24" fillId="5" borderId="0" xfId="0" applyFont="1" applyFill="1"/>
    <xf numFmtId="0" fontId="20" fillId="6" borderId="1" xfId="0" applyFont="1" applyFill="1" applyBorder="1" applyAlignment="1" applyProtection="1">
      <alignment horizontal="center" vertical="center"/>
      <protection locked="0"/>
    </xf>
    <xf numFmtId="0" fontId="6" fillId="0" borderId="0" xfId="0" applyFont="1"/>
    <xf numFmtId="0" fontId="1" fillId="0" borderId="0" xfId="0" applyFont="1"/>
    <xf numFmtId="2" fontId="1" fillId="0" borderId="0" xfId="0" applyNumberFormat="1" applyFont="1"/>
    <xf numFmtId="0" fontId="5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4" borderId="0" xfId="0" applyFill="1"/>
    <xf numFmtId="2" fontId="10" fillId="6" borderId="1" xfId="0" applyNumberFormat="1" applyFont="1" applyFill="1" applyBorder="1" applyAlignment="1" applyProtection="1">
      <alignment vertical="center"/>
      <protection locked="0"/>
    </xf>
    <xf numFmtId="2" fontId="9" fillId="2" borderId="1" xfId="0" applyNumberFormat="1" applyFont="1" applyFill="1" applyBorder="1" applyAlignment="1">
      <alignment horizontal="center"/>
    </xf>
    <xf numFmtId="2" fontId="27" fillId="2" borderId="1" xfId="0" applyNumberFormat="1" applyFont="1" applyFill="1" applyBorder="1" applyAlignment="1">
      <alignment horizontal="center" vertical="center"/>
    </xf>
    <xf numFmtId="0" fontId="27" fillId="8" borderId="1" xfId="0" applyFont="1" applyFill="1" applyBorder="1" applyAlignment="1" applyProtection="1">
      <alignment horizontal="center" vertical="center"/>
      <protection locked="0"/>
    </xf>
    <xf numFmtId="0" fontId="30" fillId="6" borderId="6" xfId="0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4" xfId="0" applyFill="1" applyBorder="1" applyAlignment="1">
      <alignment vertical="center"/>
    </xf>
    <xf numFmtId="0" fontId="0" fillId="6" borderId="20" xfId="0" applyFill="1" applyBorder="1"/>
    <xf numFmtId="0" fontId="0" fillId="6" borderId="21" xfId="0" applyFill="1" applyBorder="1"/>
    <xf numFmtId="0" fontId="0" fillId="6" borderId="19" xfId="0" applyFill="1" applyBorder="1"/>
    <xf numFmtId="2" fontId="28" fillId="6" borderId="1" xfId="0" applyNumberFormat="1" applyFont="1" applyFill="1" applyBorder="1" applyAlignment="1">
      <alignment horizontal="center" vertical="center"/>
    </xf>
    <xf numFmtId="2" fontId="10" fillId="6" borderId="1" xfId="0" applyNumberFormat="1" applyFont="1" applyFill="1" applyBorder="1" applyAlignment="1" applyProtection="1">
      <alignment horizontal="center" vertical="center"/>
      <protection locked="0"/>
    </xf>
    <xf numFmtId="0" fontId="26" fillId="4" borderId="0" xfId="0" applyFont="1" applyFill="1"/>
    <xf numFmtId="0" fontId="0" fillId="5" borderId="11" xfId="0" applyFill="1" applyBorder="1"/>
    <xf numFmtId="0" fontId="0" fillId="5" borderId="14" xfId="0" applyFill="1" applyBorder="1"/>
    <xf numFmtId="0" fontId="0" fillId="5" borderId="16" xfId="0" applyFill="1" applyBorder="1"/>
    <xf numFmtId="0" fontId="0" fillId="5" borderId="12" xfId="0" applyFill="1" applyBorder="1"/>
    <xf numFmtId="0" fontId="0" fillId="5" borderId="13" xfId="0" applyFill="1" applyBorder="1"/>
    <xf numFmtId="0" fontId="26" fillId="5" borderId="15" xfId="0" applyFont="1" applyFill="1" applyBorder="1"/>
    <xf numFmtId="0" fontId="26" fillId="5" borderId="18" xfId="0" applyFont="1" applyFill="1" applyBorder="1"/>
    <xf numFmtId="0" fontId="30" fillId="5" borderId="0" xfId="0" applyFont="1" applyFill="1" applyAlignment="1">
      <alignment horizontal="center" vertical="center"/>
    </xf>
    <xf numFmtId="0" fontId="0" fillId="5" borderId="17" xfId="0" applyFill="1" applyBorder="1" applyAlignment="1">
      <alignment vertical="center"/>
    </xf>
    <xf numFmtId="0" fontId="30" fillId="5" borderId="17" xfId="0" applyFont="1" applyFill="1" applyBorder="1" applyAlignment="1">
      <alignment vertical="center"/>
    </xf>
    <xf numFmtId="0" fontId="0" fillId="5" borderId="12" xfId="0" applyFill="1" applyBorder="1" applyAlignment="1">
      <alignment vertical="center"/>
    </xf>
    <xf numFmtId="0" fontId="30" fillId="5" borderId="12" xfId="0" applyFont="1" applyFill="1" applyBorder="1" applyAlignment="1">
      <alignment vertical="center"/>
    </xf>
    <xf numFmtId="0" fontId="0" fillId="5" borderId="15" xfId="0" applyFill="1" applyBorder="1"/>
    <xf numFmtId="0" fontId="0" fillId="5" borderId="18" xfId="0" applyFill="1" applyBorder="1"/>
    <xf numFmtId="0" fontId="0" fillId="5" borderId="17" xfId="0" applyFill="1" applyBorder="1"/>
    <xf numFmtId="0" fontId="0" fillId="5" borderId="0" xfId="0" applyFill="1" applyAlignment="1">
      <alignment horizontal="center"/>
    </xf>
    <xf numFmtId="0" fontId="27" fillId="5" borderId="0" xfId="0" applyFont="1" applyFill="1" applyAlignment="1">
      <alignment horizontal="center" vertical="center"/>
    </xf>
    <xf numFmtId="0" fontId="1" fillId="4" borderId="0" xfId="0" applyFont="1" applyFill="1"/>
    <xf numFmtId="0" fontId="35" fillId="5" borderId="0" xfId="0" applyFont="1" applyFill="1" applyAlignment="1">
      <alignment horizontal="center"/>
    </xf>
    <xf numFmtId="0" fontId="35" fillId="5" borderId="0" xfId="0" applyFont="1" applyFill="1"/>
    <xf numFmtId="10" fontId="35" fillId="5" borderId="0" xfId="0" applyNumberFormat="1" applyFont="1" applyFill="1"/>
    <xf numFmtId="2" fontId="35" fillId="5" borderId="0" xfId="0" applyNumberFormat="1" applyFont="1" applyFill="1" applyAlignment="1">
      <alignment horizontal="center" vertical="center"/>
    </xf>
    <xf numFmtId="2" fontId="35" fillId="5" borderId="0" xfId="0" applyNumberFormat="1" applyFont="1" applyFill="1"/>
    <xf numFmtId="0" fontId="35" fillId="5" borderId="0" xfId="0" applyFont="1" applyFill="1" applyAlignment="1">
      <alignment horizontal="center" vertical="center"/>
    </xf>
    <xf numFmtId="10" fontId="35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2" fontId="9" fillId="6" borderId="1" xfId="0" applyNumberFormat="1" applyFont="1" applyFill="1" applyBorder="1" applyAlignment="1">
      <alignment horizontal="center" vertical="center"/>
    </xf>
    <xf numFmtId="0" fontId="39" fillId="6" borderId="1" xfId="0" applyFont="1" applyFill="1" applyBorder="1" applyAlignment="1">
      <alignment horizontal="center" vertical="center"/>
    </xf>
    <xf numFmtId="10" fontId="9" fillId="6" borderId="1" xfId="0" applyNumberFormat="1" applyFont="1" applyFill="1" applyBorder="1" applyAlignment="1" applyProtection="1">
      <alignment horizontal="center" vertical="center"/>
      <protection locked="0"/>
    </xf>
    <xf numFmtId="0" fontId="40" fillId="5" borderId="0" xfId="0" applyFont="1" applyFill="1"/>
    <xf numFmtId="2" fontId="33" fillId="5" borderId="15" xfId="0" applyNumberFormat="1" applyFont="1" applyFill="1" applyBorder="1" applyAlignment="1">
      <alignment horizontal="center"/>
    </xf>
    <xf numFmtId="0" fontId="25" fillId="5" borderId="15" xfId="0" applyFont="1" applyFill="1" applyBorder="1"/>
    <xf numFmtId="2" fontId="10" fillId="6" borderId="1" xfId="0" applyNumberFormat="1" applyFont="1" applyFill="1" applyBorder="1" applyAlignment="1">
      <alignment horizontal="center" vertical="center"/>
    </xf>
    <xf numFmtId="0" fontId="40" fillId="4" borderId="0" xfId="0" applyFont="1" applyFill="1"/>
    <xf numFmtId="0" fontId="41" fillId="4" borderId="0" xfId="0" applyFont="1" applyFill="1"/>
    <xf numFmtId="2" fontId="43" fillId="4" borderId="0" xfId="0" applyNumberFormat="1" applyFont="1" applyFill="1" applyAlignment="1">
      <alignment horizontal="center" vertical="center"/>
    </xf>
    <xf numFmtId="2" fontId="41" fillId="4" borderId="0" xfId="0" applyNumberFormat="1" applyFont="1" applyFill="1"/>
    <xf numFmtId="0" fontId="42" fillId="4" borderId="0" xfId="0" applyFont="1" applyFill="1" applyAlignment="1">
      <alignment vertical="center"/>
    </xf>
    <xf numFmtId="2" fontId="43" fillId="4" borderId="0" xfId="0" applyNumberFormat="1" applyFont="1" applyFill="1" applyAlignment="1">
      <alignment vertical="center"/>
    </xf>
    <xf numFmtId="0" fontId="45" fillId="4" borderId="0" xfId="0" applyFont="1" applyFill="1" applyAlignment="1">
      <alignment vertical="center"/>
    </xf>
    <xf numFmtId="2" fontId="41" fillId="4" borderId="0" xfId="0" applyNumberFormat="1" applyFont="1" applyFill="1" applyAlignment="1">
      <alignment horizontal="right" vertical="center"/>
    </xf>
    <xf numFmtId="2" fontId="46" fillId="4" borderId="0" xfId="0" applyNumberFormat="1" applyFont="1" applyFill="1" applyAlignment="1">
      <alignment vertical="center"/>
    </xf>
    <xf numFmtId="0" fontId="41" fillId="4" borderId="0" xfId="0" applyFont="1" applyFill="1" applyAlignment="1">
      <alignment horizontal="center" vertical="center"/>
    </xf>
    <xf numFmtId="2" fontId="40" fillId="4" borderId="0" xfId="0" applyNumberFormat="1" applyFont="1" applyFill="1"/>
    <xf numFmtId="0" fontId="43" fillId="4" borderId="0" xfId="0" applyFont="1" applyFill="1" applyAlignment="1">
      <alignment vertical="center"/>
    </xf>
    <xf numFmtId="0" fontId="41" fillId="4" borderId="0" xfId="0" applyFont="1" applyFill="1" applyAlignment="1">
      <alignment vertical="center"/>
    </xf>
    <xf numFmtId="0" fontId="13" fillId="9" borderId="19" xfId="0" applyFont="1" applyFill="1" applyBorder="1" applyAlignment="1">
      <alignment horizontal="center" vertical="center"/>
    </xf>
    <xf numFmtId="0" fontId="14" fillId="0" borderId="21" xfId="0" applyFont="1" applyBorder="1"/>
    <xf numFmtId="0" fontId="14" fillId="0" borderId="20" xfId="0" applyFont="1" applyBorder="1"/>
    <xf numFmtId="0" fontId="13" fillId="9" borderId="4" xfId="0" applyFont="1" applyFill="1" applyBorder="1" applyAlignment="1">
      <alignment horizontal="center" vertical="center"/>
    </xf>
    <xf numFmtId="0" fontId="14" fillId="0" borderId="5" xfId="0" applyFont="1" applyBorder="1"/>
    <xf numFmtId="0" fontId="14" fillId="0" borderId="6" xfId="0" applyFont="1" applyBorder="1"/>
    <xf numFmtId="10" fontId="8" fillId="6" borderId="7" xfId="0" applyNumberFormat="1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10" fontId="8" fillId="6" borderId="8" xfId="0" applyNumberFormat="1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19" fillId="10" borderId="12" xfId="0" applyFont="1" applyFill="1" applyBorder="1" applyAlignment="1">
      <alignment horizontal="center" vertical="center"/>
    </xf>
    <xf numFmtId="0" fontId="19" fillId="10" borderId="13" xfId="0" applyFont="1" applyFill="1" applyBorder="1" applyAlignment="1">
      <alignment horizontal="center" vertical="center"/>
    </xf>
    <xf numFmtId="0" fontId="19" fillId="10" borderId="14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9" fillId="10" borderId="15" xfId="0" applyFont="1" applyFill="1" applyBorder="1" applyAlignment="1">
      <alignment horizontal="center" vertical="center"/>
    </xf>
    <xf numFmtId="0" fontId="19" fillId="10" borderId="16" xfId="0" applyFont="1" applyFill="1" applyBorder="1" applyAlignment="1">
      <alignment horizontal="center" vertical="center"/>
    </xf>
    <xf numFmtId="0" fontId="19" fillId="10" borderId="17" xfId="0" applyFont="1" applyFill="1" applyBorder="1" applyAlignment="1">
      <alignment horizontal="center" vertical="center"/>
    </xf>
    <xf numFmtId="0" fontId="19" fillId="10" borderId="18" xfId="0" applyFont="1" applyFill="1" applyBorder="1" applyAlignment="1">
      <alignment horizontal="center" vertical="center"/>
    </xf>
    <xf numFmtId="0" fontId="15" fillId="9" borderId="7" xfId="0" applyFont="1" applyFill="1" applyBorder="1" applyAlignment="1">
      <alignment horizontal="center" vertical="center"/>
    </xf>
    <xf numFmtId="0" fontId="15" fillId="9" borderId="8" xfId="0" applyFont="1" applyFill="1" applyBorder="1" applyAlignment="1">
      <alignment horizontal="center" vertical="center"/>
    </xf>
    <xf numFmtId="2" fontId="8" fillId="8" borderId="7" xfId="0" applyNumberFormat="1" applyFont="1" applyFill="1" applyBorder="1" applyAlignment="1">
      <alignment horizontal="center" vertical="center"/>
    </xf>
    <xf numFmtId="2" fontId="8" fillId="8" borderId="8" xfId="0" applyNumberFormat="1" applyFont="1" applyFill="1" applyBorder="1" applyAlignment="1">
      <alignment horizontal="center" vertical="center"/>
    </xf>
    <xf numFmtId="0" fontId="0" fillId="2" borderId="11" xfId="0" applyFill="1" applyBorder="1"/>
    <xf numFmtId="0" fontId="0" fillId="0" borderId="12" xfId="0" applyBorder="1"/>
    <xf numFmtId="0" fontId="0" fillId="0" borderId="13" xfId="0" applyBorder="1"/>
    <xf numFmtId="0" fontId="22" fillId="9" borderId="1" xfId="0" applyFont="1" applyFill="1" applyBorder="1" applyAlignment="1">
      <alignment horizontal="center" vertical="center"/>
    </xf>
    <xf numFmtId="0" fontId="0" fillId="0" borderId="1" xfId="0" applyBorder="1"/>
    <xf numFmtId="0" fontId="22" fillId="9" borderId="19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0" xfId="0" applyBorder="1"/>
    <xf numFmtId="0" fontId="22" fillId="9" borderId="4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28" fillId="6" borderId="1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0" fontId="37" fillId="0" borderId="12" xfId="0" applyFont="1" applyBorder="1"/>
    <xf numFmtId="0" fontId="37" fillId="0" borderId="13" xfId="0" applyFont="1" applyBorder="1"/>
    <xf numFmtId="0" fontId="15" fillId="9" borderId="14" xfId="0" applyFont="1" applyFill="1" applyBorder="1" applyAlignment="1">
      <alignment horizontal="center" vertical="center"/>
    </xf>
    <xf numFmtId="0" fontId="37" fillId="0" borderId="0" xfId="0" applyFont="1"/>
    <xf numFmtId="0" fontId="37" fillId="0" borderId="15" xfId="0" applyFont="1" applyBorder="1"/>
    <xf numFmtId="0" fontId="37" fillId="0" borderId="16" xfId="0" applyFont="1" applyBorder="1"/>
    <xf numFmtId="0" fontId="37" fillId="0" borderId="17" xfId="0" applyFont="1" applyBorder="1"/>
    <xf numFmtId="0" fontId="37" fillId="0" borderId="18" xfId="0" applyFont="1" applyBorder="1"/>
    <xf numFmtId="0" fontId="32" fillId="6" borderId="1" xfId="0" applyFont="1" applyFill="1" applyBorder="1" applyAlignment="1">
      <alignment horizontal="center" vertical="center"/>
    </xf>
    <xf numFmtId="0" fontId="42" fillId="4" borderId="0" xfId="0" applyFont="1" applyFill="1" applyAlignment="1">
      <alignment vertical="center"/>
    </xf>
    <xf numFmtId="0" fontId="42" fillId="4" borderId="0" xfId="0" applyFont="1" applyFill="1" applyAlignment="1">
      <alignment horizontal="left" vertical="center"/>
    </xf>
    <xf numFmtId="0" fontId="45" fillId="4" borderId="0" xfId="0" applyFont="1" applyFill="1" applyAlignment="1">
      <alignment vertical="center"/>
    </xf>
    <xf numFmtId="0" fontId="42" fillId="4" borderId="0" xfId="0" applyFont="1" applyFill="1" applyAlignment="1">
      <alignment horizontal="center"/>
    </xf>
    <xf numFmtId="0" fontId="47" fillId="4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FFFF99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781810476815399"/>
          <c:y val="4.6260498687664041E-2"/>
          <c:w val="0.76828790566218275"/>
          <c:h val="0.76260761154855639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'R-AFC TRACE_CONTROL'!$C$11:$C$110</c:f>
              <c:numCache>
                <c:formatCode>0.00</c:formatCode>
                <c:ptCount val="100"/>
                <c:pt idx="0">
                  <c:v>0</c:v>
                </c:pt>
                <c:pt idx="1">
                  <c:v>0.12</c:v>
                </c:pt>
                <c:pt idx="2">
                  <c:v>0.18</c:v>
                </c:pt>
                <c:pt idx="3">
                  <c:v>0.24</c:v>
                </c:pt>
                <c:pt idx="4">
                  <c:v>0.3</c:v>
                </c:pt>
                <c:pt idx="5">
                  <c:v>0.36</c:v>
                </c:pt>
                <c:pt idx="6">
                  <c:v>0.42</c:v>
                </c:pt>
                <c:pt idx="7">
                  <c:v>0.48</c:v>
                </c:pt>
                <c:pt idx="8">
                  <c:v>0.54</c:v>
                </c:pt>
                <c:pt idx="9">
                  <c:v>0.6</c:v>
                </c:pt>
                <c:pt idx="10">
                  <c:v>0.66</c:v>
                </c:pt>
                <c:pt idx="11">
                  <c:v>0.72</c:v>
                </c:pt>
                <c:pt idx="12">
                  <c:v>0.78</c:v>
                </c:pt>
                <c:pt idx="13">
                  <c:v>0.84</c:v>
                </c:pt>
                <c:pt idx="14">
                  <c:v>0.9</c:v>
                </c:pt>
                <c:pt idx="15">
                  <c:v>0.96</c:v>
                </c:pt>
                <c:pt idx="16">
                  <c:v>1.02</c:v>
                </c:pt>
                <c:pt idx="17">
                  <c:v>1.08</c:v>
                </c:pt>
                <c:pt idx="18">
                  <c:v>1.1399999999999999</c:v>
                </c:pt>
                <c:pt idx="19">
                  <c:v>1.2</c:v>
                </c:pt>
                <c:pt idx="20">
                  <c:v>1.26</c:v>
                </c:pt>
                <c:pt idx="21">
                  <c:v>1.32</c:v>
                </c:pt>
                <c:pt idx="22">
                  <c:v>1.38</c:v>
                </c:pt>
                <c:pt idx="23">
                  <c:v>1.44</c:v>
                </c:pt>
                <c:pt idx="24">
                  <c:v>1.5</c:v>
                </c:pt>
                <c:pt idx="25">
                  <c:v>1.56</c:v>
                </c:pt>
                <c:pt idx="26">
                  <c:v>1.62</c:v>
                </c:pt>
                <c:pt idx="27">
                  <c:v>1.68</c:v>
                </c:pt>
                <c:pt idx="28">
                  <c:v>1.74</c:v>
                </c:pt>
                <c:pt idx="29">
                  <c:v>1.8</c:v>
                </c:pt>
                <c:pt idx="30">
                  <c:v>1.86</c:v>
                </c:pt>
                <c:pt idx="31">
                  <c:v>1.92</c:v>
                </c:pt>
                <c:pt idx="32">
                  <c:v>1.98</c:v>
                </c:pt>
                <c:pt idx="33">
                  <c:v>2.04</c:v>
                </c:pt>
                <c:pt idx="34">
                  <c:v>2.1</c:v>
                </c:pt>
                <c:pt idx="35">
                  <c:v>2.16</c:v>
                </c:pt>
                <c:pt idx="36">
                  <c:v>2.2200000000000002</c:v>
                </c:pt>
                <c:pt idx="37">
                  <c:v>2.2799999999999998</c:v>
                </c:pt>
                <c:pt idx="38">
                  <c:v>2.34</c:v>
                </c:pt>
                <c:pt idx="39">
                  <c:v>2.4</c:v>
                </c:pt>
                <c:pt idx="40">
                  <c:v>2.46</c:v>
                </c:pt>
                <c:pt idx="41">
                  <c:v>2.52</c:v>
                </c:pt>
                <c:pt idx="42">
                  <c:v>2.58</c:v>
                </c:pt>
                <c:pt idx="43">
                  <c:v>2.64</c:v>
                </c:pt>
                <c:pt idx="44">
                  <c:v>2.7</c:v>
                </c:pt>
                <c:pt idx="45">
                  <c:v>2.76</c:v>
                </c:pt>
                <c:pt idx="46">
                  <c:v>2.82</c:v>
                </c:pt>
                <c:pt idx="47">
                  <c:v>2.88</c:v>
                </c:pt>
                <c:pt idx="48">
                  <c:v>2.94</c:v>
                </c:pt>
                <c:pt idx="49">
                  <c:v>3</c:v>
                </c:pt>
                <c:pt idx="50">
                  <c:v>3.06</c:v>
                </c:pt>
                <c:pt idx="51">
                  <c:v>3.12</c:v>
                </c:pt>
                <c:pt idx="52">
                  <c:v>3.18</c:v>
                </c:pt>
                <c:pt idx="53">
                  <c:v>3.24</c:v>
                </c:pt>
                <c:pt idx="54">
                  <c:v>3.3</c:v>
                </c:pt>
                <c:pt idx="55">
                  <c:v>3.36</c:v>
                </c:pt>
                <c:pt idx="56">
                  <c:v>3.42</c:v>
                </c:pt>
                <c:pt idx="57">
                  <c:v>3.48</c:v>
                </c:pt>
                <c:pt idx="58">
                  <c:v>3.54</c:v>
                </c:pt>
                <c:pt idx="59">
                  <c:v>3.6</c:v>
                </c:pt>
                <c:pt idx="60">
                  <c:v>3.66</c:v>
                </c:pt>
                <c:pt idx="61">
                  <c:v>3.72</c:v>
                </c:pt>
                <c:pt idx="62">
                  <c:v>3.78</c:v>
                </c:pt>
                <c:pt idx="63">
                  <c:v>3.84</c:v>
                </c:pt>
                <c:pt idx="64">
                  <c:v>3.9</c:v>
                </c:pt>
                <c:pt idx="65">
                  <c:v>3.96</c:v>
                </c:pt>
                <c:pt idx="66">
                  <c:v>4.0199999999999996</c:v>
                </c:pt>
                <c:pt idx="67">
                  <c:v>4.08</c:v>
                </c:pt>
                <c:pt idx="68">
                  <c:v>4.1399999999999997</c:v>
                </c:pt>
                <c:pt idx="69">
                  <c:v>4.2</c:v>
                </c:pt>
                <c:pt idx="70">
                  <c:v>4.26</c:v>
                </c:pt>
                <c:pt idx="71">
                  <c:v>4.32</c:v>
                </c:pt>
                <c:pt idx="72">
                  <c:v>4.38</c:v>
                </c:pt>
                <c:pt idx="73">
                  <c:v>4.4400000000000004</c:v>
                </c:pt>
                <c:pt idx="74">
                  <c:v>4.5</c:v>
                </c:pt>
                <c:pt idx="75">
                  <c:v>4.5599999999999996</c:v>
                </c:pt>
                <c:pt idx="76">
                  <c:v>4.62</c:v>
                </c:pt>
                <c:pt idx="77">
                  <c:v>4.68</c:v>
                </c:pt>
                <c:pt idx="78">
                  <c:v>4.74</c:v>
                </c:pt>
                <c:pt idx="79">
                  <c:v>4.8</c:v>
                </c:pt>
                <c:pt idx="80">
                  <c:v>4.8600000000000003</c:v>
                </c:pt>
                <c:pt idx="81">
                  <c:v>4.92</c:v>
                </c:pt>
                <c:pt idx="82">
                  <c:v>4.9800000000000004</c:v>
                </c:pt>
                <c:pt idx="83">
                  <c:v>5.04</c:v>
                </c:pt>
                <c:pt idx="84">
                  <c:v>5.0999999999999996</c:v>
                </c:pt>
                <c:pt idx="85">
                  <c:v>5.16</c:v>
                </c:pt>
                <c:pt idx="86">
                  <c:v>5.22</c:v>
                </c:pt>
                <c:pt idx="87">
                  <c:v>5.28</c:v>
                </c:pt>
                <c:pt idx="88">
                  <c:v>5.34</c:v>
                </c:pt>
                <c:pt idx="89">
                  <c:v>5.4</c:v>
                </c:pt>
                <c:pt idx="90">
                  <c:v>5.46</c:v>
                </c:pt>
                <c:pt idx="91">
                  <c:v>5.52</c:v>
                </c:pt>
                <c:pt idx="92">
                  <c:v>5.58</c:v>
                </c:pt>
                <c:pt idx="93">
                  <c:v>5.64</c:v>
                </c:pt>
                <c:pt idx="94">
                  <c:v>5.7</c:v>
                </c:pt>
                <c:pt idx="95">
                  <c:v>5.76</c:v>
                </c:pt>
                <c:pt idx="96">
                  <c:v>5.82</c:v>
                </c:pt>
                <c:pt idx="97">
                  <c:v>5.88</c:v>
                </c:pt>
                <c:pt idx="98">
                  <c:v>5.94</c:v>
                </c:pt>
                <c:pt idx="99">
                  <c:v>6</c:v>
                </c:pt>
              </c:numCache>
            </c:numRef>
          </c:xVal>
          <c:yVal>
            <c:numRef>
              <c:f>'R-AFC TRACE_CONTROL'!$O$11:$O$110</c:f>
              <c:numCache>
                <c:formatCode>0.00000</c:formatCode>
                <c:ptCount val="100"/>
                <c:pt idx="0">
                  <c:v>0.12751378499399688</c:v>
                </c:pt>
                <c:pt idx="1">
                  <c:v>0.1283741855130266</c:v>
                </c:pt>
                <c:pt idx="2">
                  <c:v>0.12882188331299538</c:v>
                </c:pt>
                <c:pt idx="3">
                  <c:v>0.12928206007994023</c:v>
                </c:pt>
                <c:pt idx="4">
                  <c:v>0.1297553879568315</c:v>
                </c:pt>
                <c:pt idx="5">
                  <c:v>0.13024259506454178</c:v>
                </c:pt>
                <c:pt idx="6">
                  <c:v>0.13074447196137179</c:v>
                </c:pt>
                <c:pt idx="7">
                  <c:v>0.13126187907160172</c:v>
                </c:pt>
                <c:pt idx="8">
                  <c:v>0.13179575526445172</c:v>
                </c:pt>
                <c:pt idx="9">
                  <c:v>0.13234712780602009</c:v>
                </c:pt>
                <c:pt idx="10">
                  <c:v>0.1329171239590631</c:v>
                </c:pt>
                <c:pt idx="11">
                  <c:v>0.13350698457239638</c:v>
                </c:pt>
                <c:pt idx="12">
                  <c:v>0.13411808008803164</c:v>
                </c:pt>
                <c:pt idx="13">
                  <c:v>0.13475192950651552</c:v>
                </c:pt>
                <c:pt idx="14">
                  <c:v>0.13541022299854144</c:v>
                </c:pt>
                <c:pt idx="15">
                  <c:v>0.13609484904677774</c:v>
                </c:pt>
                <c:pt idx="16">
                  <c:v>0.13680792726461941</c:v>
                </c:pt>
                <c:pt idx="17">
                  <c:v>0.1375518483952381</c:v>
                </c:pt>
                <c:pt idx="18">
                  <c:v>0.13832932348463872</c:v>
                </c:pt>
                <c:pt idx="19">
                  <c:v>0.13914344490592337</c:v>
                </c:pt>
                <c:pt idx="20">
                  <c:v>0.139997762879261</c:v>
                </c:pt>
                <c:pt idx="21">
                  <c:v>0.14089638252392347</c:v>
                </c:pt>
                <c:pt idx="22">
                  <c:v>0.14184408851855451</c:v>
                </c:pt>
                <c:pt idx="23">
                  <c:v>0.14284650749651021</c:v>
                </c:pt>
                <c:pt idx="24">
                  <c:v>0.14391032296996423</c:v>
                </c:pt>
                <c:pt idx="25">
                  <c:v>0.14504356489922768</c:v>
                </c:pt>
                <c:pt idx="26">
                  <c:v>0.14625600784816115</c:v>
                </c:pt>
                <c:pt idx="27">
                  <c:v>0.14755973139461645</c:v>
                </c:pt>
                <c:pt idx="28">
                  <c:v>0.14896993064185915</c:v>
                </c:pt>
                <c:pt idx="29">
                  <c:v>0.15050612653853046</c:v>
                </c:pt>
                <c:pt idx="30">
                  <c:v>0.15219404363549749</c:v>
                </c:pt>
                <c:pt idx="31">
                  <c:v>0.15406866210908041</c:v>
                </c:pt>
                <c:pt idx="32">
                  <c:v>0.15617947456010473</c:v>
                </c:pt>
                <c:pt idx="33">
                  <c:v>0.15860024035558262</c:v>
                </c:pt>
                <c:pt idx="34">
                  <c:v>0.16144898112550851</c:v>
                </c:pt>
                <c:pt idx="35">
                  <c:v>0.16493518976028332</c:v>
                </c:pt>
                <c:pt idx="36">
                  <c:v>0.16949877083734297</c:v>
                </c:pt>
                <c:pt idx="37">
                  <c:v>0.17643036543870119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16-41E3-AD6E-BBE12C687240}"/>
            </c:ext>
          </c:extLst>
        </c:ser>
        <c:ser>
          <c:idx val="10"/>
          <c:order val="1"/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'R-AFC TRACE_CONTROL'!$H$2:$H$3</c:f>
              <c:numCache>
                <c:formatCode>0.00</c:formatCode>
                <c:ptCount val="2"/>
                <c:pt idx="0">
                  <c:v>2.2799999999999998</c:v>
                </c:pt>
                <c:pt idx="1">
                  <c:v>2.2799999999999998</c:v>
                </c:pt>
              </c:numCache>
            </c:numRef>
          </c:xVal>
          <c:yVal>
            <c:numRef>
              <c:f>'R-AFC TRACE_CONTROL'!$I$2:$I$3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16-41E3-AD6E-BBE12C687240}"/>
            </c:ext>
          </c:extLst>
        </c:ser>
        <c:ser>
          <c:idx val="11"/>
          <c:order val="2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'R-AFC TRACE_CONTROL'!$K$5:$L$5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xVal>
          <c:yVal>
            <c:numRef>
              <c:f>'R-AFC TRACE_CONTROL'!$K$6:$L$6</c:f>
              <c:numCache>
                <c:formatCode>General</c:formatCode>
                <c:ptCount val="2"/>
                <c:pt idx="0" formatCode="0.00000">
                  <c:v>0.17643036543870119</c:v>
                </c:pt>
                <c:pt idx="1">
                  <c:v>0.17643036543870119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16-41E3-AD6E-BBE12C687240}"/>
            </c:ext>
          </c:extLst>
        </c:ser>
        <c:ser>
          <c:idx val="1"/>
          <c:order val="3"/>
          <c:tx>
            <c:v>intersection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15875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8"/>
              <c:spPr>
                <a:solidFill>
                  <a:schemeClr val="bg1"/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316-41E3-AD6E-BBE12C687240}"/>
              </c:ext>
            </c:extLst>
          </c:dPt>
          <c:xVal>
            <c:numRef>
              <c:f>'R-AFC TRACE'!$C$38</c:f>
              <c:numCache>
                <c:formatCode>0.00</c:formatCode>
                <c:ptCount val="1"/>
                <c:pt idx="0">
                  <c:v>2.2799999999999998</c:v>
                </c:pt>
              </c:numCache>
            </c:numRef>
          </c:xVal>
          <c:yVal>
            <c:numRef>
              <c:f>'R-AFC TRACE'!$G$13</c:f>
              <c:numCache>
                <c:formatCode>0.00%</c:formatCode>
                <c:ptCount val="1"/>
                <c:pt idx="0">
                  <c:v>0.17643036543870119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16-41E3-AD6E-BBE12C687240}"/>
            </c:ext>
          </c:extLst>
        </c:ser>
        <c:ser>
          <c:idx val="2"/>
          <c:order val="4"/>
          <c:tx>
            <c:v>Crust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strRef>
                  <c:f>'R-AFC TRACE'!$G$23</c:f>
                  <c:strCache>
                    <c:ptCount val="1"/>
                    <c:pt idx="0">
                      <c:v>17.64%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tr-T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{C5A754F2-9324-4902-8F59-2DE51983F866}</c15:txfldGUID>
                      <c15:f>'R-AFC TRACE'!$G$23</c15:f>
                      <c15:dlblFieldTableCache>
                        <c:ptCount val="1"/>
                        <c:pt idx="0">
                          <c:v>17.64%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316-41E3-AD6E-BBE12C6872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'R-AFC TRACE'!$E$23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'R-AFC TRACE'!$G$23</c:f>
              <c:numCache>
                <c:formatCode>0.00%</c:formatCode>
                <c:ptCount val="1"/>
                <c:pt idx="0">
                  <c:v>0.17643036543870119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16-41E3-AD6E-BBE12C687240}"/>
            </c:ext>
          </c:extLst>
        </c:ser>
        <c:ser>
          <c:idx val="3"/>
          <c:order val="5"/>
          <c:tx>
            <c:v>Recharge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strRef>
                  <c:f>'R-AFC TRACE'!$E$24</c:f>
                  <c:strCache>
                    <c:ptCount val="1"/>
                    <c:pt idx="0">
                      <c:v>2.28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{06C5546A-D4F9-4A10-B71D-50651DBBE6E3}</c15:txfldGUID>
                      <c15:f>'R-AFC TRACE'!$E$24</c15:f>
                      <c15:dlblFieldTableCache>
                        <c:ptCount val="1"/>
                        <c:pt idx="0">
                          <c:v>2.28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316-41E3-AD6E-BBE12C6872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'R-AFC TRACE'!$E$24</c:f>
              <c:numCache>
                <c:formatCode>0.00</c:formatCode>
                <c:ptCount val="1"/>
                <c:pt idx="0">
                  <c:v>2.2799999999999998</c:v>
                </c:pt>
              </c:numCache>
            </c:numRef>
          </c:xVal>
          <c:yVal>
            <c:numRef>
              <c:f>'R-AFC TRACE'!$G$24</c:f>
              <c:numCache>
                <c:formatCode>0.00%</c:formatCode>
                <c:ptCount val="1"/>
                <c:pt idx="0">
                  <c:v>0.12643036543870118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316-41E3-AD6E-BBE12C68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1248"/>
        <c:axId val="2028261664"/>
      </c:scatterChart>
      <c:valAx>
        <c:axId val="2028261248"/>
        <c:scaling>
          <c:orientation val="minMax"/>
          <c:max val="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1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100" i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β</a:t>
                </a:r>
                <a:endParaRPr lang="tr-TR" sz="1100" i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1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2028261664"/>
        <c:crosses val="autoZero"/>
        <c:crossBetween val="midCat"/>
      </c:valAx>
      <c:valAx>
        <c:axId val="2028261664"/>
        <c:scaling>
          <c:orientation val="minMax"/>
          <c:max val="0.22000000000000003"/>
          <c:min val="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100" i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ρ</a:t>
                </a:r>
                <a:r>
                  <a:rPr lang="tr-TR" sz="11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= crust/magma</a:t>
                </a:r>
              </a:p>
            </c:rich>
          </c:tx>
          <c:layout>
            <c:manualLayout>
              <c:xMode val="edge"/>
              <c:yMode val="edge"/>
              <c:x val="4.1381729139326341E-2"/>
              <c:y val="0.26089763779527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2028261248"/>
        <c:crosses val="autoZero"/>
        <c:crossBetween val="midCat"/>
        <c:majorUnit val="2.0000000000000004E-2"/>
      </c:valAx>
      <c:spPr>
        <a:solidFill>
          <a:srgbClr val="FFFFCC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46810643405045"/>
          <c:y val="4.583333333333333E-2"/>
          <c:w val="0.76758081532269895"/>
          <c:h val="0.7630347769028871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'R-AFC TRACE_CONTROL'!$B$123:$B$222</c:f>
              <c:numCache>
                <c:formatCode>0%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'R-AFC TRACE_CONTROL'!$O$123:$O$222</c:f>
              <c:numCache>
                <c:formatCode>0.00000</c:formatCode>
                <c:ptCount val="100"/>
                <c:pt idx="0">
                  <c:v>7.501350468930649E-3</c:v>
                </c:pt>
                <c:pt idx="1">
                  <c:v>1.5134416157323827E-2</c:v>
                </c:pt>
                <c:pt idx="2">
                  <c:v>2.2911402296150594E-2</c:v>
                </c:pt>
                <c:pt idx="3">
                  <c:v>3.0846660917824138E-2</c:v>
                </c:pt>
                <c:pt idx="4">
                  <c:v>3.8957257710878927E-2</c:v>
                </c:pt>
                <c:pt idx="5">
                  <c:v>4.7263748706615101E-2</c:v>
                </c:pt>
                <c:pt idx="6">
                  <c:v>5.5791270731199966E-2</c:v>
                </c:pt>
                <c:pt idx="7">
                  <c:v>6.4571116657326288E-2</c:v>
                </c:pt>
                <c:pt idx="8">
                  <c:v>7.3643089246817672E-2</c:v>
                </c:pt>
                <c:pt idx="9">
                  <c:v>8.3059164764496179E-2</c:v>
                </c:pt>
                <c:pt idx="10">
                  <c:v>9.2889488531992623E-2</c:v>
                </c:pt>
                <c:pt idx="11">
                  <c:v>0.10323282844181976</c:v>
                </c:pt>
                <c:pt idx="12">
                  <c:v>0.11423637382559676</c:v>
                </c:pt>
                <c:pt idx="13">
                  <c:v>0.12613773493409744</c:v>
                </c:pt>
                <c:pt idx="14">
                  <c:v>0.13937019071564721</c:v>
                </c:pt>
                <c:pt idx="15">
                  <c:v>0.15491065386824179</c:v>
                </c:pt>
                <c:pt idx="16">
                  <c:v>0.1764307286924548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AE-4B96-B99F-F7735CA37575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'R-AFC TRACE_CONTROL'!$AH$123:$AH$222</c:f>
              <c:numCache>
                <c:formatCode>0%</c:formatCode>
                <c:ptCount val="100"/>
              </c:numCache>
            </c:numRef>
          </c:xVal>
          <c:yVal>
            <c:numRef>
              <c:f>'R-AFC TRACE_CONTROL'!$AU$123:$AU$222</c:f>
              <c:numCache>
                <c:formatCode>0.00000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AE-4B96-B99F-F7735CA37575}"/>
            </c:ext>
          </c:extLst>
        </c:ser>
        <c:ser>
          <c:idx val="2"/>
          <c:order val="2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'R-AFC TRACE_CONTROL'!$S$123:$S$222</c:f>
              <c:numCache>
                <c:formatCode>0%</c:formatCode>
                <c:ptCount val="100"/>
              </c:numCache>
            </c:numRef>
          </c:xVal>
          <c:yVal>
            <c:numRef>
              <c:f>'R-AFC TRACE_CONTROL'!$AF$123:$AF$222</c:f>
              <c:numCache>
                <c:formatCode>0.00000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AE-4B96-B99F-F7735CA3757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'R-AFC TRACE_CONTROL'!$AW$123:$AW$222</c:f>
              <c:numCache>
                <c:formatCode>0%</c:formatCode>
                <c:ptCount val="100"/>
              </c:numCache>
            </c:numRef>
          </c:xVal>
          <c:yVal>
            <c:numRef>
              <c:f>'R-AFC TRACE_CONTROL'!$BJ$123:$BJ$222</c:f>
              <c:numCache>
                <c:formatCode>0.00000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AE-4B96-B99F-F7735CA3757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'R-AFC TRACE_CONTROL'!$BL$123:$BL$222</c:f>
              <c:numCache>
                <c:formatCode>0%</c:formatCode>
                <c:ptCount val="100"/>
              </c:numCache>
            </c:numRef>
          </c:xVal>
          <c:yVal>
            <c:numRef>
              <c:f>'R-AFC TRACE_CONTROL'!$BY$123:$BY$222</c:f>
              <c:numCache>
                <c:formatCode>0.00000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0AE-4B96-B99F-F7735CA3757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'R-AFC TRACE_CONTROL'!$CA$123:$CA$222</c:f>
              <c:numCache>
                <c:formatCode>0%</c:formatCode>
                <c:ptCount val="100"/>
              </c:numCache>
            </c:numRef>
          </c:xVal>
          <c:yVal>
            <c:numRef>
              <c:f>'R-AFC TRACE_CONTROL'!$CN$123:$CN$222</c:f>
              <c:numCache>
                <c:formatCode>0.00000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AE-4B96-B99F-F7735CA3757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'R-AFC TRACE_CONTROL'!$CP$123:$CP$222</c:f>
              <c:numCache>
                <c:formatCode>0%</c:formatCode>
                <c:ptCount val="100"/>
              </c:numCache>
            </c:numRef>
          </c:xVal>
          <c:yVal>
            <c:numRef>
              <c:f>'R-AFC TRACE_CONTROL'!$DC$123:$DC$222</c:f>
              <c:numCache>
                <c:formatCode>0.00000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0AE-4B96-B99F-F7735CA3757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'R-AFC TRACE_CONTROL'!$DE$123:$DE$222</c:f>
              <c:numCache>
                <c:formatCode>0%</c:formatCode>
                <c:ptCount val="100"/>
              </c:numCache>
            </c:numRef>
          </c:xVal>
          <c:yVal>
            <c:numRef>
              <c:f>'R-AFC TRACE_CONTROL'!$DR$123:$DR$222</c:f>
              <c:numCache>
                <c:formatCode>0.00000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0AE-4B96-B99F-F7735CA37575}"/>
            </c:ext>
          </c:extLst>
        </c:ser>
        <c:ser>
          <c:idx val="8"/>
          <c:order val="8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'R-AFC TRACE_CONTROL'!$DT$123:$DT$222</c:f>
              <c:numCache>
                <c:formatCode>0%</c:formatCode>
                <c:ptCount val="100"/>
              </c:numCache>
            </c:numRef>
          </c:xVal>
          <c:yVal>
            <c:numRef>
              <c:f>'R-AFC TRACE_CONTROL'!$EG$123:$EG$222</c:f>
              <c:numCache>
                <c:formatCode>0.00000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AE-4B96-B99F-F7735CA3757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'R-AFC TRACE_CONTROL'!$EI$123:$EI$222</c:f>
              <c:numCache>
                <c:formatCode>0%</c:formatCode>
                <c:ptCount val="100"/>
              </c:numCache>
            </c:numRef>
          </c:xVal>
          <c:yVal>
            <c:numRef>
              <c:f>'R-AFC TRACE_CONTROL'!$EV$123:$EV$222</c:f>
              <c:numCache>
                <c:formatCode>0.00000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0AE-4B96-B99F-F7735CA37575}"/>
            </c:ext>
          </c:extLst>
        </c:ser>
        <c:ser>
          <c:idx val="10"/>
          <c:order val="10"/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'R-AFC TRACE_CONTROL'!$K$2:$K$3</c:f>
              <c:numCache>
                <c:formatCode>0.00</c:formatCode>
                <c:ptCount val="2"/>
                <c:pt idx="0">
                  <c:v>0.17</c:v>
                </c:pt>
                <c:pt idx="1">
                  <c:v>0.17</c:v>
                </c:pt>
              </c:numCache>
            </c:numRef>
          </c:xVal>
          <c:yVal>
            <c:numRef>
              <c:f>'R-AFC TRACE_CONTROL'!$L$2:$L$3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AE-4B96-B99F-F7735CA37575}"/>
            </c:ext>
          </c:extLst>
        </c:ser>
        <c:ser>
          <c:idx val="11"/>
          <c:order val="11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'R-AFC TRACE_CONTROL'!$K$7:$L$7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'R-AFC TRACE_CONTROL'!$K$6:$L$6</c:f>
              <c:numCache>
                <c:formatCode>General</c:formatCode>
                <c:ptCount val="2"/>
                <c:pt idx="0" formatCode="0.00000">
                  <c:v>0.17643036543870119</c:v>
                </c:pt>
                <c:pt idx="1">
                  <c:v>0.17643036543870119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0AE-4B96-B99F-F7735CA37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1248"/>
        <c:axId val="2028261664"/>
      </c:scatterChart>
      <c:valAx>
        <c:axId val="2028261248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1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050" b="0" i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1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2028261664"/>
        <c:crosses val="autoZero"/>
        <c:crossBetween val="midCat"/>
      </c:valAx>
      <c:valAx>
        <c:axId val="2028261664"/>
        <c:scaling>
          <c:orientation val="minMax"/>
          <c:max val="0.55000000000000004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100" i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ρ</a:t>
                </a:r>
                <a:r>
                  <a:rPr lang="tr-T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= crust/magma</a:t>
                </a:r>
              </a:p>
            </c:rich>
          </c:tx>
          <c:layout>
            <c:manualLayout>
              <c:xMode val="edge"/>
              <c:yMode val="edge"/>
              <c:x val="3.5302112096928351E-2"/>
              <c:y val="0.26562139107611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2028261248"/>
        <c:crosses val="autoZero"/>
        <c:crossBetween val="midCat"/>
        <c:majorUnit val="5.000000000000001E-2"/>
      </c:valAx>
      <c:spPr>
        <a:solidFill>
          <a:srgbClr val="FFFFCC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46810643405045"/>
          <c:y val="4.583333333333333E-2"/>
          <c:w val="0.76758081532269895"/>
          <c:h val="0.76303477690288712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'R-AFC ISOTOPE_CONTROL'!$B$126:$B$225</c:f>
              <c:numCache>
                <c:formatCode>0%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'R-AFC ISOTOPE_CONTROL'!$O$126:$O$225</c:f>
              <c:numCache>
                <c:formatCode>0.00000</c:formatCode>
                <c:ptCount val="100"/>
                <c:pt idx="0">
                  <c:v>1.0092722813379666E-2</c:v>
                </c:pt>
                <c:pt idx="1">
                  <c:v>2.0362352651380481E-2</c:v>
                </c:pt>
                <c:pt idx="2">
                  <c:v>3.0792285398780938E-2</c:v>
                </c:pt>
                <c:pt idx="3">
                  <c:v>4.1360622493847934E-2</c:v>
                </c:pt>
                <c:pt idx="4">
                  <c:v>5.2040556962009585E-2</c:v>
                </c:pt>
                <c:pt idx="5">
                  <c:v>6.280110409400004E-2</c:v>
                </c:pt>
                <c:pt idx="6">
                  <c:v>7.3608041435195518E-2</c:v>
                </c:pt>
                <c:pt idx="7">
                  <c:v>8.442496905813858E-2</c:v>
                </c:pt>
                <c:pt idx="8">
                  <c:v>9.5214410338553726E-2</c:v>
                </c:pt>
                <c:pt idx="9">
                  <c:v>0.10593888322670614</c:v>
                </c:pt>
                <c:pt idx="10">
                  <c:v>0.11656188486041383</c:v>
                </c:pt>
                <c:pt idx="11">
                  <c:v>0.12704874729411292</c:v>
                </c:pt>
                <c:pt idx="12">
                  <c:v>0.13736733755935296</c:v>
                </c:pt>
                <c:pt idx="13">
                  <c:v>0.14748858979320223</c:v>
                </c:pt>
                <c:pt idx="14">
                  <c:v>0.15738686970063151</c:v>
                </c:pt>
                <c:pt idx="15">
                  <c:v>0.16704018151474254</c:v>
                </c:pt>
                <c:pt idx="16">
                  <c:v>0.17643023465472413</c:v>
                </c:pt>
                <c:pt idx="17">
                  <c:v>0.1855423915607696</c:v>
                </c:pt>
                <c:pt idx="18">
                  <c:v>0.19436552004786037</c:v>
                </c:pt>
                <c:pt idx="19">
                  <c:v>0.20289177343901593</c:v>
                </c:pt>
                <c:pt idx="20">
                  <c:v>0.21111632023020543</c:v>
                </c:pt>
                <c:pt idx="21">
                  <c:v>0.21903704259809562</c:v>
                </c:pt>
                <c:pt idx="22">
                  <c:v>0.22665422011748013</c:v>
                </c:pt>
                <c:pt idx="23">
                  <c:v>0.2339702119503819</c:v>
                </c:pt>
                <c:pt idx="24">
                  <c:v>0.24098914775506486</c:v>
                </c:pt>
                <c:pt idx="25">
                  <c:v>0.24771663480769632</c:v>
                </c:pt>
                <c:pt idx="26">
                  <c:v>0.25415948642798908</c:v>
                </c:pt>
                <c:pt idx="27">
                  <c:v>0.26032547479295465</c:v>
                </c:pt>
                <c:pt idx="28">
                  <c:v>0.26622310960984513</c:v>
                </c:pt>
                <c:pt idx="29">
                  <c:v>0.27186144287385194</c:v>
                </c:pt>
                <c:pt idx="30">
                  <c:v>0.27724989901616937</c:v>
                </c:pt>
                <c:pt idx="31">
                  <c:v>0.28239812910467399</c:v>
                </c:pt>
                <c:pt idx="32">
                  <c:v>0.28731588734274477</c:v>
                </c:pt>
                <c:pt idx="33">
                  <c:v>0.2920129278744697</c:v>
                </c:pt>
                <c:pt idx="34">
                  <c:v>0.29649891980454823</c:v>
                </c:pt>
                <c:pt idx="35">
                  <c:v>0.30078337834249008</c:v>
                </c:pt>
                <c:pt idx="36">
                  <c:v>0.3048756100533645</c:v>
                </c:pt>
                <c:pt idx="37">
                  <c:v>0.30878467031742457</c:v>
                </c:pt>
                <c:pt idx="38">
                  <c:v>0.31251933124973813</c:v>
                </c:pt>
                <c:pt idx="39">
                  <c:v>0.31608805849439747</c:v>
                </c:pt>
                <c:pt idx="40">
                  <c:v>0.3194989954755994</c:v>
                </c:pt>
                <c:pt idx="41">
                  <c:v>0.3227599538526128</c:v>
                </c:pt>
                <c:pt idx="42">
                  <c:v>0.32587840908247723</c:v>
                </c:pt>
                <c:pt idx="43">
                  <c:v>0.32886150014016402</c:v>
                </c:pt>
                <c:pt idx="44">
                  <c:v>0.33171603257920351</c:v>
                </c:pt>
                <c:pt idx="45">
                  <c:v>0.33444848423576429</c:v>
                </c:pt>
                <c:pt idx="46">
                  <c:v>0.33706501298588937</c:v>
                </c:pt>
                <c:pt idx="47">
                  <c:v>0.3395714660595554</c:v>
                </c:pt>
                <c:pt idx="48">
                  <c:v>0.34197339049722181</c:v>
                </c:pt>
                <c:pt idx="49">
                  <c:v>0.34427604440554394</c:v>
                </c:pt>
                <c:pt idx="50">
                  <c:v>0.3464844087299927</c:v>
                </c:pt>
                <c:pt idx="51">
                  <c:v>0.34860319931430916</c:v>
                </c:pt>
                <c:pt idx="52">
                  <c:v>0.35063687906105451</c:v>
                </c:pt>
                <c:pt idx="53">
                  <c:v>0.35258967004496822</c:v>
                </c:pt>
                <c:pt idx="54">
                  <c:v>0.35446556546231817</c:v>
                </c:pt>
                <c:pt idx="55">
                  <c:v>0.35626834132571844</c:v>
                </c:pt>
                <c:pt idx="56">
                  <c:v>0.35800156783575282</c:v>
                </c:pt>
                <c:pt idx="57">
                  <c:v>0.35966862037879777</c:v>
                </c:pt>
                <c:pt idx="58">
                  <c:v>0.36127269011527535</c:v>
                </c:pt>
                <c:pt idx="59">
                  <c:v>0.36281679413466872</c:v>
                </c:pt>
                <c:pt idx="60">
                  <c:v>0.36430378516343059</c:v>
                </c:pt>
                <c:pt idx="61">
                  <c:v>0.36573636081978372</c:v>
                </c:pt>
                <c:pt idx="62">
                  <c:v>0.36711707241566499</c:v>
                </c:pt>
                <c:pt idx="63">
                  <c:v>0.36844833331096599</c:v>
                </c:pt>
                <c:pt idx="64">
                  <c:v>0.36973242682902235</c:v>
                </c:pt>
                <c:pt idx="65">
                  <c:v>0.37097151374516796</c:v>
                </c:pt>
                <c:pt idx="66">
                  <c:v>0.37216763936229402</c:v>
                </c:pt>
                <c:pt idx="67">
                  <c:v>0.37332274018884715</c:v>
                </c:pt>
                <c:pt idx="68">
                  <c:v>0.37443865023570272</c:v>
                </c:pt>
                <c:pt idx="69">
                  <c:v>0.37551710694894563</c:v>
                </c:pt>
                <c:pt idx="70">
                  <c:v>0.37655975679586112</c:v>
                </c:pt>
                <c:pt idx="71">
                  <c:v>0.3775681605214592</c:v>
                </c:pt>
                <c:pt idx="72">
                  <c:v>0.37854379809266986</c:v>
                </c:pt>
                <c:pt idx="73">
                  <c:v>0.37948807334701373</c:v>
                </c:pt>
                <c:pt idx="74">
                  <c:v>0.38040231836209615</c:v>
                </c:pt>
                <c:pt idx="75">
                  <c:v>0.38128779756173808</c:v>
                </c:pt>
                <c:pt idx="76">
                  <c:v>0.38214571157395516</c:v>
                </c:pt>
                <c:pt idx="77">
                  <c:v>0.38297720085535836</c:v>
                </c:pt>
                <c:pt idx="78">
                  <c:v>0.38378334909588752</c:v>
                </c:pt>
                <c:pt idx="79">
                  <c:v>0.38456518641711346</c:v>
                </c:pt>
                <c:pt idx="80">
                  <c:v>0.38532369237666958</c:v>
                </c:pt>
                <c:pt idx="81">
                  <c:v>0.38605979879070829</c:v>
                </c:pt>
                <c:pt idx="82">
                  <c:v>0.38677439238562022</c:v>
                </c:pt>
                <c:pt idx="83">
                  <c:v>0.38746831728962161</c:v>
                </c:pt>
                <c:pt idx="84">
                  <c:v>0.38814237737419682</c:v>
                </c:pt>
                <c:pt idx="85">
                  <c:v>0.38879733845479569</c:v>
                </c:pt>
                <c:pt idx="86">
                  <c:v>0.38943393035961643</c:v>
                </c:pt>
                <c:pt idx="87">
                  <c:v>0.39005284887476765</c:v>
                </c:pt>
                <c:pt idx="88">
                  <c:v>0.39065475757359014</c:v>
                </c:pt>
                <c:pt idx="89">
                  <c:v>0.39124028953743117</c:v>
                </c:pt>
                <c:pt idx="90">
                  <c:v>0.39181004897470784</c:v>
                </c:pt>
                <c:pt idx="91">
                  <c:v>0.39236461274465861</c:v>
                </c:pt>
                <c:pt idx="92">
                  <c:v>0.39290453179177581</c:v>
                </c:pt>
                <c:pt idx="93">
                  <c:v>0.39343033249652704</c:v>
                </c:pt>
                <c:pt idx="94">
                  <c:v>0.39394251794761032</c:v>
                </c:pt>
                <c:pt idx="95">
                  <c:v>0.39444156914065204</c:v>
                </c:pt>
                <c:pt idx="96">
                  <c:v>0.39492794610793519</c:v>
                </c:pt>
                <c:pt idx="97">
                  <c:v>0.39540208898345014</c:v>
                </c:pt>
                <c:pt idx="98">
                  <c:v>0.39586441900728087</c:v>
                </c:pt>
                <c:pt idx="99">
                  <c:v>0.39631533947307751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3F-40A3-A995-8A64A93633BE}"/>
            </c:ext>
          </c:extLst>
        </c:ser>
        <c:ser>
          <c:idx val="10"/>
          <c:order val="1"/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'R-AFC ISOTOPE_CONTROL'!$H$2:$H$3</c:f>
              <c:numCache>
                <c:formatCode>0.00</c:formatCode>
                <c:ptCount val="2"/>
                <c:pt idx="0">
                  <c:v>0.17</c:v>
                </c:pt>
                <c:pt idx="1">
                  <c:v>0.17</c:v>
                </c:pt>
              </c:numCache>
            </c:numRef>
          </c:xVal>
          <c:yVal>
            <c:numRef>
              <c:f>'R-AFC ISOTOPE_CONTROL'!$I$2:$I$3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81A-4E1B-B4B4-36413C8EA228}"/>
            </c:ext>
          </c:extLst>
        </c:ser>
        <c:ser>
          <c:idx val="11"/>
          <c:order val="2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'R-AFC ISOTOPE_CONTROL'!$J$9:$K$9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'R-AFC ISOTOPE_CONTROL'!$J$8:$K$8</c:f>
              <c:numCache>
                <c:formatCode>General</c:formatCode>
                <c:ptCount val="2"/>
                <c:pt idx="0">
                  <c:v>0.17643023465472413</c:v>
                </c:pt>
                <c:pt idx="1">
                  <c:v>0.17643023465472413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A-45E3-9A60-EB64ADE6BBCE}"/>
            </c:ext>
          </c:extLst>
        </c:ser>
        <c:ser>
          <c:idx val="12"/>
          <c:order val="3"/>
          <c:tx>
            <c:v>intersection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'R-AFC ISOTOPE'!$C$24</c:f>
              <c:numCache>
                <c:formatCode>0.00</c:formatCode>
                <c:ptCount val="1"/>
                <c:pt idx="0">
                  <c:v>0.17</c:v>
                </c:pt>
              </c:numCache>
            </c:numRef>
          </c:xVal>
          <c:yVal>
            <c:numRef>
              <c:f>'R-AFC ISOTOPE'!$C$31</c:f>
              <c:numCache>
                <c:formatCode>0.00%</c:formatCode>
                <c:ptCount val="1"/>
                <c:pt idx="0">
                  <c:v>0.17643023465472413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A7-412E-9C80-9A398C2ADBB7}"/>
            </c:ext>
          </c:extLst>
        </c:ser>
        <c:ser>
          <c:idx val="13"/>
          <c:order val="4"/>
          <c:tx>
            <c:v>Crust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tr-T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D34-4284-8CBD-667832560E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'R-AFC ISOTOPE'!$E$26</c:f>
              <c:numCache>
                <c:formatCode>General</c:formatCode>
                <c:ptCount val="1"/>
                <c:pt idx="0">
                  <c:v>0.8</c:v>
                </c:pt>
              </c:numCache>
            </c:numRef>
          </c:xVal>
          <c:yVal>
            <c:numRef>
              <c:f>'R-AFC ISOTOPE'!$G$26</c:f>
              <c:numCache>
                <c:formatCode>0.00%</c:formatCode>
                <c:ptCount val="1"/>
                <c:pt idx="0">
                  <c:v>0.17643023465472413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34-4284-8CBD-667832560E13}"/>
            </c:ext>
          </c:extLst>
        </c:ser>
        <c:ser>
          <c:idx val="14"/>
          <c:order val="5"/>
          <c:tx>
            <c:v>Recharge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strRef>
                  <c:f>'R-AFC ISOTOPE'!$E$27</c:f>
                  <c:strCache>
                    <c:ptCount val="1"/>
                    <c:pt idx="0">
                      <c:v>0.17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{CB0354C9-AD45-41B8-AD65-917997023789}</c15:txfldGUID>
                      <c15:f>'R-AFC ISOTOPE'!$E$27</c15:f>
                      <c15:dlblFieldTableCache>
                        <c:ptCount val="1"/>
                        <c:pt idx="0">
                          <c:v>0.17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D34-4284-8CBD-667832560E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'R-AFC ISOTOPE'!$E$27</c:f>
              <c:numCache>
                <c:formatCode>0.00</c:formatCode>
                <c:ptCount val="1"/>
                <c:pt idx="0">
                  <c:v>0.17</c:v>
                </c:pt>
              </c:numCache>
            </c:numRef>
          </c:xVal>
          <c:yVal>
            <c:numRef>
              <c:f>'R-AFC ISOTOPE'!$G$27</c:f>
              <c:numCache>
                <c:formatCode>0.00%</c:formatCode>
                <c:ptCount val="1"/>
                <c:pt idx="0">
                  <c:v>0.12643023465472414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34-4284-8CBD-667832560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1248"/>
        <c:axId val="2028261664"/>
        <c:extLst/>
      </c:scatterChart>
      <c:valAx>
        <c:axId val="2028261248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1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tr-TR" sz="1050" b="0" i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1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2028261664"/>
        <c:crosses val="autoZero"/>
        <c:crossBetween val="midCat"/>
      </c:valAx>
      <c:valAx>
        <c:axId val="2028261664"/>
        <c:scaling>
          <c:orientation val="minMax"/>
          <c:max val="0.4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100" i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ρ</a:t>
                </a:r>
                <a:r>
                  <a:rPr lang="tr-T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= crust/magma</a:t>
                </a:r>
              </a:p>
            </c:rich>
          </c:tx>
          <c:layout>
            <c:manualLayout>
              <c:xMode val="edge"/>
              <c:yMode val="edge"/>
              <c:x val="3.5302112096928351E-2"/>
              <c:y val="0.26562139107611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2028261248"/>
        <c:crosses val="autoZero"/>
        <c:crossBetween val="midCat"/>
      </c:valAx>
      <c:spPr>
        <a:solidFill>
          <a:srgbClr val="FFFFCC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781810476815399"/>
          <c:y val="4.6260498687664041E-2"/>
          <c:w val="0.76828790566218275"/>
          <c:h val="0.76260761154855639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bg1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'R-AFC ISOTOPE_CONTROL'!$C$13:$C$112</c:f>
              <c:numCache>
                <c:formatCode>0.00</c:formatCode>
                <c:ptCount val="100"/>
                <c:pt idx="0">
                  <c:v>0</c:v>
                </c:pt>
                <c:pt idx="1">
                  <c:v>0.12</c:v>
                </c:pt>
                <c:pt idx="2">
                  <c:v>0.18</c:v>
                </c:pt>
                <c:pt idx="3">
                  <c:v>0.24</c:v>
                </c:pt>
                <c:pt idx="4">
                  <c:v>0.3</c:v>
                </c:pt>
                <c:pt idx="5">
                  <c:v>0.36</c:v>
                </c:pt>
                <c:pt idx="6">
                  <c:v>0.42</c:v>
                </c:pt>
                <c:pt idx="7">
                  <c:v>0.48</c:v>
                </c:pt>
                <c:pt idx="8">
                  <c:v>0.54</c:v>
                </c:pt>
                <c:pt idx="9">
                  <c:v>0.6</c:v>
                </c:pt>
                <c:pt idx="10">
                  <c:v>0.66</c:v>
                </c:pt>
                <c:pt idx="11">
                  <c:v>0.72</c:v>
                </c:pt>
                <c:pt idx="12">
                  <c:v>0.78</c:v>
                </c:pt>
                <c:pt idx="13">
                  <c:v>0.84</c:v>
                </c:pt>
                <c:pt idx="14">
                  <c:v>0.9</c:v>
                </c:pt>
                <c:pt idx="15">
                  <c:v>0.96</c:v>
                </c:pt>
                <c:pt idx="16">
                  <c:v>1.02</c:v>
                </c:pt>
                <c:pt idx="17">
                  <c:v>1.08</c:v>
                </c:pt>
                <c:pt idx="18">
                  <c:v>1.1399999999999999</c:v>
                </c:pt>
                <c:pt idx="19">
                  <c:v>1.2</c:v>
                </c:pt>
                <c:pt idx="20">
                  <c:v>1.26</c:v>
                </c:pt>
                <c:pt idx="21">
                  <c:v>1.32</c:v>
                </c:pt>
                <c:pt idx="22">
                  <c:v>1.38</c:v>
                </c:pt>
                <c:pt idx="23">
                  <c:v>1.44</c:v>
                </c:pt>
                <c:pt idx="24">
                  <c:v>1.5</c:v>
                </c:pt>
                <c:pt idx="25">
                  <c:v>1.56</c:v>
                </c:pt>
                <c:pt idx="26">
                  <c:v>1.62</c:v>
                </c:pt>
                <c:pt idx="27">
                  <c:v>1.68</c:v>
                </c:pt>
                <c:pt idx="28">
                  <c:v>1.74</c:v>
                </c:pt>
                <c:pt idx="29">
                  <c:v>1.8</c:v>
                </c:pt>
                <c:pt idx="30">
                  <c:v>1.86</c:v>
                </c:pt>
                <c:pt idx="31">
                  <c:v>1.92</c:v>
                </c:pt>
                <c:pt idx="32">
                  <c:v>1.98</c:v>
                </c:pt>
                <c:pt idx="33">
                  <c:v>2.04</c:v>
                </c:pt>
                <c:pt idx="34">
                  <c:v>2.1</c:v>
                </c:pt>
                <c:pt idx="35">
                  <c:v>2.16</c:v>
                </c:pt>
                <c:pt idx="36">
                  <c:v>2.2200000000000002</c:v>
                </c:pt>
                <c:pt idx="37">
                  <c:v>2.2799999999999998</c:v>
                </c:pt>
                <c:pt idx="38">
                  <c:v>2.34</c:v>
                </c:pt>
                <c:pt idx="39">
                  <c:v>2.4</c:v>
                </c:pt>
                <c:pt idx="40">
                  <c:v>2.46</c:v>
                </c:pt>
                <c:pt idx="41">
                  <c:v>2.52</c:v>
                </c:pt>
                <c:pt idx="42">
                  <c:v>2.58</c:v>
                </c:pt>
                <c:pt idx="43">
                  <c:v>2.64</c:v>
                </c:pt>
                <c:pt idx="44">
                  <c:v>2.7</c:v>
                </c:pt>
                <c:pt idx="45">
                  <c:v>2.76</c:v>
                </c:pt>
                <c:pt idx="46">
                  <c:v>2.82</c:v>
                </c:pt>
                <c:pt idx="47">
                  <c:v>2.88</c:v>
                </c:pt>
                <c:pt idx="48">
                  <c:v>2.94</c:v>
                </c:pt>
                <c:pt idx="49">
                  <c:v>3</c:v>
                </c:pt>
                <c:pt idx="50">
                  <c:v>3.06</c:v>
                </c:pt>
                <c:pt idx="51">
                  <c:v>3.12</c:v>
                </c:pt>
                <c:pt idx="52">
                  <c:v>3.18</c:v>
                </c:pt>
                <c:pt idx="53">
                  <c:v>3.24</c:v>
                </c:pt>
                <c:pt idx="54">
                  <c:v>3.3</c:v>
                </c:pt>
                <c:pt idx="55">
                  <c:v>3.36</c:v>
                </c:pt>
                <c:pt idx="56">
                  <c:v>3.42</c:v>
                </c:pt>
                <c:pt idx="57">
                  <c:v>3.48</c:v>
                </c:pt>
                <c:pt idx="58">
                  <c:v>3.54</c:v>
                </c:pt>
                <c:pt idx="59">
                  <c:v>3.6</c:v>
                </c:pt>
                <c:pt idx="60">
                  <c:v>3.66</c:v>
                </c:pt>
                <c:pt idx="61">
                  <c:v>3.72</c:v>
                </c:pt>
                <c:pt idx="62">
                  <c:v>3.78</c:v>
                </c:pt>
                <c:pt idx="63">
                  <c:v>3.84</c:v>
                </c:pt>
                <c:pt idx="64">
                  <c:v>3.9</c:v>
                </c:pt>
                <c:pt idx="65">
                  <c:v>3.96</c:v>
                </c:pt>
                <c:pt idx="66">
                  <c:v>4.0199999999999996</c:v>
                </c:pt>
                <c:pt idx="67">
                  <c:v>4.08</c:v>
                </c:pt>
                <c:pt idx="68">
                  <c:v>4.1399999999999997</c:v>
                </c:pt>
                <c:pt idx="69">
                  <c:v>4.2</c:v>
                </c:pt>
                <c:pt idx="70">
                  <c:v>4.26</c:v>
                </c:pt>
                <c:pt idx="71">
                  <c:v>4.32</c:v>
                </c:pt>
                <c:pt idx="72">
                  <c:v>4.38</c:v>
                </c:pt>
                <c:pt idx="73">
                  <c:v>4.4400000000000004</c:v>
                </c:pt>
                <c:pt idx="74">
                  <c:v>4.5</c:v>
                </c:pt>
                <c:pt idx="75">
                  <c:v>4.5599999999999996</c:v>
                </c:pt>
                <c:pt idx="76">
                  <c:v>4.62</c:v>
                </c:pt>
                <c:pt idx="77">
                  <c:v>4.68</c:v>
                </c:pt>
                <c:pt idx="78">
                  <c:v>4.74</c:v>
                </c:pt>
                <c:pt idx="79">
                  <c:v>4.8</c:v>
                </c:pt>
                <c:pt idx="80">
                  <c:v>4.8600000000000003</c:v>
                </c:pt>
                <c:pt idx="81">
                  <c:v>4.92</c:v>
                </c:pt>
                <c:pt idx="82">
                  <c:v>4.9800000000000004</c:v>
                </c:pt>
                <c:pt idx="83">
                  <c:v>5.04</c:v>
                </c:pt>
                <c:pt idx="84">
                  <c:v>5.0999999999999996</c:v>
                </c:pt>
                <c:pt idx="85">
                  <c:v>5.16</c:v>
                </c:pt>
                <c:pt idx="86">
                  <c:v>5.22</c:v>
                </c:pt>
                <c:pt idx="87">
                  <c:v>5.28</c:v>
                </c:pt>
                <c:pt idx="88">
                  <c:v>5.34</c:v>
                </c:pt>
                <c:pt idx="89">
                  <c:v>5.4</c:v>
                </c:pt>
                <c:pt idx="90">
                  <c:v>5.46</c:v>
                </c:pt>
                <c:pt idx="91">
                  <c:v>5.52</c:v>
                </c:pt>
                <c:pt idx="92">
                  <c:v>5.58</c:v>
                </c:pt>
                <c:pt idx="93">
                  <c:v>5.64</c:v>
                </c:pt>
                <c:pt idx="94">
                  <c:v>5.7</c:v>
                </c:pt>
                <c:pt idx="95">
                  <c:v>5.76</c:v>
                </c:pt>
                <c:pt idx="96">
                  <c:v>5.82</c:v>
                </c:pt>
                <c:pt idx="97">
                  <c:v>5.88</c:v>
                </c:pt>
                <c:pt idx="98">
                  <c:v>5.94</c:v>
                </c:pt>
                <c:pt idx="99">
                  <c:v>6</c:v>
                </c:pt>
              </c:numCache>
            </c:numRef>
          </c:xVal>
          <c:yVal>
            <c:numRef>
              <c:f>'R-AFC ISOTOPE_CONTROL'!$O$13:$O$112</c:f>
              <c:numCache>
                <c:formatCode>0.00000</c:formatCode>
                <c:ptCount val="100"/>
                <c:pt idx="0">
                  <c:v>0.12751378499565513</c:v>
                </c:pt>
                <c:pt idx="1">
                  <c:v>0.12837418551472865</c:v>
                </c:pt>
                <c:pt idx="2">
                  <c:v>0.12882188331472089</c:v>
                </c:pt>
                <c:pt idx="3">
                  <c:v>0.12928206008169027</c:v>
                </c:pt>
                <c:pt idx="4">
                  <c:v>0.1297553879586073</c:v>
                </c:pt>
                <c:pt idx="5">
                  <c:v>0.13024259506634459</c:v>
                </c:pt>
                <c:pt idx="6">
                  <c:v>0.13074447196320307</c:v>
                </c:pt>
                <c:pt idx="7">
                  <c:v>0.13126187907346304</c:v>
                </c:pt>
                <c:pt idx="8">
                  <c:v>0.13179575526634471</c:v>
                </c:pt>
                <c:pt idx="9">
                  <c:v>0.13234712780794658</c:v>
                </c:pt>
                <c:pt idx="10">
                  <c:v>0.13291712396102501</c:v>
                </c:pt>
                <c:pt idx="11">
                  <c:v>0.13350698457439594</c:v>
                </c:pt>
                <c:pt idx="12">
                  <c:v>0.13411808009007134</c:v>
                </c:pt>
                <c:pt idx="13">
                  <c:v>0.13475192950859796</c:v>
                </c:pt>
                <c:pt idx="14">
                  <c:v>0.1354102230006696</c:v>
                </c:pt>
                <c:pt idx="15">
                  <c:v>0.136094849048955</c:v>
                </c:pt>
                <c:pt idx="16">
                  <c:v>0.13680792726684943</c:v>
                </c:pt>
                <c:pt idx="17">
                  <c:v>0.13755184839752507</c:v>
                </c:pt>
                <c:pt idx="18">
                  <c:v>0.13832932348698737</c:v>
                </c:pt>
                <c:pt idx="19">
                  <c:v>0.13914344490833916</c:v>
                </c:pt>
                <c:pt idx="20">
                  <c:v>0.13999776288175014</c:v>
                </c:pt>
                <c:pt idx="21">
                  <c:v>0.14089638252649317</c:v>
                </c:pt>
                <c:pt idx="22">
                  <c:v>0.14184408852121311</c:v>
                </c:pt>
                <c:pt idx="23">
                  <c:v>0.1428465074992675</c:v>
                </c:pt>
                <c:pt idx="24">
                  <c:v>0.1439103229728321</c:v>
                </c:pt>
                <c:pt idx="25">
                  <c:v>0.14504356490222023</c:v>
                </c:pt>
                <c:pt idx="26">
                  <c:v>0.14625600785129569</c:v>
                </c:pt>
                <c:pt idx="27">
                  <c:v>0.14755973139791442</c:v>
                </c:pt>
                <c:pt idx="28">
                  <c:v>0.14896993064534778</c:v>
                </c:pt>
                <c:pt idx="29">
                  <c:v>0.15050612654224491</c:v>
                </c:pt>
                <c:pt idx="30">
                  <c:v>0.15219404363948472</c:v>
                </c:pt>
                <c:pt idx="31">
                  <c:v>0.15406866211340509</c:v>
                </c:pt>
                <c:pt idx="32">
                  <c:v>0.15617947456486031</c:v>
                </c:pt>
                <c:pt idx="33">
                  <c:v>0.15860024036091194</c:v>
                </c:pt>
                <c:pt idx="34">
                  <c:v>0.16144898113164949</c:v>
                </c:pt>
                <c:pt idx="35">
                  <c:v>0.1649351897676837</c:v>
                </c:pt>
                <c:pt idx="36">
                  <c:v>0.16949877084704423</c:v>
                </c:pt>
                <c:pt idx="37">
                  <c:v>0.17643036545452701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BC-4F6D-93D4-3B769BE69FDB}"/>
            </c:ext>
          </c:extLst>
        </c:ser>
        <c:ser>
          <c:idx val="10"/>
          <c:order val="1"/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'R-AFC ISOTOPE_CONTROL'!$E$2:$E$3</c:f>
              <c:numCache>
                <c:formatCode>0.00</c:formatCode>
                <c:ptCount val="2"/>
                <c:pt idx="0">
                  <c:v>2.2799999999999998</c:v>
                </c:pt>
                <c:pt idx="1">
                  <c:v>2.2799999999999998</c:v>
                </c:pt>
              </c:numCache>
            </c:numRef>
          </c:xVal>
          <c:yVal>
            <c:numRef>
              <c:f>'R-AFC ISOTOPE_CONTROL'!$F$2:$F$3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3BC-4F6D-93D4-3B769BE69FDB}"/>
            </c:ext>
          </c:extLst>
        </c:ser>
        <c:ser>
          <c:idx val="11"/>
          <c:order val="2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'R-AFC ISOTOPE_CONTROL'!$J$7:$K$7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xVal>
          <c:yVal>
            <c:numRef>
              <c:f>'R-AFC ISOTOPE_CONTROL'!$J$8:$K$8</c:f>
              <c:numCache>
                <c:formatCode>General</c:formatCode>
                <c:ptCount val="2"/>
                <c:pt idx="0">
                  <c:v>0.17643023465472413</c:v>
                </c:pt>
                <c:pt idx="1">
                  <c:v>0.17643023465472413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3BC-4F6D-93D4-3B769BE69FDB}"/>
            </c:ext>
          </c:extLst>
        </c:ser>
        <c:ser>
          <c:idx val="12"/>
          <c:order val="3"/>
          <c:tx>
            <c:v>intersection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8"/>
              <c:spPr>
                <a:solidFill>
                  <a:schemeClr val="bg1">
                    <a:lumMod val="95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93BC-4F6D-93D4-3B769BE69FDB}"/>
              </c:ext>
            </c:extLst>
          </c:dPt>
          <c:xVal>
            <c:numRef>
              <c:f>'R-AFC ISOTOPE'!$C$38</c:f>
              <c:numCache>
                <c:formatCode>0.00</c:formatCode>
                <c:ptCount val="1"/>
                <c:pt idx="0">
                  <c:v>2.2799999999999998</c:v>
                </c:pt>
              </c:numCache>
            </c:numRef>
          </c:xVal>
          <c:yVal>
            <c:numRef>
              <c:f>'R-AFC ISOTOPE'!$C$31</c:f>
              <c:numCache>
                <c:formatCode>0.00%</c:formatCode>
                <c:ptCount val="1"/>
                <c:pt idx="0">
                  <c:v>0.17643023465472413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BC-4F6D-93D4-3B769BE69FDB}"/>
            </c:ext>
          </c:extLst>
        </c:ser>
        <c:ser>
          <c:idx val="13"/>
          <c:order val="4"/>
          <c:tx>
            <c:v>Crust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strRef>
                  <c:f>'R-AFC ISOTOPE'!$G$13:$G$14</c:f>
                  <c:strCache>
                    <c:ptCount val="2"/>
                    <c:pt idx="0">
                      <c:v>17.64%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tr-T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{91B56E22-D2C3-4833-A6A0-07EE7D83EDA0}</c15:txfldGUID>
                      <c15:f>'R-AFC ISOTOPE'!$G$13:$G$14</c15:f>
                      <c15:dlblFieldTableCache>
                        <c:ptCount val="2"/>
                        <c:pt idx="0">
                          <c:v>17.64%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D417-4B32-877A-AD183FE943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'R-AFC ISOTOPE'!$E$23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'R-AFC ISOTOPE'!$G$23</c:f>
              <c:numCache>
                <c:formatCode>0.00%</c:formatCode>
                <c:ptCount val="1"/>
                <c:pt idx="0">
                  <c:v>0.17643023465472413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17-4B32-877A-AD183FE943A4}"/>
            </c:ext>
          </c:extLst>
        </c:ser>
        <c:ser>
          <c:idx val="14"/>
          <c:order val="5"/>
          <c:tx>
            <c:v>Recharge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strRef>
                  <c:f>'R-AFC ISOTOPE'!$E$24</c:f>
                  <c:strCache>
                    <c:ptCount val="1"/>
                    <c:pt idx="0">
                      <c:v>2.28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tr-T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{BFEA640B-9BB7-4D73-9BA7-34DF8403A2ED}</c15:txfldGUID>
                      <c15:f>'R-AFC ISOTOPE'!$E$24</c15:f>
                      <c15:dlblFieldTableCache>
                        <c:ptCount val="1"/>
                        <c:pt idx="0">
                          <c:v>2.28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417-4B32-877A-AD183FE943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'R-AFC ISOTOPE'!$E$24</c:f>
              <c:numCache>
                <c:formatCode>0.00</c:formatCode>
                <c:ptCount val="1"/>
                <c:pt idx="0">
                  <c:v>2.2799999999999998</c:v>
                </c:pt>
              </c:numCache>
            </c:numRef>
          </c:xVal>
          <c:yVal>
            <c:numRef>
              <c:f>'R-AFC ISOTOPE'!$G$24</c:f>
              <c:numCache>
                <c:formatCode>0.00%</c:formatCode>
                <c:ptCount val="1"/>
                <c:pt idx="0">
                  <c:v>0.12643023465472414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17-4B32-877A-AD183FE94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1248"/>
        <c:axId val="2028261664"/>
        <c:extLst/>
      </c:scatterChart>
      <c:valAx>
        <c:axId val="2028261248"/>
        <c:scaling>
          <c:orientation val="minMax"/>
          <c:max val="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1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100" i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β</a:t>
                </a:r>
                <a:endParaRPr lang="tr-TR" sz="1100" i="1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1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2028261664"/>
        <c:crosses val="autoZero"/>
        <c:crossBetween val="midCat"/>
      </c:valAx>
      <c:valAx>
        <c:axId val="2028261664"/>
        <c:scaling>
          <c:orientation val="minMax"/>
          <c:max val="0.22000000000000003"/>
          <c:min val="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100" i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ρ</a:t>
                </a:r>
                <a:r>
                  <a:rPr lang="tr-TR" sz="11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= crust/magma</a:t>
                </a:r>
              </a:p>
            </c:rich>
          </c:tx>
          <c:layout>
            <c:manualLayout>
              <c:xMode val="edge"/>
              <c:yMode val="edge"/>
              <c:x val="4.1381729139326341E-2"/>
              <c:y val="0.26089763779527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tr-TR"/>
            </a:p>
          </c:txPr>
        </c:title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tr-TR"/>
          </a:p>
        </c:txPr>
        <c:crossAx val="2028261248"/>
        <c:crosses val="autoZero"/>
        <c:crossBetween val="midCat"/>
        <c:majorUnit val="2.0000000000000004E-2"/>
      </c:valAx>
      <c:spPr>
        <a:solidFill>
          <a:srgbClr val="FFFFCC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'R-AFC ISOTOPE_CONTROL'!E5" max="30000" page="10" val="17"/>
</file>

<file path=xl/ctrlProps/ctrlProp2.xml><?xml version="1.0" encoding="utf-8"?>
<formControlPr xmlns="http://schemas.microsoft.com/office/spreadsheetml/2009/9/main" objectType="Spin" dx="22" fmlaLink="'R-AFC ISOTOPE_CONTROL'!E5" max="30000" page="10" val="17"/>
</file>

<file path=xl/ctrlProps/ctrlProp3.xml><?xml version="1.0" encoding="utf-8"?>
<formControlPr xmlns="http://schemas.microsoft.com/office/spreadsheetml/2009/9/main" objectType="Spin" dx="22" fmlaLink="'R-AFC TRACE_CONTROL'!H4" max="100" page="10" val="17"/>
</file>

<file path=xl/ctrlProps/ctrlProp4.xml><?xml version="1.0" encoding="utf-8"?>
<formControlPr xmlns="http://schemas.microsoft.com/office/spreadsheetml/2009/9/main" objectType="Spin" dx="22" fmlaLink="'R-AFC ISOTOPE_CONTROL'!E5" max="100" page="10" val="17"/>
</file>

<file path=xl/ctrlProps/ctrlProp5.xml><?xml version="1.0" encoding="utf-8"?>
<formControlPr xmlns="http://schemas.microsoft.com/office/spreadsheetml/2009/9/main" objectType="Drop" dropLines="3" dropStyle="combo" dx="22" fmlaLink="Element_Control!$F$29" fmlaRange="Element_Control!$O$8:$P$10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4</xdr:col>
          <xdr:colOff>419100</xdr:colOff>
          <xdr:row>8</xdr:row>
          <xdr:rowOff>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4</xdr:col>
          <xdr:colOff>419100</xdr:colOff>
          <xdr:row>8</xdr:row>
          <xdr:rowOff>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4</xdr:col>
          <xdr:colOff>419100</xdr:colOff>
          <xdr:row>8</xdr:row>
          <xdr:rowOff>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8</xdr:row>
          <xdr:rowOff>161925</xdr:rowOff>
        </xdr:from>
        <xdr:to>
          <xdr:col>7</xdr:col>
          <xdr:colOff>19050</xdr:colOff>
          <xdr:row>11</xdr:row>
          <xdr:rowOff>47625</xdr:rowOff>
        </xdr:to>
        <xdr:sp macro="" textlink="">
          <xdr:nvSpPr>
            <xdr:cNvPr id="4128" name="CommandButton1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0</xdr:colOff>
      <xdr:row>2</xdr:row>
      <xdr:rowOff>0</xdr:rowOff>
    </xdr:from>
    <xdr:to>
      <xdr:col>22</xdr:col>
      <xdr:colOff>437925</xdr:colOff>
      <xdr:row>20</xdr:row>
      <xdr:rowOff>18750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C8F14FD4-D141-4411-B773-B3098CC8D7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9</xdr:row>
      <xdr:rowOff>0</xdr:rowOff>
    </xdr:from>
    <xdr:to>
      <xdr:col>25</xdr:col>
      <xdr:colOff>323849</xdr:colOff>
      <xdr:row>25</xdr:row>
      <xdr:rowOff>161925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C9602F15-4A23-4AD1-B5A8-A2D86D0618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4</xdr:col>
          <xdr:colOff>419100</xdr:colOff>
          <xdr:row>8</xdr:row>
          <xdr:rowOff>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0</xdr:colOff>
      <xdr:row>2</xdr:row>
      <xdr:rowOff>0</xdr:rowOff>
    </xdr:from>
    <xdr:to>
      <xdr:col>22</xdr:col>
      <xdr:colOff>542925</xdr:colOff>
      <xdr:row>20</xdr:row>
      <xdr:rowOff>19050</xdr:rowOff>
    </xdr:to>
    <xdr:graphicFrame macro="">
      <xdr:nvGraphicFramePr>
        <xdr:cNvPr id="15" name="Grafik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8</xdr:row>
          <xdr:rowOff>161925</xdr:rowOff>
        </xdr:from>
        <xdr:to>
          <xdr:col>7</xdr:col>
          <xdr:colOff>19050</xdr:colOff>
          <xdr:row>11</xdr:row>
          <xdr:rowOff>47625</xdr:rowOff>
        </xdr:to>
        <xdr:sp macro="" textlink="">
          <xdr:nvSpPr>
            <xdr:cNvPr id="3091" name="CommandButton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0</xdr:colOff>
      <xdr:row>2</xdr:row>
      <xdr:rowOff>0</xdr:rowOff>
    </xdr:from>
    <xdr:to>
      <xdr:col>32</xdr:col>
      <xdr:colOff>123600</xdr:colOff>
      <xdr:row>20</xdr:row>
      <xdr:rowOff>19050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614E849E-9389-4482-A764-F4F536D54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18</xdr:row>
          <xdr:rowOff>95250</xdr:rowOff>
        </xdr:from>
        <xdr:to>
          <xdr:col>9</xdr:col>
          <xdr:colOff>504825</xdr:colOff>
          <xdr:row>19</xdr:row>
          <xdr:rowOff>114300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31E31-5A42-498D-929D-C785F8326B01}">
  <sheetPr codeName="Sayfa5">
    <tabColor rgb="FF002060"/>
  </sheetPr>
  <dimension ref="B1:AA128"/>
  <sheetViews>
    <sheetView showGridLines="0" showRowColHeaders="0" workbookViewId="0">
      <selection activeCell="L3" sqref="L3"/>
    </sheetView>
  </sheetViews>
  <sheetFormatPr defaultRowHeight="15"/>
  <cols>
    <col min="1" max="2" width="3.42578125" style="8" customWidth="1"/>
    <col min="3" max="3" width="11.7109375" style="8" customWidth="1"/>
    <col min="4" max="4" width="1.85546875" style="8" customWidth="1"/>
    <col min="5" max="5" width="6.42578125" style="8" customWidth="1"/>
    <col min="6" max="6" width="2.140625" style="8" customWidth="1"/>
    <col min="7" max="7" width="9" style="8" customWidth="1"/>
    <col min="8" max="8" width="3.42578125" style="8" customWidth="1"/>
    <col min="9" max="9" width="3.28515625" style="8" customWidth="1"/>
    <col min="10" max="10" width="3.42578125" style="8" customWidth="1"/>
    <col min="11" max="11" width="9.140625" style="8"/>
    <col min="12" max="12" width="9.7109375" style="8" customWidth="1"/>
    <col min="13" max="13" width="3.42578125" style="8" customWidth="1"/>
    <col min="14" max="14" width="3.28515625" style="8" customWidth="1"/>
    <col min="15" max="15" width="3.42578125" style="8" customWidth="1"/>
    <col min="16" max="21" width="9.7109375" style="8" customWidth="1"/>
    <col min="22" max="23" width="10.140625" style="8" customWidth="1"/>
    <col min="24" max="24" width="12" style="8" customWidth="1"/>
    <col min="25" max="32" width="9.140625" style="8"/>
    <col min="33" max="33" width="3.42578125" style="8" customWidth="1"/>
    <col min="34" max="16384" width="9.140625" style="8"/>
  </cols>
  <sheetData>
    <row r="1" spans="2:23" ht="15.75" thickBot="1"/>
    <row r="2" spans="2:23" ht="12" customHeight="1">
      <c r="B2" s="156" t="s">
        <v>30</v>
      </c>
      <c r="C2" s="157"/>
      <c r="D2" s="157"/>
      <c r="E2" s="157"/>
      <c r="F2" s="157"/>
      <c r="G2" s="157"/>
      <c r="H2" s="158"/>
      <c r="J2" s="60"/>
      <c r="K2" s="61"/>
      <c r="L2" s="61"/>
      <c r="M2" s="62"/>
      <c r="O2" s="37"/>
      <c r="P2" s="38"/>
      <c r="Q2" s="38"/>
      <c r="R2" s="38"/>
      <c r="S2" s="38"/>
      <c r="T2" s="38"/>
      <c r="U2" s="38"/>
      <c r="V2" s="38"/>
      <c r="W2" s="39"/>
    </row>
    <row r="3" spans="2:23" ht="15" customHeight="1">
      <c r="B3" s="159"/>
      <c r="C3" s="160"/>
      <c r="D3" s="160"/>
      <c r="E3" s="160"/>
      <c r="F3" s="160"/>
      <c r="G3" s="160"/>
      <c r="H3" s="161"/>
      <c r="J3" s="66"/>
      <c r="K3" s="73" t="s">
        <v>34</v>
      </c>
      <c r="L3" s="75" t="s">
        <v>27</v>
      </c>
      <c r="M3" s="67"/>
      <c r="O3" s="40"/>
      <c r="P3" s="41"/>
      <c r="Q3" s="41"/>
      <c r="R3" s="41"/>
      <c r="S3" s="41"/>
      <c r="T3" s="41"/>
      <c r="U3" s="41"/>
      <c r="V3" s="41"/>
      <c r="W3" s="42"/>
    </row>
    <row r="4" spans="2:23" ht="12" customHeight="1" thickBot="1">
      <c r="B4" s="162"/>
      <c r="C4" s="163"/>
      <c r="D4" s="163"/>
      <c r="E4" s="163"/>
      <c r="F4" s="163"/>
      <c r="G4" s="163"/>
      <c r="H4" s="164"/>
      <c r="J4" s="63"/>
      <c r="K4" s="64"/>
      <c r="L4" s="64"/>
      <c r="M4" s="65"/>
      <c r="O4" s="40"/>
      <c r="P4" s="41"/>
      <c r="Q4" s="41"/>
      <c r="R4" s="41"/>
      <c r="S4" s="41"/>
      <c r="T4" s="41"/>
      <c r="U4" s="41"/>
      <c r="V4" s="41"/>
      <c r="W4" s="42"/>
    </row>
    <row r="5" spans="2:23" ht="9.9499999999999993" customHeight="1" thickBot="1">
      <c r="O5" s="40"/>
      <c r="P5" s="41"/>
      <c r="Q5" s="41"/>
      <c r="R5" s="41"/>
      <c r="S5" s="41"/>
      <c r="T5" s="41"/>
      <c r="U5" s="41"/>
      <c r="V5" s="41"/>
      <c r="W5" s="42"/>
    </row>
    <row r="6" spans="2:23" ht="15.75" customHeight="1">
      <c r="B6" s="169"/>
      <c r="C6" s="170"/>
      <c r="D6" s="170"/>
      <c r="E6" s="170"/>
      <c r="F6" s="170"/>
      <c r="G6" s="170"/>
      <c r="H6" s="171"/>
      <c r="J6" s="37"/>
      <c r="K6" s="38"/>
      <c r="L6" s="38"/>
      <c r="M6" s="39"/>
      <c r="O6" s="40"/>
      <c r="P6" s="41"/>
      <c r="Q6" s="41"/>
      <c r="R6" s="41"/>
      <c r="S6" s="41"/>
      <c r="T6" s="41"/>
      <c r="U6" s="41"/>
      <c r="V6" s="41"/>
      <c r="W6" s="42"/>
    </row>
    <row r="7" spans="2:23" ht="15.95" customHeight="1">
      <c r="B7" s="40"/>
      <c r="C7" s="165" t="s">
        <v>0</v>
      </c>
      <c r="D7" s="41"/>
      <c r="E7" s="41"/>
      <c r="F7" s="41"/>
      <c r="G7" s="167">
        <f>'R-AFC TRACE_CONTROL'!H5</f>
        <v>0.17</v>
      </c>
      <c r="H7" s="42"/>
      <c r="J7" s="40"/>
      <c r="K7" s="54" t="s">
        <v>18</v>
      </c>
      <c r="L7" s="68">
        <v>1070</v>
      </c>
      <c r="M7" s="42"/>
      <c r="O7" s="40"/>
      <c r="P7" s="41"/>
      <c r="Q7" s="41"/>
      <c r="R7" s="41"/>
      <c r="S7" s="41"/>
      <c r="T7" s="41"/>
      <c r="U7" s="41"/>
      <c r="V7" s="41"/>
      <c r="W7" s="42"/>
    </row>
    <row r="8" spans="2:23" ht="15.95" customHeight="1">
      <c r="B8" s="40"/>
      <c r="C8" s="166"/>
      <c r="D8" s="41"/>
      <c r="E8" s="41"/>
      <c r="F8" s="41"/>
      <c r="G8" s="168"/>
      <c r="H8" s="42"/>
      <c r="J8" s="40"/>
      <c r="K8" s="41"/>
      <c r="L8" s="41"/>
      <c r="M8" s="42"/>
      <c r="O8" s="40"/>
      <c r="P8" s="41"/>
      <c r="Q8" s="41"/>
      <c r="R8" s="41"/>
      <c r="S8" s="41"/>
      <c r="T8" s="41"/>
      <c r="U8" s="41"/>
      <c r="V8" s="41"/>
      <c r="W8" s="42"/>
    </row>
    <row r="9" spans="2:23" ht="15.95" customHeight="1">
      <c r="B9" s="40"/>
      <c r="C9" s="41"/>
      <c r="D9" s="41"/>
      <c r="E9" s="41"/>
      <c r="F9" s="41"/>
      <c r="G9" s="41"/>
      <c r="H9" s="42"/>
      <c r="J9" s="40"/>
      <c r="K9" s="56" t="s">
        <v>20</v>
      </c>
      <c r="L9" s="68">
        <v>28.3</v>
      </c>
      <c r="M9" s="42"/>
      <c r="O9" s="40"/>
      <c r="P9" s="41"/>
      <c r="Q9" s="41"/>
      <c r="R9" s="41"/>
      <c r="S9" s="41"/>
      <c r="T9" s="41"/>
      <c r="U9" s="41"/>
      <c r="V9" s="41"/>
      <c r="W9" s="42"/>
    </row>
    <row r="10" spans="2:23" ht="15.95" customHeight="1">
      <c r="B10" s="40"/>
      <c r="C10" s="41"/>
      <c r="D10" s="41"/>
      <c r="E10" s="41"/>
      <c r="F10" s="41"/>
      <c r="G10" s="41"/>
      <c r="H10" s="42"/>
      <c r="J10" s="40"/>
      <c r="K10" s="41"/>
      <c r="L10" s="41"/>
      <c r="M10" s="42"/>
      <c r="O10" s="40"/>
      <c r="P10" s="41"/>
      <c r="Q10" s="41"/>
      <c r="R10" s="41"/>
      <c r="S10" s="41"/>
      <c r="T10" s="41"/>
      <c r="U10" s="41"/>
      <c r="V10" s="41"/>
      <c r="W10" s="42"/>
    </row>
    <row r="11" spans="2:23" ht="15.95" customHeight="1">
      <c r="B11" s="40"/>
      <c r="C11" s="41"/>
      <c r="D11" s="41"/>
      <c r="E11" s="41"/>
      <c r="F11" s="41"/>
      <c r="G11" s="41"/>
      <c r="H11" s="42"/>
      <c r="J11" s="40"/>
      <c r="K11" s="56" t="s">
        <v>23</v>
      </c>
      <c r="L11" s="68">
        <v>1070</v>
      </c>
      <c r="M11" s="42"/>
      <c r="O11" s="40"/>
      <c r="P11" s="41"/>
      <c r="Q11" s="41"/>
      <c r="R11" s="41"/>
      <c r="S11" s="41"/>
      <c r="T11" s="41"/>
      <c r="U11" s="41"/>
      <c r="V11" s="41"/>
      <c r="W11" s="42"/>
    </row>
    <row r="12" spans="2:23" ht="15.95" customHeight="1">
      <c r="B12" s="40"/>
      <c r="C12" s="41"/>
      <c r="D12" s="41"/>
      <c r="E12" s="41"/>
      <c r="F12" s="41"/>
      <c r="G12" s="41"/>
      <c r="H12" s="42"/>
      <c r="J12" s="40"/>
      <c r="K12" s="41"/>
      <c r="L12" s="41"/>
      <c r="M12" s="42"/>
      <c r="O12" s="40"/>
      <c r="P12" s="41"/>
      <c r="Q12" s="41"/>
      <c r="R12" s="41"/>
      <c r="S12" s="41"/>
      <c r="T12" s="41"/>
      <c r="U12" s="41"/>
      <c r="V12" s="41"/>
      <c r="W12" s="42"/>
    </row>
    <row r="13" spans="2:23" ht="15.95" customHeight="1">
      <c r="B13" s="40"/>
      <c r="C13" s="172" t="s">
        <v>32</v>
      </c>
      <c r="D13" s="173"/>
      <c r="E13" s="173"/>
      <c r="F13" s="41"/>
      <c r="G13" s="153">
        <f>'R-AFC TRACE_CONTROL'!J7</f>
        <v>0.17643036543870119</v>
      </c>
      <c r="H13" s="42"/>
      <c r="J13" s="40"/>
      <c r="K13" s="54" t="s">
        <v>31</v>
      </c>
      <c r="L13" s="68">
        <v>550.61</v>
      </c>
      <c r="M13" s="42"/>
      <c r="O13" s="40"/>
      <c r="P13" s="41"/>
      <c r="Q13" s="41"/>
      <c r="R13" s="41"/>
      <c r="S13" s="41"/>
      <c r="T13" s="41"/>
      <c r="U13" s="41"/>
      <c r="V13" s="41"/>
      <c r="W13" s="42"/>
    </row>
    <row r="14" spans="2:23" ht="15.95" customHeight="1">
      <c r="B14" s="40"/>
      <c r="C14" s="172"/>
      <c r="D14" s="173"/>
      <c r="E14" s="173"/>
      <c r="F14" s="41"/>
      <c r="G14" s="155"/>
      <c r="H14" s="42"/>
      <c r="J14" s="40"/>
      <c r="K14" s="41"/>
      <c r="L14" s="41"/>
      <c r="M14" s="42"/>
      <c r="O14" s="40"/>
      <c r="P14" s="41"/>
      <c r="Q14" s="41"/>
      <c r="R14" s="41"/>
      <c r="S14" s="41"/>
      <c r="T14" s="41"/>
      <c r="U14" s="41"/>
      <c r="V14" s="41"/>
      <c r="W14" s="42"/>
    </row>
    <row r="15" spans="2:23" ht="15.95" customHeight="1">
      <c r="B15" s="40"/>
      <c r="C15" s="41"/>
      <c r="D15" s="41"/>
      <c r="E15" s="41"/>
      <c r="F15" s="41"/>
      <c r="G15" s="41"/>
      <c r="H15" s="42"/>
      <c r="J15" s="40"/>
      <c r="K15" s="128" t="s">
        <v>29</v>
      </c>
      <c r="L15" s="129">
        <v>0.62256730320598463</v>
      </c>
      <c r="M15" s="42"/>
      <c r="O15" s="40"/>
      <c r="P15" s="41"/>
      <c r="Q15" s="41"/>
      <c r="R15" s="41"/>
      <c r="S15" s="41"/>
      <c r="T15" s="41"/>
      <c r="U15" s="41"/>
      <c r="V15" s="41"/>
      <c r="W15" s="42"/>
    </row>
    <row r="16" spans="2:23" ht="15.95" customHeight="1">
      <c r="B16" s="40"/>
      <c r="C16" s="174" t="s">
        <v>25</v>
      </c>
      <c r="D16" s="175"/>
      <c r="E16" s="176"/>
      <c r="F16" s="41"/>
      <c r="G16" s="153">
        <f>'R-AFC TRACE_CONTROL'!H8</f>
        <v>0.3876</v>
      </c>
      <c r="H16" s="42"/>
      <c r="J16" s="59"/>
      <c r="K16" s="41"/>
      <c r="L16" s="41"/>
      <c r="M16" s="42"/>
      <c r="O16" s="40"/>
      <c r="P16" s="41"/>
      <c r="Q16" s="41"/>
      <c r="R16" s="41"/>
      <c r="S16" s="41"/>
      <c r="T16" s="41"/>
      <c r="U16" s="41"/>
      <c r="V16" s="41"/>
      <c r="W16" s="42"/>
    </row>
    <row r="17" spans="2:27" ht="15.95" customHeight="1">
      <c r="B17" s="40"/>
      <c r="C17" s="177"/>
      <c r="D17" s="178"/>
      <c r="E17" s="179"/>
      <c r="F17" s="41"/>
      <c r="G17" s="155"/>
      <c r="H17" s="42"/>
      <c r="J17" s="59"/>
      <c r="K17" s="56" t="s">
        <v>26</v>
      </c>
      <c r="L17" s="127">
        <f>C37</f>
        <v>274.01530636003582</v>
      </c>
      <c r="M17" s="42"/>
      <c r="O17" s="40"/>
      <c r="P17" s="41"/>
      <c r="Q17" s="41"/>
      <c r="R17" s="41"/>
      <c r="S17" s="41"/>
      <c r="T17" s="41"/>
      <c r="U17" s="41"/>
      <c r="V17" s="41"/>
      <c r="W17" s="42"/>
    </row>
    <row r="18" spans="2:27" ht="15.75" customHeight="1">
      <c r="B18" s="40"/>
      <c r="C18" s="41"/>
      <c r="D18" s="41"/>
      <c r="E18" s="41"/>
      <c r="F18" s="41"/>
      <c r="G18" s="41"/>
      <c r="H18" s="42"/>
      <c r="J18" s="40"/>
      <c r="K18" s="41"/>
      <c r="L18" s="41"/>
      <c r="M18" s="42"/>
      <c r="O18" s="40"/>
      <c r="P18" s="41"/>
      <c r="Q18" s="41"/>
      <c r="R18" s="41"/>
      <c r="S18" s="41"/>
      <c r="T18" s="41"/>
      <c r="U18" s="41"/>
      <c r="V18" s="41"/>
      <c r="W18" s="42"/>
    </row>
    <row r="19" spans="2:27">
      <c r="B19" s="40"/>
      <c r="C19" s="147" t="s">
        <v>33</v>
      </c>
      <c r="D19" s="148"/>
      <c r="E19" s="149"/>
      <c r="F19" s="41"/>
      <c r="G19" s="153">
        <f>1-G13-G16</f>
        <v>0.43596963456129884</v>
      </c>
      <c r="H19" s="42"/>
      <c r="J19" s="40"/>
      <c r="K19" s="69" t="s">
        <v>1</v>
      </c>
      <c r="L19" s="68">
        <v>2</v>
      </c>
      <c r="M19" s="42"/>
      <c r="O19" s="40"/>
      <c r="P19" s="41"/>
      <c r="Q19" s="41"/>
      <c r="R19" s="41"/>
      <c r="S19" s="41"/>
      <c r="T19" s="41"/>
      <c r="U19" s="41"/>
      <c r="V19" s="41"/>
      <c r="W19" s="42"/>
    </row>
    <row r="20" spans="2:27">
      <c r="B20" s="40"/>
      <c r="C20" s="150"/>
      <c r="D20" s="151"/>
      <c r="E20" s="152"/>
      <c r="F20" s="41"/>
      <c r="G20" s="154"/>
      <c r="H20" s="42"/>
      <c r="J20" s="40"/>
      <c r="K20" s="41"/>
      <c r="L20" s="41"/>
      <c r="M20" s="42"/>
      <c r="O20" s="40"/>
      <c r="P20" s="41"/>
      <c r="Q20" s="41"/>
      <c r="R20" s="41"/>
      <c r="S20" s="41"/>
      <c r="T20" s="41"/>
      <c r="U20" s="41"/>
      <c r="V20" s="41"/>
      <c r="W20" s="42"/>
    </row>
    <row r="21" spans="2:27" ht="15.75" thickBot="1">
      <c r="B21" s="43"/>
      <c r="C21" s="44"/>
      <c r="D21" s="44"/>
      <c r="E21" s="44"/>
      <c r="F21" s="44"/>
      <c r="G21" s="44"/>
      <c r="H21" s="45"/>
      <c r="J21" s="43"/>
      <c r="K21" s="44"/>
      <c r="L21" s="44"/>
      <c r="M21" s="45"/>
      <c r="O21" s="43"/>
      <c r="P21" s="44"/>
      <c r="Q21" s="44"/>
      <c r="R21" s="44"/>
      <c r="S21" s="44"/>
      <c r="T21" s="44"/>
      <c r="U21" s="44"/>
      <c r="V21" s="44"/>
      <c r="W21" s="45"/>
    </row>
    <row r="23" spans="2:27">
      <c r="C23" s="118" t="s">
        <v>0</v>
      </c>
      <c r="D23" s="119"/>
      <c r="E23" s="119">
        <v>5</v>
      </c>
      <c r="F23" s="119"/>
      <c r="G23" s="120">
        <f>C31</f>
        <v>0.17643036543870119</v>
      </c>
      <c r="H23" s="119"/>
    </row>
    <row r="24" spans="2:27">
      <c r="C24" s="121">
        <f>G7</f>
        <v>0.17</v>
      </c>
      <c r="D24" s="119"/>
      <c r="E24" s="122">
        <f>C38</f>
        <v>2.2799999999999998</v>
      </c>
      <c r="F24" s="119"/>
      <c r="G24" s="120">
        <f>G23-0.05</f>
        <v>0.12643036543870118</v>
      </c>
      <c r="H24" s="119"/>
    </row>
    <row r="25" spans="2:27">
      <c r="C25" s="123" t="s">
        <v>2</v>
      </c>
      <c r="D25" s="119"/>
      <c r="E25" s="119"/>
      <c r="F25" s="119"/>
      <c r="G25" s="119"/>
      <c r="H25" s="119"/>
    </row>
    <row r="26" spans="2:27">
      <c r="C26" s="123">
        <f>($C$24+$L$19-1)/($C$24-1)</f>
        <v>-1.4096385542168675</v>
      </c>
      <c r="D26" s="119"/>
      <c r="E26" s="119">
        <v>0.8</v>
      </c>
      <c r="F26" s="119"/>
      <c r="G26" s="120">
        <f>C31</f>
        <v>0.17643036543870119</v>
      </c>
      <c r="H26" s="119"/>
    </row>
    <row r="27" spans="2:27">
      <c r="C27" s="123" t="s">
        <v>28</v>
      </c>
      <c r="D27" s="119"/>
      <c r="E27" s="122">
        <f>G7</f>
        <v>0.17</v>
      </c>
      <c r="F27" s="119"/>
      <c r="G27" s="120">
        <f>G24</f>
        <v>0.12643036543870118</v>
      </c>
      <c r="H27" s="119"/>
    </row>
    <row r="28" spans="2:27">
      <c r="C28" s="124">
        <f>1-C33</f>
        <v>0.37743269679401537</v>
      </c>
      <c r="D28" s="119"/>
      <c r="E28" s="119"/>
      <c r="F28" s="119"/>
      <c r="G28" s="119"/>
      <c r="H28" s="119"/>
      <c r="V28" s="33"/>
      <c r="W28" s="33"/>
      <c r="Y28" s="34"/>
      <c r="Z28" s="34"/>
      <c r="AA28" s="34"/>
    </row>
    <row r="29" spans="2:27">
      <c r="C29" s="124">
        <f>C28</f>
        <v>0.37743269679401537</v>
      </c>
      <c r="D29" s="119"/>
      <c r="E29" s="119"/>
      <c r="F29" s="119"/>
      <c r="G29" s="119"/>
      <c r="H29" s="119"/>
      <c r="V29" s="16"/>
      <c r="W29" s="35"/>
      <c r="X29" s="36"/>
      <c r="Y29" s="35"/>
      <c r="Z29" s="35"/>
      <c r="AA29" s="35"/>
    </row>
    <row r="30" spans="2:27">
      <c r="C30" s="123"/>
      <c r="D30" s="119"/>
      <c r="E30" s="119"/>
      <c r="F30" s="119"/>
      <c r="G30" s="119"/>
      <c r="H30" s="119"/>
      <c r="V30" s="16"/>
      <c r="W30" s="35"/>
      <c r="X30" s="36"/>
      <c r="Y30" s="35"/>
      <c r="Z30" s="35"/>
      <c r="AA30" s="35"/>
    </row>
    <row r="31" spans="2:27">
      <c r="C31" s="124">
        <f>G13</f>
        <v>0.17643036543870119</v>
      </c>
      <c r="D31" s="119"/>
      <c r="E31" s="119"/>
      <c r="F31" s="119"/>
      <c r="G31" s="119"/>
      <c r="H31" s="119"/>
      <c r="V31" s="16"/>
      <c r="W31" s="35"/>
      <c r="X31" s="36"/>
      <c r="Y31" s="35"/>
      <c r="Z31" s="35"/>
      <c r="AA31" s="35"/>
    </row>
    <row r="32" spans="2:27">
      <c r="C32" s="123" t="s">
        <v>29</v>
      </c>
      <c r="D32" s="119"/>
      <c r="E32" s="119"/>
      <c r="F32" s="119"/>
      <c r="G32" s="119"/>
      <c r="H32" s="119"/>
      <c r="V32" s="16"/>
      <c r="W32" s="35"/>
      <c r="X32" s="36"/>
      <c r="Y32" s="35"/>
      <c r="Z32" s="35"/>
      <c r="AA32" s="35"/>
    </row>
    <row r="33" spans="3:27">
      <c r="C33" s="124">
        <f>L15</f>
        <v>0.62256730320598463</v>
      </c>
      <c r="D33" s="119"/>
      <c r="E33" s="119"/>
      <c r="F33" s="119"/>
      <c r="G33" s="119"/>
      <c r="H33" s="119"/>
      <c r="V33" s="16"/>
      <c r="W33" s="35"/>
      <c r="X33" s="36"/>
      <c r="Y33" s="35"/>
      <c r="Z33" s="35"/>
      <c r="AA33" s="35"/>
    </row>
    <row r="34" spans="3:27">
      <c r="C34" s="123">
        <f>L13</f>
        <v>550.61</v>
      </c>
      <c r="D34" s="119"/>
      <c r="E34" s="119"/>
      <c r="F34" s="119"/>
      <c r="G34" s="119"/>
      <c r="H34" s="119"/>
      <c r="V34" s="16"/>
      <c r="W34" s="35"/>
      <c r="X34" s="36"/>
      <c r="Y34" s="35"/>
      <c r="Z34" s="35"/>
      <c r="AA34" s="35"/>
    </row>
    <row r="35" spans="3:27">
      <c r="C35" s="121">
        <f>L7*((C33^-C26)+($C$24/($C$24+L19-1))*(L9/L7)*(1-C33^-C26))</f>
        <v>550.61008509136695</v>
      </c>
      <c r="D35" s="119"/>
      <c r="E35" s="119"/>
      <c r="F35" s="119"/>
      <c r="G35" s="119"/>
      <c r="H35" s="119"/>
      <c r="V35" s="16"/>
      <c r="W35" s="35"/>
      <c r="X35" s="36"/>
      <c r="Y35" s="35"/>
      <c r="Z35" s="35"/>
      <c r="AA35" s="35"/>
    </row>
    <row r="36" spans="3:27">
      <c r="C36" s="124">
        <f>1-C33</f>
        <v>0.37743269679401537</v>
      </c>
      <c r="D36" s="119"/>
      <c r="E36" s="119"/>
      <c r="F36" s="119"/>
      <c r="G36" s="119"/>
      <c r="H36" s="119"/>
      <c r="V36" s="16"/>
      <c r="W36" s="35"/>
      <c r="X36" s="36"/>
      <c r="Y36" s="35"/>
      <c r="Z36" s="35"/>
      <c r="AA36" s="35"/>
    </row>
    <row r="37" spans="3:27">
      <c r="C37" s="121">
        <f>L7*((C36^-C26)+($C$24/($C$24+L19-1))*(L9/L7)*(1-C36^-C26))</f>
        <v>274.01530636003582</v>
      </c>
      <c r="D37" s="119"/>
      <c r="E37" s="119"/>
      <c r="F37" s="119"/>
      <c r="G37" s="119"/>
      <c r="H37" s="119"/>
      <c r="V37" s="16"/>
      <c r="W37" s="35"/>
      <c r="X37" s="36"/>
      <c r="Y37" s="35"/>
      <c r="Z37" s="35"/>
      <c r="AA37" s="35"/>
    </row>
    <row r="38" spans="3:27">
      <c r="C38" s="121">
        <f>'R-AFC TRACE_CONTROL'!F8</f>
        <v>2.2799999999999998</v>
      </c>
      <c r="D38" s="119"/>
      <c r="E38" s="119"/>
      <c r="F38" s="119"/>
      <c r="G38" s="119"/>
      <c r="H38" s="119"/>
      <c r="M38" s="9"/>
      <c r="N38" s="16"/>
      <c r="O38" s="16"/>
      <c r="Q38" s="16"/>
      <c r="R38" s="16"/>
      <c r="S38" s="16"/>
      <c r="T38" s="16"/>
      <c r="U38" s="16"/>
      <c r="V38" s="16"/>
      <c r="W38" s="35"/>
      <c r="X38" s="36"/>
      <c r="Y38" s="35"/>
      <c r="Z38" s="35"/>
      <c r="AA38" s="35"/>
    </row>
    <row r="39" spans="3:27">
      <c r="C39" s="119"/>
      <c r="D39" s="119"/>
      <c r="E39" s="119"/>
      <c r="F39" s="119"/>
      <c r="G39" s="119"/>
      <c r="H39" s="119"/>
      <c r="M39" s="9"/>
      <c r="N39" s="16"/>
      <c r="O39" s="16"/>
      <c r="Q39" s="16"/>
      <c r="R39" s="16"/>
      <c r="S39" s="16"/>
      <c r="T39" s="16"/>
      <c r="U39" s="16"/>
      <c r="V39" s="16"/>
      <c r="W39" s="35"/>
      <c r="X39" s="36"/>
      <c r="Y39" s="35"/>
      <c r="Z39" s="35"/>
      <c r="AA39" s="35"/>
    </row>
    <row r="40" spans="3:27">
      <c r="M40" s="9"/>
      <c r="N40" s="16"/>
      <c r="O40" s="16"/>
      <c r="Q40" s="16"/>
      <c r="R40" s="16"/>
      <c r="S40" s="16"/>
      <c r="T40" s="16"/>
      <c r="U40" s="16"/>
      <c r="V40" s="16"/>
      <c r="W40" s="35"/>
      <c r="X40" s="36"/>
      <c r="Y40" s="35"/>
      <c r="Z40" s="35"/>
      <c r="AA40" s="35"/>
    </row>
    <row r="41" spans="3:27">
      <c r="M41" s="9"/>
      <c r="N41" s="16"/>
      <c r="O41" s="16"/>
      <c r="Q41" s="16"/>
      <c r="R41" s="16"/>
      <c r="S41" s="16"/>
      <c r="T41" s="16"/>
      <c r="U41" s="16"/>
      <c r="V41" s="16"/>
      <c r="W41" s="35"/>
      <c r="X41" s="36"/>
      <c r="Y41" s="35"/>
      <c r="Z41" s="35"/>
      <c r="AA41" s="35"/>
    </row>
    <row r="42" spans="3:27">
      <c r="M42" s="9"/>
      <c r="N42" s="16"/>
      <c r="O42" s="16"/>
      <c r="Q42" s="16"/>
      <c r="R42" s="16"/>
      <c r="S42" s="16"/>
      <c r="T42" s="16"/>
      <c r="U42" s="16"/>
      <c r="V42" s="16"/>
      <c r="W42" s="35"/>
      <c r="X42" s="36"/>
      <c r="Y42" s="35"/>
      <c r="Z42" s="35"/>
      <c r="AA42" s="35"/>
    </row>
    <row r="43" spans="3:27">
      <c r="M43" s="9"/>
      <c r="N43" s="16"/>
      <c r="O43" s="16"/>
      <c r="Q43" s="16"/>
      <c r="R43" s="16"/>
      <c r="S43" s="16"/>
      <c r="T43" s="16"/>
      <c r="U43" s="16"/>
      <c r="V43" s="16"/>
      <c r="W43" s="35"/>
      <c r="X43" s="36"/>
      <c r="Y43" s="35"/>
      <c r="Z43" s="35"/>
      <c r="AA43" s="35"/>
    </row>
    <row r="44" spans="3:27">
      <c r="M44" s="9"/>
      <c r="N44" s="16"/>
      <c r="O44" s="16"/>
      <c r="Q44" s="16"/>
      <c r="R44" s="16"/>
      <c r="S44" s="16"/>
      <c r="T44" s="16"/>
      <c r="U44" s="16"/>
      <c r="V44" s="16"/>
      <c r="W44" s="35"/>
      <c r="X44" s="36"/>
      <c r="Y44" s="35"/>
      <c r="Z44" s="35"/>
      <c r="AA44" s="35"/>
    </row>
    <row r="45" spans="3:27">
      <c r="M45" s="9"/>
      <c r="N45" s="16"/>
      <c r="O45" s="16"/>
      <c r="Q45" s="16"/>
      <c r="R45" s="16"/>
      <c r="S45" s="16"/>
      <c r="T45" s="16"/>
      <c r="U45" s="16"/>
      <c r="V45" s="16"/>
      <c r="W45" s="35"/>
      <c r="X45" s="36"/>
      <c r="Y45" s="35"/>
      <c r="Z45" s="35"/>
      <c r="AA45" s="35"/>
    </row>
    <row r="46" spans="3:27">
      <c r="M46" s="9"/>
      <c r="N46" s="16"/>
      <c r="O46" s="16"/>
      <c r="Q46" s="16"/>
      <c r="R46" s="16"/>
      <c r="S46" s="16"/>
      <c r="T46" s="16"/>
      <c r="U46" s="16"/>
      <c r="V46" s="16"/>
      <c r="W46" s="35"/>
      <c r="X46" s="36"/>
      <c r="Y46" s="35"/>
      <c r="Z46" s="35"/>
      <c r="AA46" s="35"/>
    </row>
    <row r="47" spans="3:27">
      <c r="M47" s="9"/>
      <c r="N47" s="16"/>
      <c r="O47" s="16"/>
      <c r="Q47" s="16"/>
      <c r="R47" s="16"/>
      <c r="S47" s="16"/>
      <c r="T47" s="16"/>
      <c r="U47" s="16"/>
      <c r="V47" s="16"/>
      <c r="W47" s="35"/>
      <c r="X47" s="36"/>
      <c r="Y47" s="35"/>
      <c r="Z47" s="35"/>
      <c r="AA47" s="35"/>
    </row>
    <row r="48" spans="3:27">
      <c r="M48" s="9"/>
      <c r="N48" s="16"/>
      <c r="O48" s="16"/>
      <c r="Q48" s="16"/>
      <c r="R48" s="16"/>
      <c r="S48" s="16"/>
      <c r="T48" s="16"/>
      <c r="U48" s="16"/>
      <c r="V48" s="16"/>
      <c r="W48" s="35"/>
      <c r="X48" s="36"/>
      <c r="Y48" s="35"/>
      <c r="Z48" s="35"/>
      <c r="AA48" s="35"/>
    </row>
    <row r="49" spans="13:27">
      <c r="M49" s="9"/>
      <c r="N49" s="16"/>
      <c r="O49" s="16"/>
      <c r="Q49" s="16"/>
      <c r="R49" s="16"/>
      <c r="S49" s="16"/>
      <c r="T49" s="16"/>
      <c r="U49" s="16"/>
      <c r="V49" s="16"/>
      <c r="W49" s="35"/>
      <c r="X49" s="36"/>
      <c r="Y49" s="35"/>
      <c r="Z49" s="35"/>
      <c r="AA49" s="35"/>
    </row>
    <row r="50" spans="13:27">
      <c r="M50" s="9"/>
      <c r="N50" s="16"/>
      <c r="O50" s="16"/>
      <c r="Q50" s="16"/>
      <c r="R50" s="16"/>
      <c r="S50" s="16"/>
      <c r="T50" s="16"/>
      <c r="U50" s="16"/>
      <c r="V50" s="16"/>
      <c r="W50" s="35"/>
      <c r="X50" s="36"/>
      <c r="Y50" s="35"/>
      <c r="Z50" s="35"/>
      <c r="AA50" s="35"/>
    </row>
    <row r="51" spans="13:27">
      <c r="M51" s="9"/>
      <c r="N51" s="16"/>
      <c r="O51" s="16"/>
      <c r="Q51" s="16"/>
      <c r="R51" s="16"/>
      <c r="S51" s="16"/>
      <c r="T51" s="16"/>
      <c r="U51" s="16"/>
      <c r="V51" s="16"/>
      <c r="W51" s="35"/>
      <c r="X51" s="36"/>
      <c r="Y51" s="35"/>
      <c r="Z51" s="35"/>
      <c r="AA51" s="35"/>
    </row>
    <row r="52" spans="13:27">
      <c r="M52" s="9"/>
      <c r="N52" s="16"/>
      <c r="O52" s="16"/>
      <c r="Q52" s="16"/>
      <c r="R52" s="16"/>
      <c r="S52" s="16"/>
      <c r="T52" s="16"/>
      <c r="U52" s="16"/>
      <c r="V52" s="16"/>
      <c r="W52" s="35"/>
      <c r="X52" s="36"/>
      <c r="Y52" s="35"/>
      <c r="Z52" s="35"/>
      <c r="AA52" s="35"/>
    </row>
    <row r="53" spans="13:27">
      <c r="M53" s="9"/>
      <c r="N53" s="16"/>
      <c r="O53" s="16"/>
      <c r="Q53" s="16"/>
      <c r="R53" s="16"/>
      <c r="S53" s="16"/>
      <c r="T53" s="16"/>
      <c r="U53" s="16"/>
      <c r="V53" s="16"/>
      <c r="W53" s="35"/>
      <c r="X53" s="36"/>
      <c r="Y53" s="35"/>
      <c r="Z53" s="35"/>
      <c r="AA53" s="35"/>
    </row>
    <row r="54" spans="13:27">
      <c r="M54" s="9"/>
      <c r="N54" s="16"/>
      <c r="O54" s="16"/>
      <c r="Q54" s="16"/>
      <c r="R54" s="16"/>
      <c r="S54" s="16"/>
      <c r="T54" s="16"/>
      <c r="U54" s="16"/>
      <c r="V54" s="16"/>
      <c r="W54" s="35"/>
      <c r="X54" s="36"/>
      <c r="Y54" s="35"/>
      <c r="Z54" s="35"/>
      <c r="AA54" s="35"/>
    </row>
    <row r="55" spans="13:27">
      <c r="M55" s="9"/>
      <c r="N55" s="16"/>
      <c r="O55" s="16"/>
      <c r="Q55" s="16"/>
      <c r="R55" s="16"/>
      <c r="S55" s="16"/>
      <c r="T55" s="16"/>
      <c r="U55" s="16"/>
      <c r="V55" s="16"/>
      <c r="W55" s="35"/>
      <c r="X55" s="36"/>
      <c r="Y55" s="35"/>
      <c r="Z55" s="35"/>
      <c r="AA55" s="35"/>
    </row>
    <row r="56" spans="13:27">
      <c r="M56" s="9"/>
      <c r="N56" s="16"/>
      <c r="O56" s="16"/>
      <c r="Q56" s="16"/>
      <c r="R56" s="16"/>
      <c r="S56" s="16"/>
      <c r="T56" s="16"/>
      <c r="U56" s="16"/>
      <c r="V56" s="16"/>
      <c r="W56" s="35"/>
      <c r="X56" s="36"/>
      <c r="Y56" s="35"/>
      <c r="Z56" s="35"/>
      <c r="AA56" s="35"/>
    </row>
    <row r="57" spans="13:27">
      <c r="M57" s="9"/>
      <c r="N57" s="16"/>
      <c r="O57" s="16"/>
      <c r="Q57" s="16"/>
      <c r="R57" s="16"/>
      <c r="S57" s="16"/>
      <c r="T57" s="16"/>
      <c r="U57" s="16"/>
      <c r="V57" s="16"/>
      <c r="W57" s="35"/>
      <c r="X57" s="36"/>
      <c r="Y57" s="35"/>
      <c r="Z57" s="35"/>
      <c r="AA57" s="35"/>
    </row>
    <row r="58" spans="13:27">
      <c r="M58" s="9"/>
      <c r="N58" s="16"/>
      <c r="O58" s="16"/>
      <c r="Q58" s="16"/>
      <c r="R58" s="16"/>
      <c r="S58" s="16"/>
      <c r="T58" s="16"/>
      <c r="U58" s="16"/>
      <c r="V58" s="16"/>
      <c r="W58" s="35"/>
      <c r="X58" s="36"/>
      <c r="Y58" s="35"/>
      <c r="Z58" s="35"/>
      <c r="AA58" s="35"/>
    </row>
    <row r="59" spans="13:27">
      <c r="M59" s="9"/>
      <c r="N59" s="16"/>
      <c r="O59" s="16"/>
      <c r="Q59" s="16"/>
      <c r="R59" s="16"/>
      <c r="S59" s="16"/>
      <c r="T59" s="16"/>
      <c r="U59" s="16"/>
      <c r="V59" s="16"/>
      <c r="W59" s="35"/>
      <c r="X59" s="36"/>
      <c r="Y59" s="35"/>
      <c r="Z59" s="35"/>
      <c r="AA59" s="35"/>
    </row>
    <row r="60" spans="13:27">
      <c r="M60" s="9"/>
      <c r="N60" s="16"/>
      <c r="O60" s="16"/>
      <c r="Q60" s="16"/>
      <c r="R60" s="16"/>
      <c r="S60" s="16"/>
      <c r="T60" s="16"/>
      <c r="U60" s="16"/>
      <c r="V60" s="16"/>
      <c r="W60" s="35"/>
      <c r="X60" s="36"/>
      <c r="Y60" s="35"/>
      <c r="Z60" s="35"/>
      <c r="AA60" s="35"/>
    </row>
    <row r="61" spans="13:27">
      <c r="M61" s="9"/>
      <c r="N61" s="16"/>
      <c r="O61" s="16"/>
      <c r="Q61" s="16"/>
      <c r="R61" s="16"/>
      <c r="S61" s="16"/>
      <c r="T61" s="16"/>
      <c r="U61" s="16"/>
      <c r="V61" s="16"/>
      <c r="W61" s="35"/>
      <c r="X61" s="36"/>
      <c r="Y61" s="35"/>
      <c r="Z61" s="35"/>
      <c r="AA61" s="35"/>
    </row>
    <row r="62" spans="13:27">
      <c r="M62" s="9"/>
      <c r="N62" s="16"/>
      <c r="O62" s="16"/>
      <c r="Q62" s="16"/>
      <c r="R62" s="16"/>
      <c r="S62" s="16"/>
      <c r="T62" s="16"/>
      <c r="U62" s="16"/>
      <c r="V62" s="16"/>
      <c r="W62" s="35"/>
      <c r="X62" s="36"/>
      <c r="Y62" s="35"/>
      <c r="Z62" s="35"/>
      <c r="AA62" s="35"/>
    </row>
    <row r="63" spans="13:27">
      <c r="M63" s="9"/>
      <c r="N63" s="16"/>
      <c r="O63" s="16"/>
      <c r="Q63" s="16"/>
      <c r="R63" s="16"/>
      <c r="S63" s="16"/>
      <c r="T63" s="16"/>
      <c r="U63" s="16"/>
      <c r="V63" s="16"/>
      <c r="W63" s="35"/>
      <c r="X63" s="36"/>
      <c r="Y63" s="35"/>
      <c r="Z63" s="35"/>
      <c r="AA63" s="35"/>
    </row>
    <row r="64" spans="13:27">
      <c r="M64" s="9"/>
      <c r="N64" s="16"/>
      <c r="O64" s="16"/>
      <c r="Q64" s="16"/>
      <c r="R64" s="16"/>
      <c r="S64" s="16"/>
      <c r="T64" s="16"/>
      <c r="U64" s="16"/>
      <c r="V64" s="16"/>
      <c r="W64" s="35"/>
      <c r="X64" s="36"/>
      <c r="Y64" s="35"/>
      <c r="Z64" s="35"/>
      <c r="AA64" s="35"/>
    </row>
    <row r="65" spans="13:27">
      <c r="M65" s="9"/>
      <c r="N65" s="16"/>
      <c r="O65" s="16"/>
      <c r="Q65" s="16"/>
      <c r="R65" s="16"/>
      <c r="S65" s="16"/>
      <c r="T65" s="16"/>
      <c r="U65" s="16"/>
      <c r="V65" s="16"/>
      <c r="W65" s="35"/>
      <c r="X65" s="36"/>
      <c r="Y65" s="35"/>
      <c r="Z65" s="35"/>
      <c r="AA65" s="35"/>
    </row>
    <row r="66" spans="13:27">
      <c r="M66" s="9"/>
      <c r="N66" s="16"/>
      <c r="O66" s="16"/>
      <c r="Q66" s="16"/>
      <c r="R66" s="16"/>
      <c r="S66" s="16"/>
      <c r="T66" s="16"/>
      <c r="U66" s="16"/>
      <c r="V66" s="16"/>
      <c r="W66" s="35"/>
      <c r="X66" s="36"/>
      <c r="Y66" s="35"/>
      <c r="Z66" s="35"/>
      <c r="AA66" s="35"/>
    </row>
    <row r="67" spans="13:27">
      <c r="M67" s="9"/>
      <c r="N67" s="16"/>
      <c r="O67" s="16"/>
      <c r="Q67" s="16"/>
      <c r="R67" s="16"/>
      <c r="S67" s="16"/>
      <c r="T67" s="16"/>
      <c r="U67" s="16"/>
      <c r="V67" s="16"/>
      <c r="W67" s="35"/>
      <c r="X67" s="36"/>
      <c r="Y67" s="35"/>
      <c r="Z67" s="35"/>
      <c r="AA67" s="35"/>
    </row>
    <row r="68" spans="13:27">
      <c r="M68" s="9"/>
      <c r="N68" s="16"/>
      <c r="O68" s="16"/>
      <c r="Q68" s="16"/>
      <c r="R68" s="16"/>
      <c r="S68" s="16"/>
      <c r="T68" s="16"/>
      <c r="U68" s="16"/>
      <c r="V68" s="16"/>
      <c r="W68" s="35"/>
      <c r="X68" s="36"/>
      <c r="Y68" s="35"/>
      <c r="Z68" s="35"/>
      <c r="AA68" s="35"/>
    </row>
    <row r="69" spans="13:27">
      <c r="M69" s="9"/>
      <c r="N69" s="16"/>
      <c r="O69" s="16"/>
      <c r="Q69" s="16"/>
      <c r="R69" s="16"/>
      <c r="S69" s="16"/>
      <c r="T69" s="16"/>
      <c r="U69" s="16"/>
      <c r="V69" s="16"/>
      <c r="W69" s="35"/>
      <c r="X69" s="36"/>
      <c r="Y69" s="35"/>
      <c r="Z69" s="35"/>
      <c r="AA69" s="35"/>
    </row>
    <row r="70" spans="13:27">
      <c r="M70" s="9"/>
      <c r="N70" s="16"/>
      <c r="O70" s="16"/>
      <c r="Q70" s="16"/>
      <c r="R70" s="16"/>
      <c r="S70" s="16"/>
      <c r="T70" s="16"/>
      <c r="U70" s="16"/>
      <c r="V70" s="16"/>
      <c r="W70" s="35"/>
      <c r="X70" s="36"/>
      <c r="Y70" s="35"/>
      <c r="Z70" s="35"/>
      <c r="AA70" s="35"/>
    </row>
    <row r="71" spans="13:27">
      <c r="M71" s="9"/>
      <c r="N71" s="16"/>
      <c r="O71" s="16"/>
      <c r="Q71" s="16"/>
      <c r="R71" s="16"/>
      <c r="S71" s="16"/>
      <c r="T71" s="16"/>
      <c r="U71" s="16"/>
      <c r="V71" s="16"/>
      <c r="W71" s="35"/>
      <c r="X71" s="36"/>
      <c r="Y71" s="35"/>
      <c r="Z71" s="35"/>
      <c r="AA71" s="35"/>
    </row>
    <row r="72" spans="13:27">
      <c r="M72" s="9"/>
      <c r="N72" s="16"/>
      <c r="O72" s="16"/>
      <c r="Q72" s="16"/>
      <c r="R72" s="16"/>
      <c r="S72" s="16"/>
      <c r="T72" s="16"/>
      <c r="U72" s="16"/>
      <c r="V72" s="16"/>
      <c r="W72" s="35"/>
      <c r="X72" s="36"/>
      <c r="Y72" s="35"/>
      <c r="Z72" s="35"/>
      <c r="AA72" s="35"/>
    </row>
    <row r="73" spans="13:27">
      <c r="M73" s="9"/>
      <c r="N73" s="16"/>
      <c r="O73" s="16"/>
      <c r="Q73" s="16"/>
      <c r="R73" s="16"/>
      <c r="S73" s="16"/>
      <c r="T73" s="16"/>
      <c r="U73" s="16"/>
      <c r="V73" s="16"/>
      <c r="W73" s="35"/>
      <c r="X73" s="36"/>
      <c r="Y73" s="35"/>
      <c r="Z73" s="35"/>
      <c r="AA73" s="35"/>
    </row>
    <row r="74" spans="13:27">
      <c r="M74" s="9"/>
      <c r="N74" s="16"/>
      <c r="O74" s="16"/>
      <c r="Q74" s="16"/>
      <c r="R74" s="16"/>
      <c r="S74" s="16"/>
      <c r="T74" s="16"/>
      <c r="U74" s="16"/>
      <c r="V74" s="16"/>
      <c r="W74" s="35"/>
      <c r="X74" s="36"/>
      <c r="Y74" s="35"/>
      <c r="Z74" s="35"/>
      <c r="AA74" s="35"/>
    </row>
    <row r="75" spans="13:27">
      <c r="M75" s="9"/>
      <c r="N75" s="16"/>
      <c r="O75" s="16"/>
      <c r="Q75" s="16"/>
      <c r="R75" s="16"/>
      <c r="S75" s="16"/>
      <c r="T75" s="16"/>
      <c r="U75" s="16"/>
      <c r="V75" s="16"/>
      <c r="W75" s="35"/>
      <c r="X75" s="36"/>
      <c r="Y75" s="35"/>
      <c r="Z75" s="35"/>
      <c r="AA75" s="35"/>
    </row>
    <row r="76" spans="13:27">
      <c r="M76" s="9"/>
      <c r="N76" s="16"/>
      <c r="O76" s="16"/>
      <c r="Q76" s="16"/>
      <c r="R76" s="16"/>
      <c r="S76" s="16"/>
      <c r="T76" s="16"/>
      <c r="U76" s="16"/>
      <c r="V76" s="16"/>
      <c r="W76" s="35"/>
      <c r="X76" s="36"/>
      <c r="Y76" s="35"/>
      <c r="Z76" s="35"/>
      <c r="AA76" s="35"/>
    </row>
    <row r="77" spans="13:27">
      <c r="M77" s="9"/>
      <c r="N77" s="16"/>
      <c r="O77" s="16"/>
      <c r="Q77" s="16"/>
      <c r="R77" s="16"/>
      <c r="S77" s="16"/>
      <c r="T77" s="16"/>
      <c r="U77" s="16"/>
      <c r="V77" s="16"/>
      <c r="W77" s="35"/>
      <c r="X77" s="36"/>
      <c r="Y77" s="35"/>
      <c r="Z77" s="35"/>
      <c r="AA77" s="35"/>
    </row>
    <row r="78" spans="13:27">
      <c r="M78" s="9"/>
      <c r="N78" s="16"/>
      <c r="O78" s="16"/>
      <c r="Q78" s="16"/>
      <c r="R78" s="16"/>
      <c r="S78" s="16"/>
      <c r="T78" s="16"/>
      <c r="U78" s="16"/>
      <c r="V78" s="16"/>
      <c r="W78" s="35"/>
      <c r="X78" s="36"/>
      <c r="Y78" s="35"/>
      <c r="Z78" s="35"/>
      <c r="AA78" s="35"/>
    </row>
    <row r="79" spans="13:27">
      <c r="M79" s="9"/>
      <c r="N79" s="16"/>
      <c r="O79" s="16"/>
      <c r="Q79" s="16"/>
      <c r="R79" s="16"/>
      <c r="S79" s="16"/>
      <c r="T79" s="16"/>
      <c r="U79" s="16"/>
      <c r="V79" s="16"/>
      <c r="W79" s="35"/>
      <c r="X79" s="36"/>
      <c r="Y79" s="35"/>
      <c r="Z79" s="35"/>
      <c r="AA79" s="35"/>
    </row>
    <row r="80" spans="13:27">
      <c r="M80" s="9"/>
      <c r="N80" s="16"/>
      <c r="O80" s="16"/>
      <c r="Q80" s="16"/>
      <c r="R80" s="16"/>
      <c r="S80" s="16"/>
      <c r="T80" s="16"/>
      <c r="U80" s="16"/>
      <c r="V80" s="16"/>
      <c r="W80" s="35"/>
      <c r="X80" s="36"/>
      <c r="Y80" s="35"/>
      <c r="Z80" s="35"/>
      <c r="AA80" s="35"/>
    </row>
    <row r="81" spans="13:27">
      <c r="M81" s="9"/>
      <c r="N81" s="16"/>
      <c r="O81" s="16"/>
      <c r="Q81" s="16"/>
      <c r="R81" s="16"/>
      <c r="S81" s="16"/>
      <c r="T81" s="16"/>
      <c r="U81" s="16"/>
      <c r="V81" s="16"/>
      <c r="W81" s="35"/>
      <c r="X81" s="36"/>
      <c r="Y81" s="35"/>
      <c r="Z81" s="35"/>
      <c r="AA81" s="35"/>
    </row>
    <row r="82" spans="13:27">
      <c r="M82" s="9"/>
      <c r="N82" s="16"/>
      <c r="O82" s="16"/>
      <c r="Q82" s="16"/>
      <c r="R82" s="16"/>
      <c r="S82" s="16"/>
      <c r="T82" s="16"/>
      <c r="U82" s="16"/>
      <c r="V82" s="16"/>
      <c r="W82" s="35"/>
      <c r="X82" s="36"/>
      <c r="Y82" s="35"/>
      <c r="Z82" s="35"/>
      <c r="AA82" s="35"/>
    </row>
    <row r="83" spans="13:27">
      <c r="M83" s="9"/>
      <c r="N83" s="16"/>
      <c r="O83" s="16"/>
      <c r="Q83" s="16"/>
      <c r="R83" s="16"/>
      <c r="S83" s="16"/>
      <c r="T83" s="16"/>
      <c r="U83" s="16"/>
      <c r="V83" s="16"/>
      <c r="W83" s="35"/>
      <c r="X83" s="36"/>
      <c r="Y83" s="35"/>
      <c r="Z83" s="35"/>
      <c r="AA83" s="35"/>
    </row>
    <row r="84" spans="13:27">
      <c r="M84" s="9"/>
      <c r="N84" s="16"/>
      <c r="O84" s="16"/>
      <c r="Q84" s="16"/>
      <c r="R84" s="16"/>
      <c r="S84" s="16"/>
      <c r="T84" s="16"/>
      <c r="U84" s="16"/>
      <c r="V84" s="16"/>
      <c r="W84" s="35"/>
      <c r="X84" s="36"/>
      <c r="Y84" s="35"/>
      <c r="Z84" s="35"/>
      <c r="AA84" s="35"/>
    </row>
    <row r="85" spans="13:27">
      <c r="M85" s="9"/>
      <c r="N85" s="16"/>
      <c r="O85" s="16"/>
      <c r="Q85" s="16"/>
      <c r="R85" s="16"/>
      <c r="S85" s="16"/>
      <c r="T85" s="16"/>
      <c r="U85" s="16"/>
      <c r="V85" s="16"/>
      <c r="W85" s="35"/>
      <c r="X85" s="36"/>
      <c r="Y85" s="35"/>
      <c r="Z85" s="35"/>
      <c r="AA85" s="35"/>
    </row>
    <row r="86" spans="13:27">
      <c r="M86" s="9"/>
      <c r="N86" s="16"/>
      <c r="O86" s="16"/>
      <c r="Q86" s="16"/>
      <c r="R86" s="16"/>
      <c r="S86" s="16"/>
      <c r="T86" s="16"/>
      <c r="U86" s="16"/>
      <c r="V86" s="16"/>
      <c r="W86" s="35"/>
      <c r="X86" s="36"/>
      <c r="Y86" s="35"/>
      <c r="Z86" s="35"/>
      <c r="AA86" s="35"/>
    </row>
    <row r="87" spans="13:27">
      <c r="M87" s="9"/>
      <c r="N87" s="16"/>
      <c r="O87" s="16"/>
      <c r="Q87" s="16"/>
      <c r="R87" s="16"/>
      <c r="S87" s="16"/>
      <c r="T87" s="16"/>
      <c r="U87" s="16"/>
      <c r="V87" s="16"/>
      <c r="W87" s="35"/>
      <c r="X87" s="36"/>
      <c r="Y87" s="35"/>
      <c r="Z87" s="35"/>
      <c r="AA87" s="35"/>
    </row>
    <row r="88" spans="13:27">
      <c r="M88" s="9"/>
      <c r="N88" s="16"/>
      <c r="O88" s="16"/>
      <c r="Q88" s="16"/>
      <c r="R88" s="16"/>
      <c r="S88" s="16"/>
      <c r="T88" s="16"/>
      <c r="U88" s="16"/>
      <c r="V88" s="16"/>
      <c r="W88" s="35"/>
      <c r="X88" s="36"/>
      <c r="Y88" s="35"/>
      <c r="Z88" s="35"/>
      <c r="AA88" s="35"/>
    </row>
    <row r="89" spans="13:27">
      <c r="M89" s="9"/>
      <c r="N89" s="16"/>
      <c r="O89" s="16"/>
      <c r="Q89" s="16"/>
      <c r="R89" s="16"/>
      <c r="S89" s="16"/>
      <c r="T89" s="16"/>
      <c r="U89" s="16"/>
      <c r="V89" s="16"/>
      <c r="W89" s="35"/>
      <c r="X89" s="36"/>
      <c r="Y89" s="35"/>
      <c r="Z89" s="35"/>
      <c r="AA89" s="35"/>
    </row>
    <row r="90" spans="13:27">
      <c r="M90" s="9"/>
      <c r="N90" s="16"/>
      <c r="O90" s="16"/>
      <c r="Q90" s="16"/>
      <c r="R90" s="16"/>
      <c r="S90" s="16"/>
      <c r="T90" s="16"/>
      <c r="U90" s="16"/>
      <c r="V90" s="16"/>
      <c r="W90" s="35"/>
      <c r="X90" s="36"/>
      <c r="Y90" s="35"/>
      <c r="Z90" s="35"/>
      <c r="AA90" s="35"/>
    </row>
    <row r="91" spans="13:27">
      <c r="M91" s="9"/>
      <c r="N91" s="16"/>
      <c r="O91" s="16"/>
      <c r="Q91" s="16"/>
      <c r="R91" s="16"/>
      <c r="S91" s="16"/>
      <c r="T91" s="16"/>
      <c r="U91" s="16"/>
      <c r="V91" s="16"/>
      <c r="W91" s="35"/>
      <c r="X91" s="36"/>
      <c r="Y91" s="35"/>
      <c r="Z91" s="35"/>
      <c r="AA91" s="35"/>
    </row>
    <row r="92" spans="13:27">
      <c r="M92" s="9"/>
      <c r="N92" s="16"/>
      <c r="O92" s="16"/>
      <c r="Q92" s="16"/>
      <c r="R92" s="16"/>
      <c r="S92" s="16"/>
      <c r="T92" s="16"/>
      <c r="U92" s="16"/>
      <c r="V92" s="16"/>
      <c r="W92" s="35"/>
      <c r="X92" s="36"/>
      <c r="Y92" s="35"/>
      <c r="Z92" s="35"/>
      <c r="AA92" s="35"/>
    </row>
    <row r="93" spans="13:27">
      <c r="M93" s="9"/>
      <c r="N93" s="16"/>
      <c r="O93" s="16"/>
      <c r="Q93" s="16"/>
      <c r="R93" s="16"/>
      <c r="S93" s="16"/>
      <c r="T93" s="16"/>
      <c r="U93" s="16"/>
      <c r="V93" s="16"/>
      <c r="W93" s="35"/>
      <c r="X93" s="36"/>
      <c r="Y93" s="35"/>
      <c r="Z93" s="35"/>
      <c r="AA93" s="35"/>
    </row>
    <row r="94" spans="13:27">
      <c r="M94" s="9"/>
      <c r="N94" s="16"/>
      <c r="O94" s="16"/>
      <c r="Q94" s="16"/>
      <c r="R94" s="16"/>
      <c r="S94" s="16"/>
      <c r="T94" s="16"/>
      <c r="U94" s="16"/>
      <c r="V94" s="16"/>
      <c r="W94" s="35"/>
      <c r="X94" s="36"/>
      <c r="Y94" s="35"/>
      <c r="Z94" s="35"/>
      <c r="AA94" s="35"/>
    </row>
    <row r="95" spans="13:27">
      <c r="M95" s="9"/>
      <c r="N95" s="16"/>
      <c r="O95" s="16"/>
      <c r="Q95" s="16"/>
      <c r="R95" s="16"/>
      <c r="S95" s="16"/>
      <c r="T95" s="16"/>
      <c r="U95" s="16"/>
      <c r="V95" s="16"/>
      <c r="W95" s="35"/>
      <c r="X95" s="36"/>
      <c r="Y95" s="35"/>
      <c r="Z95" s="35"/>
      <c r="AA95" s="35"/>
    </row>
    <row r="96" spans="13:27">
      <c r="M96" s="9"/>
      <c r="N96" s="16"/>
      <c r="O96" s="16"/>
      <c r="Q96" s="16"/>
      <c r="R96" s="16"/>
      <c r="S96" s="16"/>
      <c r="T96" s="16"/>
      <c r="U96" s="16"/>
      <c r="V96" s="16"/>
      <c r="W96" s="35"/>
      <c r="X96" s="36"/>
      <c r="Y96" s="35"/>
      <c r="Z96" s="35"/>
      <c r="AA96" s="35"/>
    </row>
    <row r="97" spans="13:27">
      <c r="M97" s="9"/>
      <c r="N97" s="16"/>
      <c r="O97" s="16"/>
      <c r="Q97" s="16"/>
      <c r="R97" s="16"/>
      <c r="S97" s="16"/>
      <c r="T97" s="16"/>
      <c r="U97" s="16"/>
      <c r="V97" s="16"/>
      <c r="W97" s="35"/>
      <c r="X97" s="36"/>
      <c r="Y97" s="35"/>
      <c r="Z97" s="35"/>
      <c r="AA97" s="35"/>
    </row>
    <row r="98" spans="13:27">
      <c r="M98" s="9"/>
      <c r="N98" s="16"/>
      <c r="O98" s="16"/>
      <c r="Q98" s="16"/>
      <c r="R98" s="16"/>
      <c r="S98" s="16"/>
      <c r="T98" s="16"/>
      <c r="U98" s="16"/>
      <c r="V98" s="16"/>
      <c r="W98" s="35"/>
      <c r="X98" s="36"/>
      <c r="Y98" s="35"/>
      <c r="Z98" s="35"/>
      <c r="AA98" s="35"/>
    </row>
    <row r="99" spans="13:27">
      <c r="M99" s="9"/>
      <c r="N99" s="16"/>
      <c r="O99" s="16"/>
      <c r="Q99" s="16"/>
      <c r="R99" s="16"/>
      <c r="S99" s="16"/>
      <c r="T99" s="16"/>
      <c r="U99" s="16"/>
      <c r="V99" s="16"/>
      <c r="W99" s="35"/>
      <c r="X99" s="36"/>
      <c r="Y99" s="35"/>
      <c r="Z99" s="35"/>
      <c r="AA99" s="35"/>
    </row>
    <row r="100" spans="13:27">
      <c r="M100" s="9"/>
      <c r="N100" s="16"/>
      <c r="O100" s="16"/>
      <c r="Q100" s="16"/>
      <c r="R100" s="16"/>
      <c r="S100" s="16"/>
      <c r="T100" s="16"/>
      <c r="U100" s="16"/>
      <c r="V100" s="16"/>
      <c r="W100" s="35"/>
      <c r="X100" s="36"/>
      <c r="Y100" s="35"/>
      <c r="Z100" s="35"/>
      <c r="AA100" s="35"/>
    </row>
    <row r="101" spans="13:27">
      <c r="M101" s="9"/>
      <c r="N101" s="16"/>
      <c r="O101" s="16"/>
      <c r="Q101" s="16"/>
      <c r="R101" s="16"/>
      <c r="S101" s="16"/>
      <c r="T101" s="16"/>
      <c r="U101" s="16"/>
      <c r="V101" s="16"/>
      <c r="W101" s="35"/>
      <c r="X101" s="36"/>
      <c r="Y101" s="35"/>
      <c r="Z101" s="35"/>
      <c r="AA101" s="35"/>
    </row>
    <row r="102" spans="13:27">
      <c r="M102" s="9"/>
      <c r="N102" s="16"/>
      <c r="O102" s="16"/>
      <c r="Q102" s="16"/>
      <c r="R102" s="16"/>
      <c r="S102" s="16"/>
      <c r="T102" s="16"/>
      <c r="U102" s="16"/>
      <c r="V102" s="16"/>
      <c r="W102" s="35"/>
      <c r="X102" s="36"/>
      <c r="Y102" s="35"/>
      <c r="Z102" s="35"/>
      <c r="AA102" s="35"/>
    </row>
    <row r="103" spans="13:27">
      <c r="M103" s="9"/>
      <c r="N103" s="16"/>
      <c r="O103" s="16"/>
      <c r="Q103" s="16"/>
      <c r="R103" s="16"/>
      <c r="S103" s="16"/>
      <c r="T103" s="16"/>
      <c r="U103" s="16"/>
      <c r="V103" s="16"/>
      <c r="W103" s="35"/>
      <c r="X103" s="36"/>
      <c r="Y103" s="35"/>
      <c r="Z103" s="35"/>
      <c r="AA103" s="35"/>
    </row>
    <row r="104" spans="13:27">
      <c r="M104" s="9"/>
      <c r="N104" s="16"/>
      <c r="O104" s="16"/>
      <c r="Q104" s="16"/>
      <c r="R104" s="16"/>
      <c r="S104" s="16"/>
      <c r="T104" s="16"/>
      <c r="U104" s="16"/>
      <c r="V104" s="16"/>
      <c r="W104" s="35"/>
      <c r="X104" s="36"/>
      <c r="Y104" s="35"/>
      <c r="Z104" s="35"/>
      <c r="AA104" s="35"/>
    </row>
    <row r="105" spans="13:27">
      <c r="M105" s="9"/>
      <c r="N105" s="16"/>
      <c r="O105" s="16"/>
      <c r="Q105" s="16"/>
      <c r="R105" s="16"/>
      <c r="S105" s="16"/>
      <c r="T105" s="16"/>
      <c r="U105" s="16"/>
      <c r="V105" s="16"/>
      <c r="W105" s="35"/>
      <c r="X105" s="36"/>
      <c r="Y105" s="35"/>
      <c r="Z105" s="35"/>
      <c r="AA105" s="35"/>
    </row>
    <row r="106" spans="13:27">
      <c r="M106" s="9"/>
      <c r="N106" s="16"/>
      <c r="O106" s="16"/>
      <c r="Q106" s="16"/>
      <c r="R106" s="16"/>
      <c r="S106" s="16"/>
      <c r="T106" s="16"/>
      <c r="U106" s="16"/>
      <c r="V106" s="16"/>
      <c r="W106" s="35"/>
      <c r="X106" s="36"/>
      <c r="Y106" s="35"/>
      <c r="Z106" s="35"/>
      <c r="AA106" s="35"/>
    </row>
    <row r="107" spans="13:27">
      <c r="M107" s="9"/>
      <c r="N107" s="16"/>
      <c r="O107" s="16"/>
      <c r="Q107" s="16"/>
      <c r="R107" s="16"/>
      <c r="S107" s="16"/>
      <c r="T107" s="16"/>
      <c r="U107" s="16"/>
      <c r="V107" s="16"/>
      <c r="W107" s="35"/>
      <c r="X107" s="36"/>
      <c r="Y107" s="35"/>
      <c r="Z107" s="35"/>
      <c r="AA107" s="35"/>
    </row>
    <row r="108" spans="13:27">
      <c r="M108" s="9"/>
      <c r="N108" s="16"/>
      <c r="O108" s="16"/>
      <c r="Q108" s="16"/>
      <c r="R108" s="16"/>
      <c r="S108" s="16"/>
      <c r="T108" s="16"/>
      <c r="U108" s="16"/>
      <c r="V108" s="16"/>
      <c r="W108" s="35"/>
      <c r="X108" s="36"/>
      <c r="Y108" s="35"/>
      <c r="Z108" s="35"/>
      <c r="AA108" s="35"/>
    </row>
    <row r="109" spans="13:27">
      <c r="M109" s="9"/>
      <c r="N109" s="16"/>
      <c r="O109" s="16"/>
      <c r="Q109" s="16"/>
      <c r="R109" s="16"/>
      <c r="S109" s="16"/>
      <c r="T109" s="16"/>
      <c r="U109" s="16"/>
      <c r="V109" s="16"/>
      <c r="W109" s="35"/>
      <c r="X109" s="36"/>
      <c r="Y109" s="35"/>
      <c r="Z109" s="35"/>
      <c r="AA109" s="35"/>
    </row>
    <row r="110" spans="13:27">
      <c r="M110" s="9"/>
      <c r="N110" s="16"/>
      <c r="O110" s="16"/>
      <c r="Q110" s="16"/>
      <c r="R110" s="16"/>
      <c r="S110" s="16"/>
      <c r="T110" s="16"/>
      <c r="U110" s="16"/>
      <c r="V110" s="16"/>
      <c r="W110" s="35"/>
      <c r="X110" s="36"/>
      <c r="Y110" s="35"/>
      <c r="Z110" s="35"/>
      <c r="AA110" s="35"/>
    </row>
    <row r="111" spans="13:27">
      <c r="M111" s="9"/>
      <c r="N111" s="16"/>
      <c r="O111" s="16"/>
      <c r="Q111" s="16"/>
      <c r="R111" s="16"/>
      <c r="S111" s="16"/>
      <c r="T111" s="16"/>
      <c r="U111" s="16"/>
      <c r="V111" s="16"/>
      <c r="W111" s="35"/>
      <c r="X111" s="36"/>
      <c r="Y111" s="35"/>
      <c r="Z111" s="35"/>
      <c r="AA111" s="35"/>
    </row>
    <row r="112" spans="13:27">
      <c r="M112" s="9"/>
      <c r="N112" s="16"/>
      <c r="O112" s="16"/>
      <c r="Q112" s="16"/>
      <c r="R112" s="16"/>
      <c r="S112" s="16"/>
      <c r="T112" s="16"/>
      <c r="U112" s="16"/>
      <c r="V112" s="16"/>
      <c r="W112" s="35"/>
      <c r="X112" s="36"/>
      <c r="Y112" s="35"/>
      <c r="Z112" s="35"/>
      <c r="AA112" s="35"/>
    </row>
    <row r="113" spans="13:27">
      <c r="M113" s="9"/>
      <c r="N113" s="16"/>
      <c r="O113" s="16"/>
      <c r="Q113" s="16"/>
      <c r="R113" s="16"/>
      <c r="S113" s="16"/>
      <c r="T113" s="16"/>
      <c r="U113" s="16"/>
      <c r="V113" s="16"/>
      <c r="W113" s="35"/>
      <c r="X113" s="36"/>
      <c r="Y113" s="35"/>
      <c r="Z113" s="35"/>
      <c r="AA113" s="35"/>
    </row>
    <row r="114" spans="13:27">
      <c r="M114" s="9"/>
      <c r="N114" s="16"/>
      <c r="O114" s="16"/>
      <c r="Q114" s="16"/>
      <c r="R114" s="16"/>
      <c r="S114" s="16"/>
      <c r="T114" s="16"/>
      <c r="U114" s="16"/>
      <c r="V114" s="16"/>
      <c r="W114" s="35"/>
      <c r="X114" s="36"/>
      <c r="Y114" s="35"/>
      <c r="Z114" s="35"/>
      <c r="AA114" s="35"/>
    </row>
    <row r="115" spans="13:27">
      <c r="M115" s="9"/>
      <c r="N115" s="16"/>
      <c r="O115" s="16"/>
      <c r="Q115" s="16"/>
      <c r="R115" s="16"/>
      <c r="S115" s="16"/>
      <c r="T115" s="16"/>
      <c r="U115" s="16"/>
      <c r="V115" s="16"/>
      <c r="W115" s="35"/>
      <c r="X115" s="36"/>
      <c r="Y115" s="35"/>
      <c r="Z115" s="35"/>
      <c r="AA115" s="35"/>
    </row>
    <row r="116" spans="13:27">
      <c r="M116" s="9"/>
      <c r="N116" s="16"/>
      <c r="O116" s="16"/>
      <c r="Q116" s="16"/>
      <c r="R116" s="16"/>
      <c r="S116" s="16"/>
      <c r="T116" s="16"/>
      <c r="U116" s="16"/>
      <c r="V116" s="16"/>
      <c r="W116" s="35"/>
      <c r="X116" s="36"/>
      <c r="Y116" s="35"/>
      <c r="Z116" s="35"/>
      <c r="AA116" s="35"/>
    </row>
    <row r="117" spans="13:27">
      <c r="M117" s="9"/>
      <c r="N117" s="16"/>
      <c r="O117" s="16"/>
      <c r="Q117" s="16"/>
      <c r="R117" s="16"/>
      <c r="S117" s="16"/>
      <c r="T117" s="16"/>
      <c r="U117" s="16"/>
      <c r="V117" s="16"/>
      <c r="W117" s="35"/>
      <c r="X117" s="36"/>
      <c r="Y117" s="35"/>
      <c r="Z117" s="35"/>
      <c r="AA117" s="35"/>
    </row>
    <row r="118" spans="13:27">
      <c r="M118" s="9"/>
      <c r="N118" s="16"/>
      <c r="O118" s="16"/>
      <c r="Q118" s="16"/>
      <c r="R118" s="16"/>
      <c r="S118" s="16"/>
      <c r="T118" s="16"/>
      <c r="U118" s="16"/>
      <c r="V118" s="16"/>
      <c r="W118" s="35"/>
      <c r="X118" s="36"/>
      <c r="Y118" s="35"/>
      <c r="Z118" s="35"/>
      <c r="AA118" s="35"/>
    </row>
    <row r="119" spans="13:27">
      <c r="M119" s="9"/>
      <c r="N119" s="16"/>
      <c r="O119" s="16"/>
      <c r="Q119" s="16"/>
      <c r="R119" s="16"/>
      <c r="S119" s="16"/>
      <c r="T119" s="16"/>
      <c r="U119" s="16"/>
      <c r="V119" s="16"/>
      <c r="W119" s="35"/>
      <c r="X119" s="36"/>
      <c r="Y119" s="35"/>
      <c r="Z119" s="35"/>
      <c r="AA119" s="35"/>
    </row>
    <row r="120" spans="13:27">
      <c r="M120" s="9"/>
      <c r="N120" s="16"/>
      <c r="O120" s="16"/>
      <c r="Q120" s="16"/>
      <c r="R120" s="16"/>
      <c r="S120" s="16"/>
      <c r="T120" s="16"/>
      <c r="U120" s="16"/>
      <c r="V120" s="16"/>
      <c r="W120" s="35"/>
      <c r="X120" s="36"/>
      <c r="Y120" s="35"/>
      <c r="Z120" s="35"/>
      <c r="AA120" s="35"/>
    </row>
    <row r="121" spans="13:27">
      <c r="M121" s="9"/>
      <c r="N121" s="16"/>
      <c r="O121" s="16"/>
      <c r="Q121" s="16"/>
      <c r="R121" s="16"/>
      <c r="S121" s="16"/>
      <c r="T121" s="16"/>
      <c r="U121" s="16"/>
      <c r="V121" s="16"/>
      <c r="W121" s="35"/>
      <c r="X121" s="36"/>
      <c r="Y121" s="35"/>
      <c r="Z121" s="35"/>
      <c r="AA121" s="35"/>
    </row>
    <row r="122" spans="13:27">
      <c r="M122" s="9"/>
      <c r="N122" s="16"/>
      <c r="O122" s="16"/>
      <c r="Q122" s="16"/>
      <c r="R122" s="16"/>
      <c r="S122" s="16"/>
      <c r="T122" s="16"/>
      <c r="U122" s="16"/>
      <c r="V122" s="16"/>
      <c r="W122" s="35"/>
      <c r="X122" s="36"/>
      <c r="Y122" s="35"/>
      <c r="Z122" s="35"/>
      <c r="AA122" s="35"/>
    </row>
    <row r="123" spans="13:27">
      <c r="M123" s="9"/>
      <c r="N123" s="16"/>
      <c r="O123" s="16"/>
      <c r="Q123" s="16"/>
      <c r="R123" s="16"/>
      <c r="S123" s="16"/>
      <c r="T123" s="16"/>
      <c r="U123" s="16"/>
      <c r="V123" s="16"/>
      <c r="W123" s="35"/>
      <c r="X123" s="36"/>
      <c r="Y123" s="35"/>
      <c r="Z123" s="35"/>
      <c r="AA123" s="35"/>
    </row>
    <row r="124" spans="13:27">
      <c r="M124" s="9"/>
      <c r="N124" s="16"/>
      <c r="O124" s="16"/>
      <c r="Q124" s="16"/>
      <c r="R124" s="16"/>
      <c r="S124" s="16"/>
      <c r="T124" s="16"/>
      <c r="U124" s="16"/>
      <c r="V124" s="16"/>
      <c r="W124" s="35"/>
      <c r="X124" s="36"/>
      <c r="Y124" s="35"/>
      <c r="Z124" s="35"/>
      <c r="AA124" s="35"/>
    </row>
    <row r="125" spans="13:27">
      <c r="M125" s="9"/>
      <c r="N125" s="16"/>
      <c r="O125" s="16"/>
      <c r="Q125" s="16"/>
      <c r="R125" s="16"/>
      <c r="S125" s="16"/>
      <c r="T125" s="16"/>
      <c r="U125" s="16"/>
      <c r="V125" s="16"/>
      <c r="W125" s="35"/>
      <c r="X125" s="36"/>
      <c r="Y125" s="35"/>
      <c r="Z125" s="35"/>
      <c r="AA125" s="35"/>
    </row>
    <row r="126" spans="13:27">
      <c r="M126" s="9"/>
      <c r="N126" s="16"/>
      <c r="O126" s="16"/>
      <c r="Q126" s="16"/>
      <c r="R126" s="16"/>
      <c r="S126" s="16"/>
      <c r="T126" s="16"/>
      <c r="U126" s="16"/>
      <c r="V126" s="16"/>
      <c r="W126" s="35"/>
      <c r="X126" s="36"/>
      <c r="Y126" s="35"/>
      <c r="Z126" s="35"/>
      <c r="AA126" s="35"/>
    </row>
    <row r="127" spans="13:27">
      <c r="M127" s="9"/>
      <c r="N127" s="16"/>
      <c r="O127" s="16"/>
      <c r="Q127" s="16"/>
      <c r="R127" s="16"/>
      <c r="S127" s="16"/>
      <c r="T127" s="16"/>
      <c r="U127" s="16"/>
      <c r="V127" s="16"/>
      <c r="W127" s="35"/>
      <c r="X127" s="36"/>
      <c r="Y127" s="35"/>
      <c r="Z127" s="35"/>
      <c r="AA127" s="35"/>
    </row>
    <row r="128" spans="13:27">
      <c r="M128" s="9"/>
      <c r="N128" s="16"/>
      <c r="O128" s="16"/>
      <c r="Q128" s="16"/>
      <c r="R128" s="16"/>
      <c r="S128" s="16"/>
      <c r="T128" s="16"/>
      <c r="U128" s="16"/>
      <c r="V128" s="16"/>
      <c r="W128" s="35"/>
      <c r="Y128" s="35"/>
      <c r="Z128" s="35"/>
      <c r="AA128" s="35"/>
    </row>
  </sheetData>
  <sheetProtection algorithmName="SHA-512" hashValue="9Pq9AJf+1K8dXiy4RRyEha2qYuv/oMLA3ZRg28a3WFzP758Ce/mdyO1OYgiwSRgpfrmT2LvGAK36+L0CqSS9vA==" saltValue="UrEWN1Gffn2rmF66VOOg2Q==" spinCount="100000" sheet="1" selectLockedCells="1"/>
  <mergeCells count="10">
    <mergeCell ref="C19:E20"/>
    <mergeCell ref="G19:G20"/>
    <mergeCell ref="G16:G17"/>
    <mergeCell ref="B2:H4"/>
    <mergeCell ref="C7:C8"/>
    <mergeCell ref="G7:G8"/>
    <mergeCell ref="G13:G14"/>
    <mergeCell ref="B6:H6"/>
    <mergeCell ref="C13:E14"/>
    <mergeCell ref="C16:E1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8" r:id="rId4" name="CommandButton1">
          <controlPr defaultSize="0" autoLine="0" autoPict="0" r:id="rId5">
            <anchor moveWithCells="1">
              <from>
                <xdr:col>1</xdr:col>
                <xdr:colOff>219075</xdr:colOff>
                <xdr:row>8</xdr:row>
                <xdr:rowOff>161925</xdr:rowOff>
              </from>
              <to>
                <xdr:col>7</xdr:col>
                <xdr:colOff>19050</xdr:colOff>
                <xdr:row>11</xdr:row>
                <xdr:rowOff>47625</xdr:rowOff>
              </to>
            </anchor>
          </controlPr>
        </control>
      </mc:Choice>
      <mc:Fallback>
        <control shapeId="4128" r:id="rId4" name="CommandButton1"/>
      </mc:Fallback>
    </mc:AlternateContent>
    <mc:AlternateContent xmlns:mc="http://schemas.openxmlformats.org/markup-compatibility/2006">
      <mc:Choice Requires="x14">
        <control shapeId="4097" r:id="rId6" name="Spinner 1">
          <controlPr defaultSize="0" autoPict="0">
            <anchor moveWithCells="1" siz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419100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9" r:id="rId7" name="Spinner 3">
          <controlPr defaultSize="0" autoPict="0">
            <anchor moveWithCells="1" siz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419100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1" r:id="rId8" name="Spinner 5">
          <controlPr defaultSize="0" autoPict="0">
            <anchor moveWithCells="1" siz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419100</xdr:colOff>
                <xdr:row>8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46821-D400-42B8-89A9-CB2D1F175D49}">
  <sheetPr codeName="Sayfa6">
    <tabColor theme="0"/>
  </sheetPr>
  <dimension ref="B1:EV222"/>
  <sheetViews>
    <sheetView workbookViewId="0">
      <selection activeCell="S7" sqref="S7"/>
    </sheetView>
  </sheetViews>
  <sheetFormatPr defaultRowHeight="15"/>
  <sheetData>
    <row r="1" spans="2:152">
      <c r="B1">
        <v>1</v>
      </c>
    </row>
    <row r="2" spans="2:152">
      <c r="B2" s="1" t="s">
        <v>5</v>
      </c>
      <c r="C2" s="2">
        <f>'R-AFC TRACE'!L7</f>
        <v>1070</v>
      </c>
      <c r="H2" s="30">
        <f>H7</f>
        <v>2.2799999999999998</v>
      </c>
      <c r="I2">
        <v>0</v>
      </c>
      <c r="K2" s="30">
        <f>C120</f>
        <v>0.17</v>
      </c>
      <c r="L2">
        <v>0</v>
      </c>
      <c r="O2">
        <f>C120*H2</f>
        <v>0.3876</v>
      </c>
    </row>
    <row r="3" spans="2:152">
      <c r="B3" s="4"/>
      <c r="C3" s="5"/>
      <c r="H3" s="30">
        <f>H7</f>
        <v>2.2799999999999998</v>
      </c>
      <c r="I3">
        <v>1</v>
      </c>
      <c r="K3" s="30">
        <f>C120</f>
        <v>0.17</v>
      </c>
      <c r="L3">
        <v>1</v>
      </c>
    </row>
    <row r="4" spans="2:152">
      <c r="B4" s="1" t="s">
        <v>6</v>
      </c>
      <c r="C4" s="2">
        <f>'R-AFC TRACE'!L9</f>
        <v>28.3</v>
      </c>
      <c r="H4">
        <v>17</v>
      </c>
    </row>
    <row r="5" spans="2:152">
      <c r="B5" s="6" t="s">
        <v>1</v>
      </c>
      <c r="C5" s="7">
        <f>C6-0.000001</f>
        <v>1.9999990000000001</v>
      </c>
      <c r="H5" s="30">
        <f>H4/100</f>
        <v>0.17</v>
      </c>
      <c r="I5" t="s">
        <v>0</v>
      </c>
      <c r="K5">
        <v>0</v>
      </c>
      <c r="L5">
        <v>6</v>
      </c>
      <c r="S5" s="77"/>
      <c r="T5" s="78"/>
      <c r="AH5" s="77"/>
      <c r="AI5" s="78"/>
      <c r="AW5" s="77"/>
      <c r="AX5" s="78"/>
      <c r="BL5" s="77"/>
      <c r="BM5" s="78"/>
      <c r="CA5" s="77"/>
      <c r="CB5" s="78"/>
      <c r="CP5" s="77"/>
      <c r="CQ5" s="78"/>
      <c r="DE5" s="77"/>
      <c r="DF5" s="78"/>
      <c r="DT5" s="77"/>
      <c r="DU5" s="78"/>
      <c r="EI5" s="77"/>
      <c r="EJ5" s="78"/>
    </row>
    <row r="6" spans="2:152">
      <c r="B6" s="21" t="s">
        <v>1</v>
      </c>
      <c r="C6" s="22">
        <f>'R-AFC TRACE'!L19</f>
        <v>2</v>
      </c>
      <c r="H6">
        <v>36</v>
      </c>
      <c r="I6" s="58" t="s">
        <v>3</v>
      </c>
      <c r="J6">
        <v>45</v>
      </c>
      <c r="K6" s="70">
        <f>J7</f>
        <v>0.17643036543870119</v>
      </c>
      <c r="L6">
        <f>K6</f>
        <v>0.17643036543870119</v>
      </c>
      <c r="T6" s="30"/>
      <c r="AI6" s="30"/>
      <c r="AX6" s="30"/>
      <c r="BM6" s="30"/>
      <c r="CB6" s="30"/>
      <c r="CQ6" s="30"/>
      <c r="DF6" s="30"/>
      <c r="DU6" s="30"/>
      <c r="EJ6" s="30"/>
    </row>
    <row r="7" spans="2:152">
      <c r="B7" s="25" t="s">
        <v>8</v>
      </c>
      <c r="C7" s="26">
        <f>C8-0.000001</f>
        <v>0.16999900000000001</v>
      </c>
      <c r="H7" s="30">
        <f>Q8</f>
        <v>2.2799999999999998</v>
      </c>
      <c r="I7" t="s">
        <v>16</v>
      </c>
      <c r="J7" s="70">
        <f>P8</f>
        <v>0.17643036543870119</v>
      </c>
      <c r="K7">
        <v>0</v>
      </c>
      <c r="L7">
        <v>1</v>
      </c>
      <c r="S7" s="79"/>
      <c r="T7" s="78"/>
      <c r="AH7" s="79"/>
      <c r="AI7" s="78"/>
      <c r="AW7" s="79"/>
      <c r="AX7" s="78"/>
      <c r="BL7" s="79"/>
      <c r="BM7" s="78"/>
      <c r="CA7" s="79"/>
      <c r="CB7" s="78"/>
      <c r="CP7" s="79"/>
      <c r="CQ7" s="78"/>
      <c r="DE7" s="79"/>
      <c r="DF7" s="78"/>
      <c r="DT7" s="79"/>
      <c r="DU7" s="78"/>
      <c r="EI7" s="79"/>
      <c r="EJ7" s="78"/>
    </row>
    <row r="8" spans="2:152">
      <c r="B8" s="23" t="s">
        <v>0</v>
      </c>
      <c r="C8" s="24">
        <f>H5</f>
        <v>0.17</v>
      </c>
      <c r="E8" s="1" t="s">
        <v>17</v>
      </c>
      <c r="F8" s="3">
        <f>H7</f>
        <v>2.2799999999999998</v>
      </c>
      <c r="H8" s="49">
        <f>O2</f>
        <v>0.3876</v>
      </c>
      <c r="I8" t="s">
        <v>17</v>
      </c>
      <c r="P8" s="70">
        <f>MAX(P11:P110)</f>
        <v>0.17643036543870119</v>
      </c>
      <c r="Q8" s="30">
        <f>SUM(Q11:Q110)</f>
        <v>2.2799999999999998</v>
      </c>
      <c r="S8" s="80"/>
      <c r="T8" s="30"/>
      <c r="W8" s="30"/>
      <c r="AH8" s="80"/>
      <c r="AI8" s="30"/>
      <c r="AL8" s="30"/>
      <c r="AW8" s="80"/>
      <c r="AX8" s="30"/>
      <c r="BA8" s="30"/>
      <c r="BL8" s="80"/>
      <c r="BM8" s="30"/>
      <c r="BP8" s="30"/>
      <c r="CA8" s="80"/>
      <c r="CB8" s="30"/>
      <c r="CE8" s="30"/>
      <c r="CP8" s="80"/>
      <c r="CQ8" s="30"/>
      <c r="CT8" s="30"/>
      <c r="DE8" s="80"/>
      <c r="DF8" s="30"/>
      <c r="DI8" s="30"/>
      <c r="DT8" s="80"/>
      <c r="DU8" s="30"/>
      <c r="DX8" s="30"/>
      <c r="EI8" s="80"/>
      <c r="EJ8" s="30"/>
      <c r="EM8" s="30"/>
    </row>
    <row r="10" spans="2:152">
      <c r="B10" s="12" t="s">
        <v>0</v>
      </c>
      <c r="C10" s="12" t="s">
        <v>8</v>
      </c>
      <c r="D10" s="13" t="s">
        <v>7</v>
      </c>
      <c r="E10" s="13" t="s">
        <v>13</v>
      </c>
      <c r="F10" s="20"/>
      <c r="G10" s="20"/>
      <c r="H10" s="20"/>
      <c r="I10" s="20"/>
      <c r="J10" s="20"/>
      <c r="K10" s="20"/>
      <c r="L10" s="15" t="s">
        <v>9</v>
      </c>
      <c r="M10" s="15" t="s">
        <v>3</v>
      </c>
      <c r="N10" s="15" t="s">
        <v>3</v>
      </c>
      <c r="O10" s="15" t="s">
        <v>3</v>
      </c>
      <c r="P10" s="15"/>
      <c r="Q10" s="15"/>
      <c r="U10" s="83"/>
      <c r="V10" s="83"/>
      <c r="W10" s="83"/>
      <c r="X10" s="83"/>
      <c r="Y10" s="83"/>
      <c r="Z10" s="83"/>
      <c r="AA10" s="83"/>
      <c r="AB10" s="83"/>
      <c r="AC10" s="72"/>
      <c r="AD10" s="72"/>
      <c r="AE10" s="72"/>
      <c r="AF10" s="72"/>
      <c r="AJ10" s="83"/>
      <c r="AK10" s="83"/>
      <c r="AL10" s="83"/>
      <c r="AM10" s="83"/>
      <c r="AN10" s="83"/>
      <c r="AO10" s="83"/>
      <c r="AP10" s="83"/>
      <c r="AQ10" s="83"/>
      <c r="AR10" s="72"/>
      <c r="AS10" s="72"/>
      <c r="AT10" s="72"/>
      <c r="AU10" s="72"/>
      <c r="AY10" s="83"/>
      <c r="AZ10" s="83"/>
      <c r="BA10" s="83"/>
      <c r="BB10" s="83"/>
      <c r="BC10" s="83"/>
      <c r="BD10" s="83"/>
      <c r="BE10" s="83"/>
      <c r="BF10" s="83"/>
      <c r="BG10" s="72"/>
      <c r="BH10" s="72"/>
      <c r="BI10" s="72"/>
      <c r="BJ10" s="72"/>
      <c r="BN10" s="83"/>
      <c r="BO10" s="83"/>
      <c r="BP10" s="83"/>
      <c r="BQ10" s="83"/>
      <c r="BR10" s="83"/>
      <c r="BS10" s="83"/>
      <c r="BT10" s="83"/>
      <c r="BU10" s="83"/>
      <c r="BV10" s="72"/>
      <c r="BW10" s="72"/>
      <c r="BX10" s="72"/>
      <c r="BY10" s="72"/>
      <c r="CC10" s="83"/>
      <c r="CD10" s="83"/>
      <c r="CE10" s="83"/>
      <c r="CF10" s="83"/>
      <c r="CG10" s="83"/>
      <c r="CH10" s="83"/>
      <c r="CI10" s="83"/>
      <c r="CJ10" s="83"/>
      <c r="CK10" s="72"/>
      <c r="CL10" s="72"/>
      <c r="CM10" s="72"/>
      <c r="CN10" s="72"/>
      <c r="CR10" s="83"/>
      <c r="CS10" s="83"/>
      <c r="CT10" s="83"/>
      <c r="CU10" s="83"/>
      <c r="CV10" s="83"/>
      <c r="CW10" s="83"/>
      <c r="CX10" s="83"/>
      <c r="CY10" s="83"/>
      <c r="CZ10" s="72"/>
      <c r="DA10" s="72"/>
      <c r="DB10" s="72"/>
      <c r="DC10" s="72"/>
      <c r="DG10" s="83"/>
      <c r="DH10" s="83"/>
      <c r="DI10" s="83"/>
      <c r="DJ10" s="83"/>
      <c r="DK10" s="83"/>
      <c r="DL10" s="83"/>
      <c r="DM10" s="83"/>
      <c r="DN10" s="83"/>
      <c r="DO10" s="72"/>
      <c r="DP10" s="72"/>
      <c r="DQ10" s="72"/>
      <c r="DR10" s="72"/>
      <c r="DV10" s="83"/>
      <c r="DW10" s="83"/>
      <c r="DX10" s="83"/>
      <c r="DY10" s="83"/>
      <c r="DZ10" s="83"/>
      <c r="EA10" s="83"/>
      <c r="EB10" s="83"/>
      <c r="EC10" s="83"/>
      <c r="ED10" s="72"/>
      <c r="EE10" s="72"/>
      <c r="EF10" s="72"/>
      <c r="EG10" s="72"/>
      <c r="EK10" s="83"/>
      <c r="EL10" s="83"/>
      <c r="EM10" s="83"/>
      <c r="EN10" s="83"/>
      <c r="EO10" s="83"/>
      <c r="EP10" s="83"/>
      <c r="EQ10" s="83"/>
      <c r="ER10" s="83"/>
      <c r="ES10" s="72"/>
      <c r="ET10" s="72"/>
      <c r="EU10" s="72"/>
      <c r="EV10" s="72"/>
    </row>
    <row r="11" spans="2:152">
      <c r="B11" s="11">
        <f>$C$8</f>
        <v>0.17</v>
      </c>
      <c r="C11" s="28">
        <v>0</v>
      </c>
      <c r="D11" s="2">
        <f>'R-AFC TRACE'!L17</f>
        <v>274.01530636003582</v>
      </c>
      <c r="E11" s="2">
        <f>'R-AFC TRACE'!L11</f>
        <v>1070</v>
      </c>
      <c r="F11" s="27">
        <f>(((1+C11)*B11)/(((1+C11)*B11)-1))</f>
        <v>-0.20481927710843376</v>
      </c>
      <c r="G11" s="27">
        <f>(B11*(C11*$E$11+$C$4))-($C$2*(($C$6+(C11+1)*B11-1)))</f>
        <v>-1247.0889999999999</v>
      </c>
      <c r="H11" s="27">
        <f>(B11*(C11*$E$11+$C$4))-($D$11*(($C$6+(C11+1)*B11-1)))</f>
        <v>-315.78690844124191</v>
      </c>
      <c r="I11" s="27">
        <f>(G11/H11)</f>
        <v>3.9491472466536539</v>
      </c>
      <c r="J11" s="27">
        <f>((C11+1)*B11-1)/((C11+1)*B11+$C$6-1)</f>
        <v>-0.70940170940170943</v>
      </c>
      <c r="K11" s="27">
        <f>I11^J11</f>
        <v>0.37743269679401537</v>
      </c>
      <c r="L11" s="27">
        <f>(K11-1)*F11</f>
        <v>0.12751378499399688</v>
      </c>
      <c r="M11" s="17">
        <f>L11/(C11*(1+L11)+1)</f>
        <v>0.12751378499399688</v>
      </c>
      <c r="N11" s="17">
        <f>IFERROR(M11,NA())</f>
        <v>0.12751378499399688</v>
      </c>
      <c r="O11" s="57">
        <f>IF(I11&lt;0,NA(),IF($C$2=0,NA(),IF(N11&lt;0,NA(),IF(ISERROR(N11),NA(),N11))))</f>
        <v>0.12751378499399688</v>
      </c>
      <c r="P11" s="17">
        <f>IF(ISERROR(O11),0,IF(L11&lt;0,0,O11))</f>
        <v>0.12751378499399688</v>
      </c>
      <c r="Q11" s="17">
        <f>IF($P$8=P11,C11,0)</f>
        <v>0</v>
      </c>
      <c r="S11" s="81"/>
      <c r="T11" s="30"/>
      <c r="W11" s="30"/>
      <c r="X11" s="30"/>
      <c r="Y11" s="30"/>
      <c r="Z11" s="30"/>
      <c r="AA11" s="30"/>
      <c r="AB11" s="30"/>
      <c r="AC11" s="30"/>
      <c r="AD11" s="85"/>
      <c r="AE11" s="85"/>
      <c r="AF11" s="70"/>
      <c r="AH11" s="81"/>
      <c r="AI11" s="30"/>
      <c r="AL11" s="30"/>
      <c r="AM11" s="30"/>
      <c r="AN11" s="30"/>
      <c r="AO11" s="30"/>
      <c r="AP11" s="30"/>
      <c r="AQ11" s="30"/>
      <c r="AR11" s="30"/>
      <c r="AS11" s="85"/>
      <c r="AT11" s="85"/>
      <c r="AU11" s="70"/>
      <c r="AW11" s="81"/>
      <c r="AX11" s="30"/>
      <c r="BA11" s="30"/>
      <c r="BB11" s="30"/>
      <c r="BC11" s="30"/>
      <c r="BD11" s="30"/>
      <c r="BE11" s="30"/>
      <c r="BF11" s="30"/>
      <c r="BG11" s="30"/>
      <c r="BH11" s="85"/>
      <c r="BI11" s="85"/>
      <c r="BJ11" s="70"/>
      <c r="BL11" s="81"/>
      <c r="BM11" s="30"/>
      <c r="BP11" s="30"/>
      <c r="BQ11" s="30"/>
      <c r="BR11" s="30"/>
      <c r="BS11" s="30"/>
      <c r="BT11" s="30"/>
      <c r="BU11" s="30"/>
      <c r="BV11" s="30"/>
      <c r="BW11" s="85"/>
      <c r="BX11" s="85"/>
      <c r="BY11" s="70"/>
      <c r="CA11" s="81"/>
      <c r="CB11" s="30"/>
      <c r="CE11" s="30"/>
      <c r="CF11" s="30"/>
      <c r="CG11" s="30"/>
      <c r="CH11" s="30"/>
      <c r="CI11" s="30"/>
      <c r="CJ11" s="30"/>
      <c r="CK11" s="30"/>
      <c r="CL11" s="85"/>
      <c r="CM11" s="85"/>
      <c r="CN11" s="70"/>
      <c r="CP11" s="81"/>
      <c r="CQ11" s="30"/>
      <c r="CT11" s="30"/>
      <c r="CU11" s="30"/>
      <c r="CV11" s="30"/>
      <c r="CW11" s="30"/>
      <c r="CX11" s="30"/>
      <c r="CY11" s="30"/>
      <c r="CZ11" s="30"/>
      <c r="DA11" s="85"/>
      <c r="DB11" s="85"/>
      <c r="DC11" s="70"/>
      <c r="DE11" s="81"/>
      <c r="DF11" s="30"/>
      <c r="DI11" s="30"/>
      <c r="DJ11" s="30"/>
      <c r="DK11" s="30"/>
      <c r="DL11" s="30"/>
      <c r="DM11" s="30"/>
      <c r="DN11" s="30"/>
      <c r="DO11" s="30"/>
      <c r="DP11" s="85"/>
      <c r="DQ11" s="85"/>
      <c r="DR11" s="70"/>
      <c r="DT11" s="81"/>
      <c r="DU11" s="30"/>
      <c r="DX11" s="30"/>
      <c r="DY11" s="30"/>
      <c r="DZ11" s="30"/>
      <c r="EA11" s="30"/>
      <c r="EB11" s="30"/>
      <c r="EC11" s="30"/>
      <c r="ED11" s="30"/>
      <c r="EE11" s="85"/>
      <c r="EF11" s="85"/>
      <c r="EG11" s="70"/>
      <c r="EI11" s="81"/>
      <c r="EJ11" s="30"/>
      <c r="EM11" s="30"/>
      <c r="EN11" s="30"/>
      <c r="EO11" s="30"/>
      <c r="EP11" s="30"/>
      <c r="EQ11" s="30"/>
      <c r="ER11" s="30"/>
      <c r="ES11" s="30"/>
      <c r="ET11" s="85"/>
      <c r="EU11" s="85"/>
      <c r="EV11" s="70"/>
    </row>
    <row r="12" spans="2:152">
      <c r="B12" s="11">
        <f t="shared" ref="B12:B75" si="0">$C$8</f>
        <v>0.17</v>
      </c>
      <c r="C12" s="28">
        <v>0.12</v>
      </c>
      <c r="D12" s="16"/>
      <c r="E12" s="16"/>
      <c r="F12" s="27">
        <f t="shared" ref="F12:F75" si="1">(((1+C12)*B12)/(((1+C12)*B12)-1))</f>
        <v>-0.23517786561264828</v>
      </c>
      <c r="G12" s="27">
        <f t="shared" ref="G12:G75" si="2">(B12*(C12*$E$11+$C$4))-($C$2*(($C$6+(C12+1)*B12-1)))</f>
        <v>-1247.0889999999999</v>
      </c>
      <c r="H12" s="27">
        <f t="shared" ref="H12:H75" si="3">(B12*(C12*$E$11+$C$4))-($D$11*(($C$6+(C12+1)*B12-1)))</f>
        <v>-299.54882069098659</v>
      </c>
      <c r="I12" s="27">
        <f t="shared" ref="I12:I75" si="4">(G12/H12)</f>
        <v>4.1632245358979132</v>
      </c>
      <c r="J12" s="27">
        <f t="shared" ref="J12:J75" si="5">((C12+1)*B12-1)/((C12+1)*B12+$C$6-1)</f>
        <v>-0.68010752688172049</v>
      </c>
      <c r="K12" s="27">
        <f t="shared" ref="K12:K75" si="6">I12^J12</f>
        <v>0.37907147684021086</v>
      </c>
      <c r="L12" s="27">
        <f t="shared" ref="L12:L75" si="7">(K12-1)*F12</f>
        <v>0.14602864477473307</v>
      </c>
      <c r="M12" s="17">
        <f t="shared" ref="M12:M75" si="8">L12/(C12*(1+L12)+1)</f>
        <v>0.1283741855130266</v>
      </c>
      <c r="N12" s="17">
        <f t="shared" ref="N12:N75" si="9">IFERROR(M12,NA())</f>
        <v>0.1283741855130266</v>
      </c>
      <c r="O12" s="57">
        <f t="shared" ref="O12:O75" si="10">IF(I12&lt;0,NA(),IF($C$2=0,NA(),IF(N12&lt;0,NA(),IF(ISERROR(N12),NA(),N12))))</f>
        <v>0.1283741855130266</v>
      </c>
      <c r="P12" s="17">
        <f t="shared" ref="P12:P75" si="11">IF(ISERROR(O12),0,IF(L12&lt;0,0,O12))</f>
        <v>0.1283741855130266</v>
      </c>
      <c r="Q12" s="17">
        <f t="shared" ref="Q12:Q75" si="12">IF($P$8=P12,C12,0)</f>
        <v>0</v>
      </c>
      <c r="S12" s="81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85"/>
      <c r="AE12" s="85"/>
      <c r="AF12" s="70"/>
      <c r="AH12" s="81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85"/>
      <c r="AT12" s="85"/>
      <c r="AU12" s="70"/>
      <c r="AW12" s="81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85"/>
      <c r="BI12" s="85"/>
      <c r="BJ12" s="70"/>
      <c r="BL12" s="81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85"/>
      <c r="BX12" s="85"/>
      <c r="BY12" s="70"/>
      <c r="CA12" s="81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85"/>
      <c r="CM12" s="85"/>
      <c r="CN12" s="70"/>
      <c r="CP12" s="81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85"/>
      <c r="DB12" s="85"/>
      <c r="DC12" s="70"/>
      <c r="DE12" s="81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85"/>
      <c r="DQ12" s="85"/>
      <c r="DR12" s="70"/>
      <c r="DT12" s="81"/>
      <c r="DU12" s="30"/>
      <c r="DV12" s="30"/>
      <c r="DW12" s="30"/>
      <c r="DX12" s="30"/>
      <c r="DY12" s="30"/>
      <c r="DZ12" s="30"/>
      <c r="EA12" s="30"/>
      <c r="EB12" s="30"/>
      <c r="EC12" s="30"/>
      <c r="ED12" s="30"/>
      <c r="EE12" s="85"/>
      <c r="EF12" s="85"/>
      <c r="EG12" s="70"/>
      <c r="EI12" s="81"/>
      <c r="EJ12" s="30"/>
      <c r="EK12" s="30"/>
      <c r="EL12" s="30"/>
      <c r="EM12" s="30"/>
      <c r="EN12" s="30"/>
      <c r="EO12" s="30"/>
      <c r="EP12" s="30"/>
      <c r="EQ12" s="30"/>
      <c r="ER12" s="30"/>
      <c r="ES12" s="30"/>
      <c r="ET12" s="85"/>
      <c r="EU12" s="85"/>
      <c r="EV12" s="70"/>
    </row>
    <row r="13" spans="2:152">
      <c r="B13" s="11">
        <f t="shared" si="0"/>
        <v>0.17</v>
      </c>
      <c r="C13" s="28">
        <v>0.18</v>
      </c>
      <c r="D13" s="16"/>
      <c r="E13" s="16"/>
      <c r="F13" s="27">
        <f t="shared" si="1"/>
        <v>-0.25093820365273956</v>
      </c>
      <c r="G13" s="27">
        <f t="shared" si="2"/>
        <v>-1247.0889999999999</v>
      </c>
      <c r="H13" s="27">
        <f t="shared" si="3"/>
        <v>-291.42977681585904</v>
      </c>
      <c r="I13" s="27">
        <f t="shared" si="4"/>
        <v>4.2792092614063169</v>
      </c>
      <c r="J13" s="27">
        <f t="shared" si="5"/>
        <v>-0.66583374979177068</v>
      </c>
      <c r="K13" s="27">
        <f t="shared" si="6"/>
        <v>0.37985413359624171</v>
      </c>
      <c r="L13" s="27">
        <f t="shared" si="7"/>
        <v>0.15561828971803091</v>
      </c>
      <c r="M13" s="17">
        <f t="shared" si="8"/>
        <v>0.12882188331299538</v>
      </c>
      <c r="N13" s="17">
        <f t="shared" si="9"/>
        <v>0.12882188331299538</v>
      </c>
      <c r="O13" s="57">
        <f t="shared" si="10"/>
        <v>0.12882188331299538</v>
      </c>
      <c r="P13" s="17">
        <f t="shared" si="11"/>
        <v>0.12882188331299538</v>
      </c>
      <c r="Q13" s="17">
        <f t="shared" si="12"/>
        <v>0</v>
      </c>
      <c r="S13" s="81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85"/>
      <c r="AE13" s="85"/>
      <c r="AF13" s="70"/>
      <c r="AH13" s="81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85"/>
      <c r="AT13" s="85"/>
      <c r="AU13" s="70"/>
      <c r="AW13" s="81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85"/>
      <c r="BI13" s="85"/>
      <c r="BJ13" s="70"/>
      <c r="BL13" s="81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85"/>
      <c r="BX13" s="85"/>
      <c r="BY13" s="70"/>
      <c r="CA13" s="81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85"/>
      <c r="CM13" s="85"/>
      <c r="CN13" s="70"/>
      <c r="CP13" s="81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85"/>
      <c r="DB13" s="85"/>
      <c r="DC13" s="70"/>
      <c r="DE13" s="81"/>
      <c r="DF13" s="30"/>
      <c r="DG13" s="30"/>
      <c r="DH13" s="30"/>
      <c r="DI13" s="30"/>
      <c r="DJ13" s="30"/>
      <c r="DK13" s="30"/>
      <c r="DL13" s="30"/>
      <c r="DM13" s="30"/>
      <c r="DN13" s="30"/>
      <c r="DO13" s="30"/>
      <c r="DP13" s="85"/>
      <c r="DQ13" s="85"/>
      <c r="DR13" s="70"/>
      <c r="DT13" s="81"/>
      <c r="DU13" s="30"/>
      <c r="DV13" s="30"/>
      <c r="DW13" s="30"/>
      <c r="DX13" s="30"/>
      <c r="DY13" s="30"/>
      <c r="DZ13" s="30"/>
      <c r="EA13" s="30"/>
      <c r="EB13" s="30"/>
      <c r="EC13" s="30"/>
      <c r="ED13" s="30"/>
      <c r="EE13" s="85"/>
      <c r="EF13" s="85"/>
      <c r="EG13" s="70"/>
      <c r="EI13" s="81"/>
      <c r="EJ13" s="30"/>
      <c r="EK13" s="30"/>
      <c r="EL13" s="30"/>
      <c r="EM13" s="30"/>
      <c r="EN13" s="30"/>
      <c r="EO13" s="30"/>
      <c r="EP13" s="30"/>
      <c r="EQ13" s="30"/>
      <c r="ER13" s="30"/>
      <c r="ES13" s="30"/>
      <c r="ET13" s="85"/>
      <c r="EU13" s="85"/>
      <c r="EV13" s="70"/>
    </row>
    <row r="14" spans="2:152">
      <c r="B14" s="11">
        <f t="shared" si="0"/>
        <v>0.17</v>
      </c>
      <c r="C14" s="28">
        <v>0.24</v>
      </c>
      <c r="D14" s="16"/>
      <c r="E14" s="8"/>
      <c r="F14" s="27">
        <f t="shared" si="1"/>
        <v>-0.26710593005575267</v>
      </c>
      <c r="G14" s="27">
        <f t="shared" si="2"/>
        <v>-1247.0889999999997</v>
      </c>
      <c r="H14" s="27">
        <f t="shared" si="3"/>
        <v>-283.31073294073133</v>
      </c>
      <c r="I14" s="27">
        <f t="shared" si="4"/>
        <v>4.4018417059437382</v>
      </c>
      <c r="J14" s="27">
        <f t="shared" si="5"/>
        <v>-0.6518004625041296</v>
      </c>
      <c r="K14" s="27">
        <f t="shared" si="6"/>
        <v>0.38060876621885237</v>
      </c>
      <c r="L14" s="27">
        <f t="shared" si="7"/>
        <v>0.16544307156749355</v>
      </c>
      <c r="M14" s="17">
        <f>L14/(C14*(1+L14)+1)</f>
        <v>0.12928206007994023</v>
      </c>
      <c r="N14" s="17">
        <f t="shared" si="9"/>
        <v>0.12928206007994023</v>
      </c>
      <c r="O14" s="57">
        <f t="shared" si="10"/>
        <v>0.12928206007994023</v>
      </c>
      <c r="P14" s="17">
        <f t="shared" si="11"/>
        <v>0.12928206007994023</v>
      </c>
      <c r="Q14" s="17">
        <f t="shared" si="12"/>
        <v>0</v>
      </c>
      <c r="S14" s="81"/>
      <c r="T14" s="30"/>
      <c r="U14" s="30"/>
      <c r="W14" s="30"/>
      <c r="X14" s="30"/>
      <c r="Y14" s="30"/>
      <c r="Z14" s="30"/>
      <c r="AA14" s="30"/>
      <c r="AB14" s="30"/>
      <c r="AC14" s="30"/>
      <c r="AD14" s="85"/>
      <c r="AE14" s="85"/>
      <c r="AF14" s="70"/>
      <c r="AH14" s="81"/>
      <c r="AI14" s="30"/>
      <c r="AJ14" s="30"/>
      <c r="AL14" s="30"/>
      <c r="AM14" s="30"/>
      <c r="AN14" s="30"/>
      <c r="AO14" s="30"/>
      <c r="AP14" s="30"/>
      <c r="AQ14" s="30"/>
      <c r="AR14" s="30"/>
      <c r="AS14" s="85"/>
      <c r="AT14" s="85"/>
      <c r="AU14" s="70"/>
      <c r="AW14" s="81"/>
      <c r="AX14" s="30"/>
      <c r="AY14" s="30"/>
      <c r="BA14" s="30"/>
      <c r="BB14" s="30"/>
      <c r="BC14" s="30"/>
      <c r="BD14" s="30"/>
      <c r="BE14" s="30"/>
      <c r="BF14" s="30"/>
      <c r="BG14" s="30"/>
      <c r="BH14" s="85"/>
      <c r="BI14" s="85"/>
      <c r="BJ14" s="70"/>
      <c r="BL14" s="81"/>
      <c r="BM14" s="30"/>
      <c r="BN14" s="30"/>
      <c r="BP14" s="30"/>
      <c r="BQ14" s="30"/>
      <c r="BR14" s="30"/>
      <c r="BS14" s="30"/>
      <c r="BT14" s="30"/>
      <c r="BU14" s="30"/>
      <c r="BV14" s="30"/>
      <c r="BW14" s="85"/>
      <c r="BX14" s="85"/>
      <c r="BY14" s="70"/>
      <c r="CA14" s="81"/>
      <c r="CB14" s="30"/>
      <c r="CC14" s="30"/>
      <c r="CE14" s="30"/>
      <c r="CF14" s="30"/>
      <c r="CG14" s="30"/>
      <c r="CH14" s="30"/>
      <c r="CI14" s="30"/>
      <c r="CJ14" s="30"/>
      <c r="CK14" s="30"/>
      <c r="CL14" s="85"/>
      <c r="CM14" s="85"/>
      <c r="CN14" s="70"/>
      <c r="CP14" s="81"/>
      <c r="CQ14" s="30"/>
      <c r="CR14" s="30"/>
      <c r="CT14" s="30"/>
      <c r="CU14" s="30"/>
      <c r="CV14" s="30"/>
      <c r="CW14" s="30"/>
      <c r="CX14" s="30"/>
      <c r="CY14" s="30"/>
      <c r="CZ14" s="30"/>
      <c r="DA14" s="85"/>
      <c r="DB14" s="85"/>
      <c r="DC14" s="70"/>
      <c r="DE14" s="81"/>
      <c r="DF14" s="30"/>
      <c r="DG14" s="30"/>
      <c r="DI14" s="30"/>
      <c r="DJ14" s="30"/>
      <c r="DK14" s="30"/>
      <c r="DL14" s="30"/>
      <c r="DM14" s="30"/>
      <c r="DN14" s="30"/>
      <c r="DO14" s="30"/>
      <c r="DP14" s="85"/>
      <c r="DQ14" s="85"/>
      <c r="DR14" s="70"/>
      <c r="DT14" s="81"/>
      <c r="DU14" s="30"/>
      <c r="DV14" s="30"/>
      <c r="DX14" s="30"/>
      <c r="DY14" s="30"/>
      <c r="DZ14" s="30"/>
      <c r="EA14" s="30"/>
      <c r="EB14" s="30"/>
      <c r="EC14" s="30"/>
      <c r="ED14" s="30"/>
      <c r="EE14" s="85"/>
      <c r="EF14" s="85"/>
      <c r="EG14" s="70"/>
      <c r="EI14" s="81"/>
      <c r="EJ14" s="30"/>
      <c r="EK14" s="30"/>
      <c r="EM14" s="30"/>
      <c r="EN14" s="30"/>
      <c r="EO14" s="30"/>
      <c r="EP14" s="30"/>
      <c r="EQ14" s="30"/>
      <c r="ER14" s="30"/>
      <c r="ES14" s="30"/>
      <c r="ET14" s="85"/>
      <c r="EU14" s="85"/>
      <c r="EV14" s="70"/>
    </row>
    <row r="15" spans="2:152">
      <c r="B15" s="11">
        <f t="shared" si="0"/>
        <v>0.17</v>
      </c>
      <c r="C15" s="28">
        <v>0.3</v>
      </c>
      <c r="D15" s="16"/>
      <c r="E15" s="8"/>
      <c r="F15" s="27">
        <f t="shared" si="1"/>
        <v>-0.28369704749679081</v>
      </c>
      <c r="G15" s="27">
        <f t="shared" si="2"/>
        <v>-1247.0889999999999</v>
      </c>
      <c r="H15" s="27">
        <f t="shared" si="3"/>
        <v>-275.19168906560373</v>
      </c>
      <c r="I15" s="27">
        <f t="shared" si="4"/>
        <v>4.5317102570735806</v>
      </c>
      <c r="J15" s="27">
        <f t="shared" si="5"/>
        <v>-0.63800163800163789</v>
      </c>
      <c r="K15" s="27">
        <f t="shared" si="6"/>
        <v>0.38133237921721935</v>
      </c>
      <c r="L15" s="27">
        <f t="shared" si="7"/>
        <v>0.17551417739793906</v>
      </c>
      <c r="M15" s="17">
        <f t="shared" si="8"/>
        <v>0.1297553879568315</v>
      </c>
      <c r="N15" s="17">
        <f t="shared" si="9"/>
        <v>0.1297553879568315</v>
      </c>
      <c r="O15" s="57">
        <f t="shared" si="10"/>
        <v>0.1297553879568315</v>
      </c>
      <c r="P15" s="17">
        <f t="shared" si="11"/>
        <v>0.1297553879568315</v>
      </c>
      <c r="Q15" s="17">
        <f t="shared" si="12"/>
        <v>0</v>
      </c>
      <c r="S15" s="81"/>
      <c r="T15" s="30"/>
      <c r="U15" s="30"/>
      <c r="W15" s="30"/>
      <c r="X15" s="30"/>
      <c r="Y15" s="30"/>
      <c r="Z15" s="30"/>
      <c r="AA15" s="30"/>
      <c r="AB15" s="30"/>
      <c r="AC15" s="30"/>
      <c r="AD15" s="85"/>
      <c r="AE15" s="85"/>
      <c r="AF15" s="70"/>
      <c r="AH15" s="81"/>
      <c r="AI15" s="30"/>
      <c r="AJ15" s="30"/>
      <c r="AL15" s="30"/>
      <c r="AM15" s="30"/>
      <c r="AN15" s="30"/>
      <c r="AO15" s="30"/>
      <c r="AP15" s="30"/>
      <c r="AQ15" s="30"/>
      <c r="AR15" s="30"/>
      <c r="AS15" s="85"/>
      <c r="AT15" s="85"/>
      <c r="AU15" s="70"/>
      <c r="AW15" s="81"/>
      <c r="AX15" s="30"/>
      <c r="AY15" s="30"/>
      <c r="BA15" s="30"/>
      <c r="BB15" s="30"/>
      <c r="BC15" s="30"/>
      <c r="BD15" s="30"/>
      <c r="BE15" s="30"/>
      <c r="BF15" s="30"/>
      <c r="BG15" s="30"/>
      <c r="BH15" s="85"/>
      <c r="BI15" s="85"/>
      <c r="BJ15" s="70"/>
      <c r="BL15" s="81"/>
      <c r="BM15" s="30"/>
      <c r="BN15" s="30"/>
      <c r="BP15" s="30"/>
      <c r="BQ15" s="30"/>
      <c r="BR15" s="30"/>
      <c r="BS15" s="30"/>
      <c r="BT15" s="30"/>
      <c r="BU15" s="30"/>
      <c r="BV15" s="30"/>
      <c r="BW15" s="85"/>
      <c r="BX15" s="85"/>
      <c r="BY15" s="70"/>
      <c r="CA15" s="81"/>
      <c r="CB15" s="30"/>
      <c r="CC15" s="30"/>
      <c r="CE15" s="30"/>
      <c r="CF15" s="30"/>
      <c r="CG15" s="30"/>
      <c r="CH15" s="30"/>
      <c r="CI15" s="30"/>
      <c r="CJ15" s="30"/>
      <c r="CK15" s="30"/>
      <c r="CL15" s="85"/>
      <c r="CM15" s="85"/>
      <c r="CN15" s="70"/>
      <c r="CP15" s="81"/>
      <c r="CQ15" s="30"/>
      <c r="CR15" s="30"/>
      <c r="CT15" s="30"/>
      <c r="CU15" s="30"/>
      <c r="CV15" s="30"/>
      <c r="CW15" s="30"/>
      <c r="CX15" s="30"/>
      <c r="CY15" s="30"/>
      <c r="CZ15" s="30"/>
      <c r="DA15" s="85"/>
      <c r="DB15" s="85"/>
      <c r="DC15" s="70"/>
      <c r="DE15" s="81"/>
      <c r="DF15" s="30"/>
      <c r="DG15" s="30"/>
      <c r="DI15" s="30"/>
      <c r="DJ15" s="30"/>
      <c r="DK15" s="30"/>
      <c r="DL15" s="30"/>
      <c r="DM15" s="30"/>
      <c r="DN15" s="30"/>
      <c r="DO15" s="30"/>
      <c r="DP15" s="85"/>
      <c r="DQ15" s="85"/>
      <c r="DR15" s="70"/>
      <c r="DT15" s="81"/>
      <c r="DU15" s="30"/>
      <c r="DV15" s="30"/>
      <c r="DX15" s="30"/>
      <c r="DY15" s="30"/>
      <c r="DZ15" s="30"/>
      <c r="EA15" s="30"/>
      <c r="EB15" s="30"/>
      <c r="EC15" s="30"/>
      <c r="ED15" s="30"/>
      <c r="EE15" s="85"/>
      <c r="EF15" s="85"/>
      <c r="EG15" s="70"/>
      <c r="EI15" s="81"/>
      <c r="EJ15" s="30"/>
      <c r="EK15" s="30"/>
      <c r="EM15" s="30"/>
      <c r="EN15" s="30"/>
      <c r="EO15" s="30"/>
      <c r="EP15" s="30"/>
      <c r="EQ15" s="30"/>
      <c r="ER15" s="30"/>
      <c r="ES15" s="30"/>
      <c r="ET15" s="85"/>
      <c r="EU15" s="85"/>
      <c r="EV15" s="70"/>
    </row>
    <row r="16" spans="2:152">
      <c r="B16" s="11">
        <f t="shared" si="0"/>
        <v>0.17</v>
      </c>
      <c r="C16" s="28">
        <v>0.36</v>
      </c>
      <c r="D16" s="16"/>
      <c r="E16" s="8"/>
      <c r="F16" s="27">
        <f t="shared" si="1"/>
        <v>-0.3007284079084287</v>
      </c>
      <c r="G16" s="27">
        <f t="shared" si="2"/>
        <v>-1247.0889999999997</v>
      </c>
      <c r="H16" s="27">
        <f t="shared" si="3"/>
        <v>-267.07264519047607</v>
      </c>
      <c r="I16" s="27">
        <f t="shared" si="4"/>
        <v>4.6694748505994559</v>
      </c>
      <c r="J16" s="27">
        <f t="shared" si="5"/>
        <v>-0.62443144899285263</v>
      </c>
      <c r="K16" s="27">
        <f t="shared" si="6"/>
        <v>0.38202166018162964</v>
      </c>
      <c r="L16" s="27">
        <f t="shared" si="7"/>
        <v>0.18584364225547245</v>
      </c>
      <c r="M16" s="17">
        <f t="shared" si="8"/>
        <v>0.13024259506454178</v>
      </c>
      <c r="N16" s="17">
        <f t="shared" si="9"/>
        <v>0.13024259506454178</v>
      </c>
      <c r="O16" s="57">
        <f t="shared" si="10"/>
        <v>0.13024259506454178</v>
      </c>
      <c r="P16" s="17">
        <f t="shared" si="11"/>
        <v>0.13024259506454178</v>
      </c>
      <c r="Q16" s="17">
        <f t="shared" si="12"/>
        <v>0</v>
      </c>
      <c r="S16" s="81"/>
      <c r="T16" s="30"/>
      <c r="U16" s="30"/>
      <c r="W16" s="30"/>
      <c r="X16" s="30"/>
      <c r="Y16" s="30"/>
      <c r="Z16" s="30"/>
      <c r="AA16" s="30"/>
      <c r="AB16" s="30"/>
      <c r="AC16" s="30"/>
      <c r="AD16" s="85"/>
      <c r="AE16" s="85"/>
      <c r="AF16" s="70"/>
      <c r="AH16" s="81"/>
      <c r="AI16" s="30"/>
      <c r="AJ16" s="30"/>
      <c r="AL16" s="30"/>
      <c r="AM16" s="30"/>
      <c r="AN16" s="30"/>
      <c r="AO16" s="30"/>
      <c r="AP16" s="30"/>
      <c r="AQ16" s="30"/>
      <c r="AR16" s="30"/>
      <c r="AS16" s="85"/>
      <c r="AT16" s="85"/>
      <c r="AU16" s="70"/>
      <c r="AW16" s="81"/>
      <c r="AX16" s="30"/>
      <c r="AY16" s="30"/>
      <c r="BA16" s="30"/>
      <c r="BB16" s="30"/>
      <c r="BC16" s="30"/>
      <c r="BD16" s="30"/>
      <c r="BE16" s="30"/>
      <c r="BF16" s="30"/>
      <c r="BG16" s="30"/>
      <c r="BH16" s="85"/>
      <c r="BI16" s="85"/>
      <c r="BJ16" s="70"/>
      <c r="BL16" s="81"/>
      <c r="BM16" s="30"/>
      <c r="BN16" s="30"/>
      <c r="BP16" s="30"/>
      <c r="BQ16" s="30"/>
      <c r="BR16" s="30"/>
      <c r="BS16" s="30"/>
      <c r="BT16" s="30"/>
      <c r="BU16" s="30"/>
      <c r="BV16" s="30"/>
      <c r="BW16" s="85"/>
      <c r="BX16" s="85"/>
      <c r="BY16" s="70"/>
      <c r="CA16" s="81"/>
      <c r="CB16" s="30"/>
      <c r="CC16" s="30"/>
      <c r="CE16" s="30"/>
      <c r="CF16" s="30"/>
      <c r="CG16" s="30"/>
      <c r="CH16" s="30"/>
      <c r="CI16" s="30"/>
      <c r="CJ16" s="30"/>
      <c r="CK16" s="30"/>
      <c r="CL16" s="85"/>
      <c r="CM16" s="85"/>
      <c r="CN16" s="70"/>
      <c r="CP16" s="81"/>
      <c r="CQ16" s="30"/>
      <c r="CR16" s="30"/>
      <c r="CT16" s="30"/>
      <c r="CU16" s="30"/>
      <c r="CV16" s="30"/>
      <c r="CW16" s="30"/>
      <c r="CX16" s="30"/>
      <c r="CY16" s="30"/>
      <c r="CZ16" s="30"/>
      <c r="DA16" s="85"/>
      <c r="DB16" s="85"/>
      <c r="DC16" s="70"/>
      <c r="DE16" s="81"/>
      <c r="DF16" s="30"/>
      <c r="DG16" s="30"/>
      <c r="DI16" s="30"/>
      <c r="DJ16" s="30"/>
      <c r="DK16" s="30"/>
      <c r="DL16" s="30"/>
      <c r="DM16" s="30"/>
      <c r="DN16" s="30"/>
      <c r="DO16" s="30"/>
      <c r="DP16" s="85"/>
      <c r="DQ16" s="85"/>
      <c r="DR16" s="70"/>
      <c r="DT16" s="81"/>
      <c r="DU16" s="30"/>
      <c r="DV16" s="30"/>
      <c r="DX16" s="30"/>
      <c r="DY16" s="30"/>
      <c r="DZ16" s="30"/>
      <c r="EA16" s="30"/>
      <c r="EB16" s="30"/>
      <c r="EC16" s="30"/>
      <c r="ED16" s="30"/>
      <c r="EE16" s="85"/>
      <c r="EF16" s="85"/>
      <c r="EG16" s="70"/>
      <c r="EI16" s="81"/>
      <c r="EJ16" s="30"/>
      <c r="EK16" s="30"/>
      <c r="EM16" s="30"/>
      <c r="EN16" s="30"/>
      <c r="EO16" s="30"/>
      <c r="EP16" s="30"/>
      <c r="EQ16" s="30"/>
      <c r="ER16" s="30"/>
      <c r="ES16" s="30"/>
      <c r="ET16" s="85"/>
      <c r="EU16" s="85"/>
      <c r="EV16" s="70"/>
    </row>
    <row r="17" spans="2:152">
      <c r="B17" s="11">
        <f t="shared" si="0"/>
        <v>0.17</v>
      </c>
      <c r="C17" s="28">
        <v>0.42</v>
      </c>
      <c r="D17" s="16"/>
      <c r="E17" s="8"/>
      <c r="F17" s="27">
        <f t="shared" si="1"/>
        <v>-0.31821776957553388</v>
      </c>
      <c r="G17" s="27">
        <f t="shared" si="2"/>
        <v>-1247.0889999999999</v>
      </c>
      <c r="H17" s="27">
        <f t="shared" si="3"/>
        <v>-258.95360131534846</v>
      </c>
      <c r="I17" s="27">
        <f t="shared" si="4"/>
        <v>4.8158781869239968</v>
      </c>
      <c r="J17" s="27">
        <f t="shared" si="5"/>
        <v>-0.6110842597067826</v>
      </c>
      <c r="K17" s="27">
        <f t="shared" si="6"/>
        <v>0.38267293872604186</v>
      </c>
      <c r="L17" s="27">
        <f t="shared" si="7"/>
        <v>0.19644444053721788</v>
      </c>
      <c r="M17" s="17">
        <f t="shared" si="8"/>
        <v>0.13074447196137179</v>
      </c>
      <c r="N17" s="17">
        <f t="shared" si="9"/>
        <v>0.13074447196137179</v>
      </c>
      <c r="O17" s="57">
        <f t="shared" si="10"/>
        <v>0.13074447196137179</v>
      </c>
      <c r="P17" s="17">
        <f t="shared" si="11"/>
        <v>0.13074447196137179</v>
      </c>
      <c r="Q17" s="17">
        <f t="shared" si="12"/>
        <v>0</v>
      </c>
      <c r="S17" s="81"/>
      <c r="T17" s="30"/>
      <c r="U17" s="30"/>
      <c r="W17" s="30"/>
      <c r="X17" s="30"/>
      <c r="Y17" s="30"/>
      <c r="Z17" s="30"/>
      <c r="AA17" s="30"/>
      <c r="AB17" s="30"/>
      <c r="AC17" s="30"/>
      <c r="AD17" s="85"/>
      <c r="AE17" s="85"/>
      <c r="AF17" s="70"/>
      <c r="AH17" s="81"/>
      <c r="AI17" s="30"/>
      <c r="AJ17" s="30"/>
      <c r="AL17" s="30"/>
      <c r="AM17" s="30"/>
      <c r="AN17" s="30"/>
      <c r="AO17" s="30"/>
      <c r="AP17" s="30"/>
      <c r="AQ17" s="30"/>
      <c r="AR17" s="30"/>
      <c r="AS17" s="85"/>
      <c r="AT17" s="85"/>
      <c r="AU17" s="70"/>
      <c r="AW17" s="81"/>
      <c r="AX17" s="30"/>
      <c r="AY17" s="30"/>
      <c r="BA17" s="30"/>
      <c r="BB17" s="30"/>
      <c r="BC17" s="30"/>
      <c r="BD17" s="30"/>
      <c r="BE17" s="30"/>
      <c r="BF17" s="30"/>
      <c r="BG17" s="30"/>
      <c r="BH17" s="85"/>
      <c r="BI17" s="85"/>
      <c r="BJ17" s="70"/>
      <c r="BL17" s="81"/>
      <c r="BM17" s="30"/>
      <c r="BN17" s="30"/>
      <c r="BP17" s="30"/>
      <c r="BQ17" s="30"/>
      <c r="BR17" s="30"/>
      <c r="BS17" s="30"/>
      <c r="BT17" s="30"/>
      <c r="BU17" s="30"/>
      <c r="BV17" s="30"/>
      <c r="BW17" s="85"/>
      <c r="BX17" s="85"/>
      <c r="BY17" s="70"/>
      <c r="CA17" s="81"/>
      <c r="CB17" s="30"/>
      <c r="CC17" s="30"/>
      <c r="CE17" s="30"/>
      <c r="CF17" s="30"/>
      <c r="CG17" s="30"/>
      <c r="CH17" s="30"/>
      <c r="CI17" s="30"/>
      <c r="CJ17" s="30"/>
      <c r="CK17" s="30"/>
      <c r="CL17" s="85"/>
      <c r="CM17" s="85"/>
      <c r="CN17" s="70"/>
      <c r="CP17" s="81"/>
      <c r="CQ17" s="30"/>
      <c r="CR17" s="30"/>
      <c r="CT17" s="30"/>
      <c r="CU17" s="30"/>
      <c r="CV17" s="30"/>
      <c r="CW17" s="30"/>
      <c r="CX17" s="30"/>
      <c r="CY17" s="30"/>
      <c r="CZ17" s="30"/>
      <c r="DA17" s="85"/>
      <c r="DB17" s="85"/>
      <c r="DC17" s="70"/>
      <c r="DE17" s="81"/>
      <c r="DF17" s="30"/>
      <c r="DG17" s="30"/>
      <c r="DI17" s="30"/>
      <c r="DJ17" s="30"/>
      <c r="DK17" s="30"/>
      <c r="DL17" s="30"/>
      <c r="DM17" s="30"/>
      <c r="DN17" s="30"/>
      <c r="DO17" s="30"/>
      <c r="DP17" s="85"/>
      <c r="DQ17" s="85"/>
      <c r="DR17" s="70"/>
      <c r="DT17" s="81"/>
      <c r="DU17" s="30"/>
      <c r="DV17" s="30"/>
      <c r="DX17" s="30"/>
      <c r="DY17" s="30"/>
      <c r="DZ17" s="30"/>
      <c r="EA17" s="30"/>
      <c r="EB17" s="30"/>
      <c r="EC17" s="30"/>
      <c r="ED17" s="30"/>
      <c r="EE17" s="85"/>
      <c r="EF17" s="85"/>
      <c r="EG17" s="70"/>
      <c r="EI17" s="81"/>
      <c r="EJ17" s="30"/>
      <c r="EK17" s="30"/>
      <c r="EM17" s="30"/>
      <c r="EN17" s="30"/>
      <c r="EO17" s="30"/>
      <c r="EP17" s="30"/>
      <c r="EQ17" s="30"/>
      <c r="ER17" s="30"/>
      <c r="ES17" s="30"/>
      <c r="ET17" s="85"/>
      <c r="EU17" s="85"/>
      <c r="EV17" s="70"/>
    </row>
    <row r="18" spans="2:152">
      <c r="B18" s="11">
        <f t="shared" si="0"/>
        <v>0.17</v>
      </c>
      <c r="C18" s="28">
        <v>0.48</v>
      </c>
      <c r="D18" s="16"/>
      <c r="E18" s="8"/>
      <c r="F18" s="27">
        <f t="shared" si="1"/>
        <v>-0.3361838588989845</v>
      </c>
      <c r="G18" s="27">
        <f t="shared" si="2"/>
        <v>-1247.0889999999997</v>
      </c>
      <c r="H18" s="27">
        <f t="shared" si="3"/>
        <v>-250.83455744022081</v>
      </c>
      <c r="I18" s="27">
        <f t="shared" si="4"/>
        <v>4.9717591257225688</v>
      </c>
      <c r="J18" s="27">
        <f t="shared" si="5"/>
        <v>-0.59795461808884631</v>
      </c>
      <c r="K18" s="27">
        <f t="shared" si="6"/>
        <v>0.38328213885558288</v>
      </c>
      <c r="L18" s="27">
        <f t="shared" si="7"/>
        <v>0.20733059041145821</v>
      </c>
      <c r="M18" s="17">
        <f t="shared" si="8"/>
        <v>0.13126187907160172</v>
      </c>
      <c r="N18" s="17">
        <f t="shared" si="9"/>
        <v>0.13126187907160172</v>
      </c>
      <c r="O18" s="57">
        <f t="shared" si="10"/>
        <v>0.13126187907160172</v>
      </c>
      <c r="P18" s="17">
        <f t="shared" si="11"/>
        <v>0.13126187907160172</v>
      </c>
      <c r="Q18" s="17">
        <f t="shared" si="12"/>
        <v>0</v>
      </c>
      <c r="S18" s="81"/>
      <c r="T18" s="30"/>
      <c r="U18" s="30"/>
      <c r="W18" s="30"/>
      <c r="X18" s="30"/>
      <c r="Y18" s="30"/>
      <c r="Z18" s="30"/>
      <c r="AA18" s="30"/>
      <c r="AB18" s="30"/>
      <c r="AC18" s="30"/>
      <c r="AD18" s="85"/>
      <c r="AE18" s="85"/>
      <c r="AF18" s="70"/>
      <c r="AH18" s="81"/>
      <c r="AI18" s="30"/>
      <c r="AJ18" s="30"/>
      <c r="AL18" s="30"/>
      <c r="AM18" s="30"/>
      <c r="AN18" s="30"/>
      <c r="AO18" s="30"/>
      <c r="AP18" s="30"/>
      <c r="AQ18" s="30"/>
      <c r="AR18" s="30"/>
      <c r="AS18" s="85"/>
      <c r="AT18" s="85"/>
      <c r="AU18" s="70"/>
      <c r="AW18" s="81"/>
      <c r="AX18" s="30"/>
      <c r="AY18" s="30"/>
      <c r="BA18" s="30"/>
      <c r="BB18" s="30"/>
      <c r="BC18" s="30"/>
      <c r="BD18" s="30"/>
      <c r="BE18" s="30"/>
      <c r="BF18" s="30"/>
      <c r="BG18" s="30"/>
      <c r="BH18" s="85"/>
      <c r="BI18" s="85"/>
      <c r="BJ18" s="70"/>
      <c r="BL18" s="81"/>
      <c r="BM18" s="30"/>
      <c r="BN18" s="30"/>
      <c r="BP18" s="30"/>
      <c r="BQ18" s="30"/>
      <c r="BR18" s="30"/>
      <c r="BS18" s="30"/>
      <c r="BT18" s="30"/>
      <c r="BU18" s="30"/>
      <c r="BV18" s="30"/>
      <c r="BW18" s="85"/>
      <c r="BX18" s="85"/>
      <c r="BY18" s="70"/>
      <c r="CA18" s="81"/>
      <c r="CB18" s="30"/>
      <c r="CC18" s="30"/>
      <c r="CE18" s="30"/>
      <c r="CF18" s="30"/>
      <c r="CG18" s="30"/>
      <c r="CH18" s="30"/>
      <c r="CI18" s="30"/>
      <c r="CJ18" s="30"/>
      <c r="CK18" s="30"/>
      <c r="CL18" s="85"/>
      <c r="CM18" s="85"/>
      <c r="CN18" s="70"/>
      <c r="CP18" s="81"/>
      <c r="CQ18" s="30"/>
      <c r="CR18" s="30"/>
      <c r="CT18" s="30"/>
      <c r="CU18" s="30"/>
      <c r="CV18" s="30"/>
      <c r="CW18" s="30"/>
      <c r="CX18" s="30"/>
      <c r="CY18" s="30"/>
      <c r="CZ18" s="30"/>
      <c r="DA18" s="85"/>
      <c r="DB18" s="85"/>
      <c r="DC18" s="70"/>
      <c r="DE18" s="81"/>
      <c r="DF18" s="30"/>
      <c r="DG18" s="30"/>
      <c r="DI18" s="30"/>
      <c r="DJ18" s="30"/>
      <c r="DK18" s="30"/>
      <c r="DL18" s="30"/>
      <c r="DM18" s="30"/>
      <c r="DN18" s="30"/>
      <c r="DO18" s="30"/>
      <c r="DP18" s="85"/>
      <c r="DQ18" s="85"/>
      <c r="DR18" s="70"/>
      <c r="DT18" s="81"/>
      <c r="DU18" s="30"/>
      <c r="DV18" s="30"/>
      <c r="DX18" s="30"/>
      <c r="DY18" s="30"/>
      <c r="DZ18" s="30"/>
      <c r="EA18" s="30"/>
      <c r="EB18" s="30"/>
      <c r="EC18" s="30"/>
      <c r="ED18" s="30"/>
      <c r="EE18" s="85"/>
      <c r="EF18" s="85"/>
      <c r="EG18" s="70"/>
      <c r="EI18" s="81"/>
      <c r="EJ18" s="30"/>
      <c r="EK18" s="30"/>
      <c r="EM18" s="30"/>
      <c r="EN18" s="30"/>
      <c r="EO18" s="30"/>
      <c r="EP18" s="30"/>
      <c r="EQ18" s="30"/>
      <c r="ER18" s="30"/>
      <c r="ES18" s="30"/>
      <c r="ET18" s="85"/>
      <c r="EU18" s="85"/>
      <c r="EV18" s="70"/>
    </row>
    <row r="19" spans="2:152">
      <c r="B19" s="11">
        <f t="shared" si="0"/>
        <v>0.17</v>
      </c>
      <c r="C19" s="28">
        <v>0.54</v>
      </c>
      <c r="D19" s="16"/>
      <c r="E19" s="8"/>
      <c r="F19" s="27">
        <f t="shared" si="1"/>
        <v>-0.35464643727987</v>
      </c>
      <c r="G19" s="27">
        <f t="shared" si="2"/>
        <v>-1247.0889999999999</v>
      </c>
      <c r="H19" s="27">
        <f t="shared" si="3"/>
        <v>-242.71551356509318</v>
      </c>
      <c r="I19" s="27">
        <f t="shared" si="4"/>
        <v>5.1380687689975231</v>
      </c>
      <c r="J19" s="27">
        <f t="shared" si="5"/>
        <v>-0.58503724837533677</v>
      </c>
      <c r="K19" s="27">
        <f t="shared" si="6"/>
        <v>0.38384472347688131</v>
      </c>
      <c r="L19" s="27">
        <f t="shared" si="7"/>
        <v>0.21851727363011714</v>
      </c>
      <c r="M19" s="17">
        <f t="shared" si="8"/>
        <v>0.13179575526445172</v>
      </c>
      <c r="N19" s="17">
        <f t="shared" si="9"/>
        <v>0.13179575526445172</v>
      </c>
      <c r="O19" s="57">
        <f t="shared" si="10"/>
        <v>0.13179575526445172</v>
      </c>
      <c r="P19" s="17">
        <f t="shared" si="11"/>
        <v>0.13179575526445172</v>
      </c>
      <c r="Q19" s="17">
        <f t="shared" si="12"/>
        <v>0</v>
      </c>
      <c r="S19" s="81"/>
      <c r="T19" s="30"/>
      <c r="U19" s="30"/>
      <c r="W19" s="30"/>
      <c r="X19" s="30"/>
      <c r="Y19" s="30"/>
      <c r="Z19" s="30"/>
      <c r="AA19" s="30"/>
      <c r="AB19" s="30"/>
      <c r="AC19" s="30"/>
      <c r="AD19" s="85"/>
      <c r="AE19" s="85"/>
      <c r="AF19" s="70"/>
      <c r="AH19" s="81"/>
      <c r="AI19" s="30"/>
      <c r="AJ19" s="30"/>
      <c r="AL19" s="30"/>
      <c r="AM19" s="30"/>
      <c r="AN19" s="30"/>
      <c r="AO19" s="30"/>
      <c r="AP19" s="30"/>
      <c r="AQ19" s="30"/>
      <c r="AR19" s="30"/>
      <c r="AS19" s="85"/>
      <c r="AT19" s="85"/>
      <c r="AU19" s="70"/>
      <c r="AW19" s="81"/>
      <c r="AX19" s="30"/>
      <c r="AY19" s="30"/>
      <c r="BA19" s="30"/>
      <c r="BB19" s="30"/>
      <c r="BC19" s="30"/>
      <c r="BD19" s="30"/>
      <c r="BE19" s="30"/>
      <c r="BF19" s="30"/>
      <c r="BG19" s="30"/>
      <c r="BH19" s="85"/>
      <c r="BI19" s="85"/>
      <c r="BJ19" s="70"/>
      <c r="BL19" s="81"/>
      <c r="BM19" s="30"/>
      <c r="BN19" s="30"/>
      <c r="BP19" s="30"/>
      <c r="BQ19" s="30"/>
      <c r="BR19" s="30"/>
      <c r="BS19" s="30"/>
      <c r="BT19" s="30"/>
      <c r="BU19" s="30"/>
      <c r="BV19" s="30"/>
      <c r="BW19" s="85"/>
      <c r="BX19" s="85"/>
      <c r="BY19" s="70"/>
      <c r="CA19" s="81"/>
      <c r="CB19" s="30"/>
      <c r="CC19" s="30"/>
      <c r="CE19" s="30"/>
      <c r="CF19" s="30"/>
      <c r="CG19" s="30"/>
      <c r="CH19" s="30"/>
      <c r="CI19" s="30"/>
      <c r="CJ19" s="30"/>
      <c r="CK19" s="30"/>
      <c r="CL19" s="85"/>
      <c r="CM19" s="85"/>
      <c r="CN19" s="70"/>
      <c r="CP19" s="81"/>
      <c r="CQ19" s="30"/>
      <c r="CR19" s="30"/>
      <c r="CT19" s="30"/>
      <c r="CU19" s="30"/>
      <c r="CV19" s="30"/>
      <c r="CW19" s="30"/>
      <c r="CX19" s="30"/>
      <c r="CY19" s="30"/>
      <c r="CZ19" s="30"/>
      <c r="DA19" s="85"/>
      <c r="DB19" s="85"/>
      <c r="DC19" s="70"/>
      <c r="DE19" s="81"/>
      <c r="DF19" s="30"/>
      <c r="DG19" s="30"/>
      <c r="DI19" s="30"/>
      <c r="DJ19" s="30"/>
      <c r="DK19" s="30"/>
      <c r="DL19" s="30"/>
      <c r="DM19" s="30"/>
      <c r="DN19" s="30"/>
      <c r="DO19" s="30"/>
      <c r="DP19" s="85"/>
      <c r="DQ19" s="85"/>
      <c r="DR19" s="70"/>
      <c r="DT19" s="81"/>
      <c r="DU19" s="30"/>
      <c r="DV19" s="30"/>
      <c r="DX19" s="30"/>
      <c r="DY19" s="30"/>
      <c r="DZ19" s="30"/>
      <c r="EA19" s="30"/>
      <c r="EB19" s="30"/>
      <c r="EC19" s="30"/>
      <c r="ED19" s="30"/>
      <c r="EE19" s="85"/>
      <c r="EF19" s="85"/>
      <c r="EG19" s="70"/>
      <c r="EI19" s="81"/>
      <c r="EJ19" s="30"/>
      <c r="EK19" s="30"/>
      <c r="EM19" s="30"/>
      <c r="EN19" s="30"/>
      <c r="EO19" s="30"/>
      <c r="EP19" s="30"/>
      <c r="EQ19" s="30"/>
      <c r="ER19" s="30"/>
      <c r="ES19" s="30"/>
      <c r="ET19" s="85"/>
      <c r="EU19" s="85"/>
      <c r="EV19" s="70"/>
    </row>
    <row r="20" spans="2:152">
      <c r="B20" s="11">
        <f t="shared" si="0"/>
        <v>0.17</v>
      </c>
      <c r="C20" s="28">
        <v>0.6</v>
      </c>
      <c r="D20" s="16"/>
      <c r="E20" s="8"/>
      <c r="F20" s="27">
        <f t="shared" si="1"/>
        <v>-0.37362637362637369</v>
      </c>
      <c r="G20" s="27">
        <f t="shared" si="2"/>
        <v>-1247.0890000000002</v>
      </c>
      <c r="H20" s="27">
        <f t="shared" si="3"/>
        <v>-234.59646968996563</v>
      </c>
      <c r="I20" s="27">
        <f t="shared" si="4"/>
        <v>5.3158898837996524</v>
      </c>
      <c r="J20" s="27">
        <f t="shared" si="5"/>
        <v>-0.57232704402515711</v>
      </c>
      <c r="K20" s="27">
        <f t="shared" si="6"/>
        <v>0.38435562946986662</v>
      </c>
      <c r="L20" s="27">
        <f t="shared" si="7"/>
        <v>0.23002097360466522</v>
      </c>
      <c r="M20" s="17">
        <f t="shared" si="8"/>
        <v>0.13234712780602009</v>
      </c>
      <c r="N20" s="17">
        <f t="shared" si="9"/>
        <v>0.13234712780602009</v>
      </c>
      <c r="O20" s="57">
        <f t="shared" si="10"/>
        <v>0.13234712780602009</v>
      </c>
      <c r="P20" s="17">
        <f t="shared" si="11"/>
        <v>0.13234712780602009</v>
      </c>
      <c r="Q20" s="17">
        <f t="shared" si="12"/>
        <v>0</v>
      </c>
      <c r="S20" s="81"/>
      <c r="T20" s="30"/>
      <c r="U20" s="30"/>
      <c r="W20" s="30"/>
      <c r="X20" s="30"/>
      <c r="Y20" s="30"/>
      <c r="Z20" s="30"/>
      <c r="AA20" s="30"/>
      <c r="AB20" s="30"/>
      <c r="AC20" s="30"/>
      <c r="AD20" s="85"/>
      <c r="AE20" s="85"/>
      <c r="AF20" s="70"/>
      <c r="AH20" s="81"/>
      <c r="AI20" s="30"/>
      <c r="AJ20" s="30"/>
      <c r="AL20" s="30"/>
      <c r="AM20" s="30"/>
      <c r="AN20" s="30"/>
      <c r="AO20" s="30"/>
      <c r="AP20" s="30"/>
      <c r="AQ20" s="30"/>
      <c r="AR20" s="30"/>
      <c r="AS20" s="85"/>
      <c r="AT20" s="85"/>
      <c r="AU20" s="70"/>
      <c r="AW20" s="81"/>
      <c r="AX20" s="30"/>
      <c r="AY20" s="30"/>
      <c r="BA20" s="30"/>
      <c r="BB20" s="30"/>
      <c r="BC20" s="30"/>
      <c r="BD20" s="30"/>
      <c r="BE20" s="30"/>
      <c r="BF20" s="30"/>
      <c r="BG20" s="30"/>
      <c r="BH20" s="85"/>
      <c r="BI20" s="85"/>
      <c r="BJ20" s="70"/>
      <c r="BL20" s="81"/>
      <c r="BM20" s="30"/>
      <c r="BN20" s="30"/>
      <c r="BP20" s="30"/>
      <c r="BQ20" s="30"/>
      <c r="BR20" s="30"/>
      <c r="BS20" s="30"/>
      <c r="BT20" s="30"/>
      <c r="BU20" s="30"/>
      <c r="BV20" s="30"/>
      <c r="BW20" s="85"/>
      <c r="BX20" s="85"/>
      <c r="BY20" s="70"/>
      <c r="CA20" s="81"/>
      <c r="CB20" s="30"/>
      <c r="CC20" s="30"/>
      <c r="CE20" s="30"/>
      <c r="CF20" s="30"/>
      <c r="CG20" s="30"/>
      <c r="CH20" s="30"/>
      <c r="CI20" s="30"/>
      <c r="CJ20" s="30"/>
      <c r="CK20" s="30"/>
      <c r="CL20" s="85"/>
      <c r="CM20" s="85"/>
      <c r="CN20" s="70"/>
      <c r="CP20" s="81"/>
      <c r="CQ20" s="30"/>
      <c r="CR20" s="30"/>
      <c r="CT20" s="30"/>
      <c r="CU20" s="30"/>
      <c r="CV20" s="30"/>
      <c r="CW20" s="30"/>
      <c r="CX20" s="30"/>
      <c r="CY20" s="30"/>
      <c r="CZ20" s="30"/>
      <c r="DA20" s="85"/>
      <c r="DB20" s="85"/>
      <c r="DC20" s="70"/>
      <c r="DE20" s="81"/>
      <c r="DF20" s="30"/>
      <c r="DG20" s="30"/>
      <c r="DI20" s="30"/>
      <c r="DJ20" s="30"/>
      <c r="DK20" s="30"/>
      <c r="DL20" s="30"/>
      <c r="DM20" s="30"/>
      <c r="DN20" s="30"/>
      <c r="DO20" s="30"/>
      <c r="DP20" s="85"/>
      <c r="DQ20" s="85"/>
      <c r="DR20" s="70"/>
      <c r="DT20" s="81"/>
      <c r="DU20" s="30"/>
      <c r="DV20" s="30"/>
      <c r="DX20" s="30"/>
      <c r="DY20" s="30"/>
      <c r="DZ20" s="30"/>
      <c r="EA20" s="30"/>
      <c r="EB20" s="30"/>
      <c r="EC20" s="30"/>
      <c r="ED20" s="30"/>
      <c r="EE20" s="85"/>
      <c r="EF20" s="85"/>
      <c r="EG20" s="70"/>
      <c r="EI20" s="81"/>
      <c r="EJ20" s="30"/>
      <c r="EK20" s="30"/>
      <c r="EM20" s="30"/>
      <c r="EN20" s="30"/>
      <c r="EO20" s="30"/>
      <c r="EP20" s="30"/>
      <c r="EQ20" s="30"/>
      <c r="ER20" s="30"/>
      <c r="ES20" s="30"/>
      <c r="ET20" s="85"/>
      <c r="EU20" s="85"/>
      <c r="EV20" s="70"/>
    </row>
    <row r="21" spans="2:152">
      <c r="B21" s="11">
        <f t="shared" si="0"/>
        <v>0.17</v>
      </c>
      <c r="C21" s="28">
        <v>0.66</v>
      </c>
      <c r="D21" s="16"/>
      <c r="E21" s="8"/>
      <c r="F21" s="27">
        <f t="shared" si="1"/>
        <v>-0.39314572304263035</v>
      </c>
      <c r="G21" s="27">
        <f t="shared" si="2"/>
        <v>-1247.0889999999999</v>
      </c>
      <c r="H21" s="27">
        <f t="shared" si="3"/>
        <v>-226.47742581483794</v>
      </c>
      <c r="I21" s="27">
        <f t="shared" si="4"/>
        <v>5.5064605026886317</v>
      </c>
      <c r="J21" s="27">
        <f t="shared" si="5"/>
        <v>-0.55981906098892531</v>
      </c>
      <c r="K21" s="27">
        <f t="shared" si="6"/>
        <v>0.38480919135804464</v>
      </c>
      <c r="L21" s="27">
        <f t="shared" si="7"/>
        <v>0.24185963527272197</v>
      </c>
      <c r="M21" s="17">
        <f t="shared" si="8"/>
        <v>0.1329171239590631</v>
      </c>
      <c r="N21" s="17">
        <f t="shared" si="9"/>
        <v>0.1329171239590631</v>
      </c>
      <c r="O21" s="57">
        <f t="shared" si="10"/>
        <v>0.1329171239590631</v>
      </c>
      <c r="P21" s="17">
        <f t="shared" si="11"/>
        <v>0.1329171239590631</v>
      </c>
      <c r="Q21" s="17">
        <f t="shared" si="12"/>
        <v>0</v>
      </c>
      <c r="S21" s="81"/>
      <c r="T21" s="30"/>
      <c r="U21" s="30"/>
      <c r="W21" s="30"/>
      <c r="X21" s="30"/>
      <c r="Y21" s="30"/>
      <c r="Z21" s="30"/>
      <c r="AA21" s="30"/>
      <c r="AB21" s="30"/>
      <c r="AC21" s="30"/>
      <c r="AD21" s="85"/>
      <c r="AE21" s="85"/>
      <c r="AF21" s="70"/>
      <c r="AH21" s="81"/>
      <c r="AI21" s="30"/>
      <c r="AJ21" s="30"/>
      <c r="AL21" s="30"/>
      <c r="AM21" s="30"/>
      <c r="AN21" s="30"/>
      <c r="AO21" s="30"/>
      <c r="AP21" s="30"/>
      <c r="AQ21" s="30"/>
      <c r="AR21" s="30"/>
      <c r="AS21" s="85"/>
      <c r="AT21" s="85"/>
      <c r="AU21" s="70"/>
      <c r="AW21" s="81"/>
      <c r="AX21" s="30"/>
      <c r="AY21" s="30"/>
      <c r="BA21" s="30"/>
      <c r="BB21" s="30"/>
      <c r="BC21" s="30"/>
      <c r="BD21" s="30"/>
      <c r="BE21" s="30"/>
      <c r="BF21" s="30"/>
      <c r="BG21" s="30"/>
      <c r="BH21" s="85"/>
      <c r="BI21" s="85"/>
      <c r="BJ21" s="70"/>
      <c r="BL21" s="81"/>
      <c r="BM21" s="30"/>
      <c r="BN21" s="30"/>
      <c r="BP21" s="30"/>
      <c r="BQ21" s="30"/>
      <c r="BR21" s="30"/>
      <c r="BS21" s="30"/>
      <c r="BT21" s="30"/>
      <c r="BU21" s="30"/>
      <c r="BV21" s="30"/>
      <c r="BW21" s="85"/>
      <c r="BX21" s="85"/>
      <c r="BY21" s="70"/>
      <c r="CA21" s="81"/>
      <c r="CB21" s="30"/>
      <c r="CC21" s="30"/>
      <c r="CE21" s="30"/>
      <c r="CF21" s="30"/>
      <c r="CG21" s="30"/>
      <c r="CH21" s="30"/>
      <c r="CI21" s="30"/>
      <c r="CJ21" s="30"/>
      <c r="CK21" s="30"/>
      <c r="CL21" s="85"/>
      <c r="CM21" s="85"/>
      <c r="CN21" s="70"/>
      <c r="CP21" s="81"/>
      <c r="CQ21" s="30"/>
      <c r="CR21" s="30"/>
      <c r="CT21" s="30"/>
      <c r="CU21" s="30"/>
      <c r="CV21" s="30"/>
      <c r="CW21" s="30"/>
      <c r="CX21" s="30"/>
      <c r="CY21" s="30"/>
      <c r="CZ21" s="30"/>
      <c r="DA21" s="85"/>
      <c r="DB21" s="85"/>
      <c r="DC21" s="70"/>
      <c r="DE21" s="81"/>
      <c r="DF21" s="30"/>
      <c r="DG21" s="30"/>
      <c r="DI21" s="30"/>
      <c r="DJ21" s="30"/>
      <c r="DK21" s="30"/>
      <c r="DL21" s="30"/>
      <c r="DM21" s="30"/>
      <c r="DN21" s="30"/>
      <c r="DO21" s="30"/>
      <c r="DP21" s="85"/>
      <c r="DQ21" s="85"/>
      <c r="DR21" s="70"/>
      <c r="DT21" s="81"/>
      <c r="DU21" s="30"/>
      <c r="DV21" s="30"/>
      <c r="DX21" s="30"/>
      <c r="DY21" s="30"/>
      <c r="DZ21" s="30"/>
      <c r="EA21" s="30"/>
      <c r="EB21" s="30"/>
      <c r="EC21" s="30"/>
      <c r="ED21" s="30"/>
      <c r="EE21" s="85"/>
      <c r="EF21" s="85"/>
      <c r="EG21" s="70"/>
      <c r="EI21" s="81"/>
      <c r="EJ21" s="30"/>
      <c r="EK21" s="30"/>
      <c r="EM21" s="30"/>
      <c r="EN21" s="30"/>
      <c r="EO21" s="30"/>
      <c r="EP21" s="30"/>
      <c r="EQ21" s="30"/>
      <c r="ER21" s="30"/>
      <c r="ES21" s="30"/>
      <c r="ET21" s="85"/>
      <c r="EU21" s="85"/>
      <c r="EV21" s="70"/>
    </row>
    <row r="22" spans="2:152">
      <c r="B22" s="11">
        <f t="shared" si="0"/>
        <v>0.17</v>
      </c>
      <c r="C22" s="28">
        <v>0.72</v>
      </c>
      <c r="D22" s="16"/>
      <c r="E22" s="8"/>
      <c r="F22" s="27">
        <f t="shared" si="1"/>
        <v>-0.41322781232334649</v>
      </c>
      <c r="G22" s="27">
        <f t="shared" si="2"/>
        <v>-1247.0889999999997</v>
      </c>
      <c r="H22" s="27">
        <f t="shared" si="3"/>
        <v>-218.35838193971023</v>
      </c>
      <c r="I22" s="27">
        <f t="shared" si="4"/>
        <v>5.7112027892949255</v>
      </c>
      <c r="J22" s="27">
        <f t="shared" si="5"/>
        <v>-0.54750851129681222</v>
      </c>
      <c r="K22" s="27">
        <f t="shared" si="6"/>
        <v>0.3851990511238591</v>
      </c>
      <c r="L22" s="27">
        <f t="shared" si="7"/>
        <v>0.25405285111840531</v>
      </c>
      <c r="M22" s="17">
        <f t="shared" si="8"/>
        <v>0.13350698457239638</v>
      </c>
      <c r="N22" s="17">
        <f t="shared" si="9"/>
        <v>0.13350698457239638</v>
      </c>
      <c r="O22" s="57">
        <f t="shared" si="10"/>
        <v>0.13350698457239638</v>
      </c>
      <c r="P22" s="17">
        <f t="shared" si="11"/>
        <v>0.13350698457239638</v>
      </c>
      <c r="Q22" s="17">
        <f t="shared" si="12"/>
        <v>0</v>
      </c>
      <c r="S22" s="81"/>
      <c r="T22" s="30"/>
      <c r="U22" s="30"/>
      <c r="W22" s="30"/>
      <c r="X22" s="30"/>
      <c r="Y22" s="30"/>
      <c r="Z22" s="30"/>
      <c r="AA22" s="30"/>
      <c r="AB22" s="30"/>
      <c r="AC22" s="30"/>
      <c r="AD22" s="85"/>
      <c r="AE22" s="85"/>
      <c r="AF22" s="70"/>
      <c r="AH22" s="81"/>
      <c r="AI22" s="30"/>
      <c r="AJ22" s="30"/>
      <c r="AL22" s="30"/>
      <c r="AM22" s="30"/>
      <c r="AN22" s="30"/>
      <c r="AO22" s="30"/>
      <c r="AP22" s="30"/>
      <c r="AQ22" s="30"/>
      <c r="AR22" s="30"/>
      <c r="AS22" s="85"/>
      <c r="AT22" s="85"/>
      <c r="AU22" s="70"/>
      <c r="AW22" s="81"/>
      <c r="AX22" s="30"/>
      <c r="AY22" s="30"/>
      <c r="BA22" s="30"/>
      <c r="BB22" s="30"/>
      <c r="BC22" s="30"/>
      <c r="BD22" s="30"/>
      <c r="BE22" s="30"/>
      <c r="BF22" s="30"/>
      <c r="BG22" s="30"/>
      <c r="BH22" s="85"/>
      <c r="BI22" s="85"/>
      <c r="BJ22" s="70"/>
      <c r="BL22" s="81"/>
      <c r="BM22" s="30"/>
      <c r="BN22" s="30"/>
      <c r="BP22" s="30"/>
      <c r="BQ22" s="30"/>
      <c r="BR22" s="30"/>
      <c r="BS22" s="30"/>
      <c r="BT22" s="30"/>
      <c r="BU22" s="30"/>
      <c r="BV22" s="30"/>
      <c r="BW22" s="85"/>
      <c r="BX22" s="85"/>
      <c r="BY22" s="70"/>
      <c r="CA22" s="81"/>
      <c r="CB22" s="30"/>
      <c r="CC22" s="30"/>
      <c r="CE22" s="30"/>
      <c r="CF22" s="30"/>
      <c r="CG22" s="30"/>
      <c r="CH22" s="30"/>
      <c r="CI22" s="30"/>
      <c r="CJ22" s="30"/>
      <c r="CK22" s="30"/>
      <c r="CL22" s="85"/>
      <c r="CM22" s="85"/>
      <c r="CN22" s="70"/>
      <c r="CP22" s="81"/>
      <c r="CQ22" s="30"/>
      <c r="CR22" s="30"/>
      <c r="CT22" s="30"/>
      <c r="CU22" s="30"/>
      <c r="CV22" s="30"/>
      <c r="CW22" s="30"/>
      <c r="CX22" s="30"/>
      <c r="CY22" s="30"/>
      <c r="CZ22" s="30"/>
      <c r="DA22" s="85"/>
      <c r="DB22" s="85"/>
      <c r="DC22" s="70"/>
      <c r="DE22" s="81"/>
      <c r="DF22" s="30"/>
      <c r="DG22" s="30"/>
      <c r="DI22" s="30"/>
      <c r="DJ22" s="30"/>
      <c r="DK22" s="30"/>
      <c r="DL22" s="30"/>
      <c r="DM22" s="30"/>
      <c r="DN22" s="30"/>
      <c r="DO22" s="30"/>
      <c r="DP22" s="85"/>
      <c r="DQ22" s="85"/>
      <c r="DR22" s="70"/>
      <c r="DT22" s="81"/>
      <c r="DU22" s="30"/>
      <c r="DV22" s="30"/>
      <c r="DX22" s="30"/>
      <c r="DY22" s="30"/>
      <c r="DZ22" s="30"/>
      <c r="EA22" s="30"/>
      <c r="EB22" s="30"/>
      <c r="EC22" s="30"/>
      <c r="ED22" s="30"/>
      <c r="EE22" s="85"/>
      <c r="EF22" s="85"/>
      <c r="EG22" s="70"/>
      <c r="EI22" s="81"/>
      <c r="EJ22" s="30"/>
      <c r="EK22" s="30"/>
      <c r="EM22" s="30"/>
      <c r="EN22" s="30"/>
      <c r="EO22" s="30"/>
      <c r="EP22" s="30"/>
      <c r="EQ22" s="30"/>
      <c r="ER22" s="30"/>
      <c r="ES22" s="30"/>
      <c r="ET22" s="85"/>
      <c r="EU22" s="85"/>
      <c r="EV22" s="70"/>
    </row>
    <row r="23" spans="2:152">
      <c r="B23" s="11">
        <f t="shared" si="0"/>
        <v>0.17</v>
      </c>
      <c r="C23" s="28">
        <v>0.78</v>
      </c>
      <c r="D23" s="16"/>
      <c r="E23" s="8"/>
      <c r="F23" s="27">
        <f t="shared" si="1"/>
        <v>-0.43389733295096072</v>
      </c>
      <c r="G23" s="27">
        <f t="shared" si="2"/>
        <v>-1247.0889999999999</v>
      </c>
      <c r="H23" s="27">
        <f t="shared" si="3"/>
        <v>-210.23933806458265</v>
      </c>
      <c r="I23" s="27">
        <f t="shared" si="4"/>
        <v>5.9317585922807234</v>
      </c>
      <c r="J23" s="27">
        <f t="shared" si="5"/>
        <v>-0.53539075694764315</v>
      </c>
      <c r="K23" s="27">
        <f t="shared" si="6"/>
        <v>0.38551805108039994</v>
      </c>
      <c r="L23" s="27">
        <f t="shared" si="7"/>
        <v>0.26662207878272293</v>
      </c>
      <c r="M23" s="17">
        <f t="shared" si="8"/>
        <v>0.13411808008803164</v>
      </c>
      <c r="N23" s="17">
        <f t="shared" si="9"/>
        <v>0.13411808008803164</v>
      </c>
      <c r="O23" s="57">
        <f t="shared" si="10"/>
        <v>0.13411808008803164</v>
      </c>
      <c r="P23" s="17">
        <f t="shared" si="11"/>
        <v>0.13411808008803164</v>
      </c>
      <c r="Q23" s="17">
        <f t="shared" si="12"/>
        <v>0</v>
      </c>
      <c r="S23" s="81"/>
      <c r="T23" s="30"/>
      <c r="U23" s="30"/>
      <c r="W23" s="30"/>
      <c r="X23" s="30"/>
      <c r="Y23" s="30"/>
      <c r="Z23" s="30"/>
      <c r="AA23" s="30"/>
      <c r="AB23" s="30"/>
      <c r="AC23" s="30"/>
      <c r="AD23" s="85"/>
      <c r="AE23" s="85"/>
      <c r="AF23" s="70"/>
      <c r="AH23" s="81"/>
      <c r="AI23" s="30"/>
      <c r="AJ23" s="30"/>
      <c r="AL23" s="30"/>
      <c r="AM23" s="30"/>
      <c r="AN23" s="30"/>
      <c r="AO23" s="30"/>
      <c r="AP23" s="30"/>
      <c r="AQ23" s="30"/>
      <c r="AR23" s="30"/>
      <c r="AS23" s="85"/>
      <c r="AT23" s="85"/>
      <c r="AU23" s="70"/>
      <c r="AW23" s="81"/>
      <c r="AX23" s="30"/>
      <c r="AY23" s="30"/>
      <c r="BA23" s="30"/>
      <c r="BB23" s="30"/>
      <c r="BC23" s="30"/>
      <c r="BD23" s="30"/>
      <c r="BE23" s="30"/>
      <c r="BF23" s="30"/>
      <c r="BG23" s="30"/>
      <c r="BH23" s="85"/>
      <c r="BI23" s="85"/>
      <c r="BJ23" s="70"/>
      <c r="BL23" s="81"/>
      <c r="BM23" s="30"/>
      <c r="BN23" s="30"/>
      <c r="BP23" s="30"/>
      <c r="BQ23" s="30"/>
      <c r="BR23" s="30"/>
      <c r="BS23" s="30"/>
      <c r="BT23" s="30"/>
      <c r="BU23" s="30"/>
      <c r="BV23" s="30"/>
      <c r="BW23" s="85"/>
      <c r="BX23" s="85"/>
      <c r="BY23" s="70"/>
      <c r="CA23" s="81"/>
      <c r="CB23" s="30"/>
      <c r="CC23" s="30"/>
      <c r="CE23" s="30"/>
      <c r="CF23" s="30"/>
      <c r="CG23" s="30"/>
      <c r="CH23" s="30"/>
      <c r="CI23" s="30"/>
      <c r="CJ23" s="30"/>
      <c r="CK23" s="30"/>
      <c r="CL23" s="85"/>
      <c r="CM23" s="85"/>
      <c r="CN23" s="70"/>
      <c r="CP23" s="81"/>
      <c r="CQ23" s="30"/>
      <c r="CR23" s="30"/>
      <c r="CT23" s="30"/>
      <c r="CU23" s="30"/>
      <c r="CV23" s="30"/>
      <c r="CW23" s="30"/>
      <c r="CX23" s="30"/>
      <c r="CY23" s="30"/>
      <c r="CZ23" s="30"/>
      <c r="DA23" s="85"/>
      <c r="DB23" s="85"/>
      <c r="DC23" s="70"/>
      <c r="DE23" s="81"/>
      <c r="DF23" s="30"/>
      <c r="DG23" s="30"/>
      <c r="DI23" s="30"/>
      <c r="DJ23" s="30"/>
      <c r="DK23" s="30"/>
      <c r="DL23" s="30"/>
      <c r="DM23" s="30"/>
      <c r="DN23" s="30"/>
      <c r="DO23" s="30"/>
      <c r="DP23" s="85"/>
      <c r="DQ23" s="85"/>
      <c r="DR23" s="70"/>
      <c r="DT23" s="81"/>
      <c r="DU23" s="30"/>
      <c r="DV23" s="30"/>
      <c r="DX23" s="30"/>
      <c r="DY23" s="30"/>
      <c r="DZ23" s="30"/>
      <c r="EA23" s="30"/>
      <c r="EB23" s="30"/>
      <c r="EC23" s="30"/>
      <c r="ED23" s="30"/>
      <c r="EE23" s="85"/>
      <c r="EF23" s="85"/>
      <c r="EG23" s="70"/>
      <c r="EI23" s="81"/>
      <c r="EJ23" s="30"/>
      <c r="EK23" s="30"/>
      <c r="EM23" s="30"/>
      <c r="EN23" s="30"/>
      <c r="EO23" s="30"/>
      <c r="EP23" s="30"/>
      <c r="EQ23" s="30"/>
      <c r="ER23" s="30"/>
      <c r="ES23" s="30"/>
      <c r="ET23" s="85"/>
      <c r="EU23" s="85"/>
      <c r="EV23" s="70"/>
    </row>
    <row r="24" spans="2:152">
      <c r="B24" s="11">
        <f t="shared" si="0"/>
        <v>0.17</v>
      </c>
      <c r="C24" s="28">
        <v>0.84</v>
      </c>
      <c r="D24" s="16"/>
      <c r="E24" s="8"/>
      <c r="F24" s="27">
        <f t="shared" si="1"/>
        <v>-0.4551804423748545</v>
      </c>
      <c r="G24" s="27">
        <f t="shared" si="2"/>
        <v>-1247.0890000000002</v>
      </c>
      <c r="H24" s="27">
        <f t="shared" si="3"/>
        <v>-202.12029418945505</v>
      </c>
      <c r="I24" s="27">
        <f t="shared" si="4"/>
        <v>6.1700335683810952</v>
      </c>
      <c r="J24" s="27">
        <f t="shared" si="5"/>
        <v>-0.52346130408287628</v>
      </c>
      <c r="K24" s="27">
        <f t="shared" si="6"/>
        <v>0.38575810588039566</v>
      </c>
      <c r="L24" s="27">
        <f t="shared" si="7"/>
        <v>0.27959089709053009</v>
      </c>
      <c r="M24" s="17">
        <f t="shared" si="8"/>
        <v>0.13475192950651552</v>
      </c>
      <c r="N24" s="17">
        <f t="shared" si="9"/>
        <v>0.13475192950651552</v>
      </c>
      <c r="O24" s="57">
        <f t="shared" si="10"/>
        <v>0.13475192950651552</v>
      </c>
      <c r="P24" s="17">
        <f t="shared" si="11"/>
        <v>0.13475192950651552</v>
      </c>
      <c r="Q24" s="17">
        <f t="shared" si="12"/>
        <v>0</v>
      </c>
      <c r="S24" s="81"/>
      <c r="T24" s="30"/>
      <c r="U24" s="30"/>
      <c r="W24" s="30"/>
      <c r="X24" s="30"/>
      <c r="Y24" s="30"/>
      <c r="Z24" s="30"/>
      <c r="AA24" s="30"/>
      <c r="AB24" s="30"/>
      <c r="AC24" s="30"/>
      <c r="AD24" s="85"/>
      <c r="AE24" s="85"/>
      <c r="AF24" s="70"/>
      <c r="AH24" s="81"/>
      <c r="AI24" s="30"/>
      <c r="AJ24" s="30"/>
      <c r="AL24" s="30"/>
      <c r="AM24" s="30"/>
      <c r="AN24" s="30"/>
      <c r="AO24" s="30"/>
      <c r="AP24" s="30"/>
      <c r="AQ24" s="30"/>
      <c r="AR24" s="30"/>
      <c r="AS24" s="85"/>
      <c r="AT24" s="85"/>
      <c r="AU24" s="70"/>
      <c r="AW24" s="81"/>
      <c r="AX24" s="30"/>
      <c r="AY24" s="30"/>
      <c r="BA24" s="30"/>
      <c r="BB24" s="30"/>
      <c r="BC24" s="30"/>
      <c r="BD24" s="30"/>
      <c r="BE24" s="30"/>
      <c r="BF24" s="30"/>
      <c r="BG24" s="30"/>
      <c r="BH24" s="85"/>
      <c r="BI24" s="85"/>
      <c r="BJ24" s="70"/>
      <c r="BL24" s="81"/>
      <c r="BM24" s="30"/>
      <c r="BN24" s="30"/>
      <c r="BP24" s="30"/>
      <c r="BQ24" s="30"/>
      <c r="BR24" s="30"/>
      <c r="BS24" s="30"/>
      <c r="BT24" s="30"/>
      <c r="BU24" s="30"/>
      <c r="BV24" s="30"/>
      <c r="BW24" s="85"/>
      <c r="BX24" s="85"/>
      <c r="BY24" s="70"/>
      <c r="CA24" s="81"/>
      <c r="CB24" s="30"/>
      <c r="CC24" s="30"/>
      <c r="CE24" s="30"/>
      <c r="CF24" s="30"/>
      <c r="CG24" s="30"/>
      <c r="CH24" s="30"/>
      <c r="CI24" s="30"/>
      <c r="CJ24" s="30"/>
      <c r="CK24" s="30"/>
      <c r="CL24" s="85"/>
      <c r="CM24" s="85"/>
      <c r="CN24" s="70"/>
      <c r="CP24" s="81"/>
      <c r="CQ24" s="30"/>
      <c r="CR24" s="30"/>
      <c r="CT24" s="30"/>
      <c r="CU24" s="30"/>
      <c r="CV24" s="30"/>
      <c r="CW24" s="30"/>
      <c r="CX24" s="30"/>
      <c r="CY24" s="30"/>
      <c r="CZ24" s="30"/>
      <c r="DA24" s="85"/>
      <c r="DB24" s="85"/>
      <c r="DC24" s="70"/>
      <c r="DE24" s="81"/>
      <c r="DF24" s="30"/>
      <c r="DG24" s="30"/>
      <c r="DI24" s="30"/>
      <c r="DJ24" s="30"/>
      <c r="DK24" s="30"/>
      <c r="DL24" s="30"/>
      <c r="DM24" s="30"/>
      <c r="DN24" s="30"/>
      <c r="DO24" s="30"/>
      <c r="DP24" s="85"/>
      <c r="DQ24" s="85"/>
      <c r="DR24" s="70"/>
      <c r="DT24" s="81"/>
      <c r="DU24" s="30"/>
      <c r="DV24" s="30"/>
      <c r="DX24" s="30"/>
      <c r="DY24" s="30"/>
      <c r="DZ24" s="30"/>
      <c r="EA24" s="30"/>
      <c r="EB24" s="30"/>
      <c r="EC24" s="30"/>
      <c r="ED24" s="30"/>
      <c r="EE24" s="85"/>
      <c r="EF24" s="85"/>
      <c r="EG24" s="70"/>
      <c r="EI24" s="81"/>
      <c r="EJ24" s="30"/>
      <c r="EK24" s="30"/>
      <c r="EM24" s="30"/>
      <c r="EN24" s="30"/>
      <c r="EO24" s="30"/>
      <c r="EP24" s="30"/>
      <c r="EQ24" s="30"/>
      <c r="ER24" s="30"/>
      <c r="ES24" s="30"/>
      <c r="ET24" s="85"/>
      <c r="EU24" s="85"/>
      <c r="EV24" s="70"/>
    </row>
    <row r="25" spans="2:152">
      <c r="B25" s="11">
        <f t="shared" si="0"/>
        <v>0.17</v>
      </c>
      <c r="C25" s="28">
        <v>0.9</v>
      </c>
      <c r="D25" s="16"/>
      <c r="E25" s="8"/>
      <c r="F25" s="27">
        <f t="shared" si="1"/>
        <v>-0.47710487444608568</v>
      </c>
      <c r="G25" s="27">
        <f t="shared" si="2"/>
        <v>-1247.0889999999999</v>
      </c>
      <c r="H25" s="27">
        <f t="shared" si="3"/>
        <v>-194.00125031432736</v>
      </c>
      <c r="I25" s="27">
        <f t="shared" si="4"/>
        <v>6.4282523848656865</v>
      </c>
      <c r="J25" s="27">
        <f t="shared" si="5"/>
        <v>-0.51171579743008322</v>
      </c>
      <c r="K25" s="27">
        <f t="shared" si="6"/>
        <v>0.3859100486480373</v>
      </c>
      <c r="L25" s="27">
        <f t="shared" si="7"/>
        <v>0.292985309138381</v>
      </c>
      <c r="M25" s="17">
        <f t="shared" si="8"/>
        <v>0.13541022299854144</v>
      </c>
      <c r="N25" s="17">
        <f t="shared" si="9"/>
        <v>0.13541022299854144</v>
      </c>
      <c r="O25" s="57">
        <f t="shared" si="10"/>
        <v>0.13541022299854144</v>
      </c>
      <c r="P25" s="17">
        <f t="shared" si="11"/>
        <v>0.13541022299854144</v>
      </c>
      <c r="Q25" s="17">
        <f t="shared" si="12"/>
        <v>0</v>
      </c>
      <c r="S25" s="81"/>
      <c r="T25" s="30"/>
      <c r="U25" s="30"/>
      <c r="W25" s="30"/>
      <c r="X25" s="30"/>
      <c r="Y25" s="30"/>
      <c r="Z25" s="30"/>
      <c r="AA25" s="30"/>
      <c r="AB25" s="30"/>
      <c r="AC25" s="30"/>
      <c r="AD25" s="85"/>
      <c r="AE25" s="85"/>
      <c r="AF25" s="70"/>
      <c r="AH25" s="81"/>
      <c r="AI25" s="30"/>
      <c r="AJ25" s="30"/>
      <c r="AL25" s="30"/>
      <c r="AM25" s="30"/>
      <c r="AN25" s="30"/>
      <c r="AO25" s="30"/>
      <c r="AP25" s="30"/>
      <c r="AQ25" s="30"/>
      <c r="AR25" s="30"/>
      <c r="AS25" s="85"/>
      <c r="AT25" s="85"/>
      <c r="AU25" s="70"/>
      <c r="AW25" s="81"/>
      <c r="AX25" s="30"/>
      <c r="AY25" s="30"/>
      <c r="BA25" s="30"/>
      <c r="BB25" s="30"/>
      <c r="BC25" s="30"/>
      <c r="BD25" s="30"/>
      <c r="BE25" s="30"/>
      <c r="BF25" s="30"/>
      <c r="BG25" s="30"/>
      <c r="BH25" s="85"/>
      <c r="BI25" s="85"/>
      <c r="BJ25" s="70"/>
      <c r="BL25" s="81"/>
      <c r="BM25" s="30"/>
      <c r="BN25" s="30"/>
      <c r="BP25" s="30"/>
      <c r="BQ25" s="30"/>
      <c r="BR25" s="30"/>
      <c r="BS25" s="30"/>
      <c r="BT25" s="30"/>
      <c r="BU25" s="30"/>
      <c r="BV25" s="30"/>
      <c r="BW25" s="85"/>
      <c r="BX25" s="85"/>
      <c r="BY25" s="70"/>
      <c r="CA25" s="81"/>
      <c r="CB25" s="30"/>
      <c r="CC25" s="30"/>
      <c r="CE25" s="30"/>
      <c r="CF25" s="30"/>
      <c r="CG25" s="30"/>
      <c r="CH25" s="30"/>
      <c r="CI25" s="30"/>
      <c r="CJ25" s="30"/>
      <c r="CK25" s="30"/>
      <c r="CL25" s="85"/>
      <c r="CM25" s="85"/>
      <c r="CN25" s="70"/>
      <c r="CP25" s="81"/>
      <c r="CQ25" s="30"/>
      <c r="CR25" s="30"/>
      <c r="CT25" s="30"/>
      <c r="CU25" s="30"/>
      <c r="CV25" s="30"/>
      <c r="CW25" s="30"/>
      <c r="CX25" s="30"/>
      <c r="CY25" s="30"/>
      <c r="CZ25" s="30"/>
      <c r="DA25" s="85"/>
      <c r="DB25" s="85"/>
      <c r="DC25" s="70"/>
      <c r="DE25" s="81"/>
      <c r="DF25" s="30"/>
      <c r="DG25" s="30"/>
      <c r="DI25" s="30"/>
      <c r="DJ25" s="30"/>
      <c r="DK25" s="30"/>
      <c r="DL25" s="30"/>
      <c r="DM25" s="30"/>
      <c r="DN25" s="30"/>
      <c r="DO25" s="30"/>
      <c r="DP25" s="85"/>
      <c r="DQ25" s="85"/>
      <c r="DR25" s="70"/>
      <c r="DT25" s="81"/>
      <c r="DU25" s="30"/>
      <c r="DV25" s="30"/>
      <c r="DX25" s="30"/>
      <c r="DY25" s="30"/>
      <c r="DZ25" s="30"/>
      <c r="EA25" s="30"/>
      <c r="EB25" s="30"/>
      <c r="EC25" s="30"/>
      <c r="ED25" s="30"/>
      <c r="EE25" s="85"/>
      <c r="EF25" s="85"/>
      <c r="EG25" s="70"/>
      <c r="EI25" s="81"/>
      <c r="EJ25" s="30"/>
      <c r="EK25" s="30"/>
      <c r="EM25" s="30"/>
      <c r="EN25" s="30"/>
      <c r="EO25" s="30"/>
      <c r="EP25" s="30"/>
      <c r="EQ25" s="30"/>
      <c r="ER25" s="30"/>
      <c r="ES25" s="30"/>
      <c r="ET25" s="85"/>
      <c r="EU25" s="85"/>
      <c r="EV25" s="70"/>
    </row>
    <row r="26" spans="2:152">
      <c r="B26" s="11">
        <f t="shared" si="0"/>
        <v>0.17</v>
      </c>
      <c r="C26" s="28">
        <v>0.96</v>
      </c>
      <c r="D26" s="16"/>
      <c r="E26" s="8"/>
      <c r="F26" s="27">
        <f t="shared" si="1"/>
        <v>-0.49970005998800238</v>
      </c>
      <c r="G26" s="27">
        <f t="shared" si="2"/>
        <v>-1247.0890000000002</v>
      </c>
      <c r="H26" s="27">
        <f t="shared" si="3"/>
        <v>-185.88220643919982</v>
      </c>
      <c r="I26" s="27">
        <f t="shared" si="4"/>
        <v>6.7090283889432438</v>
      </c>
      <c r="J26" s="27">
        <f t="shared" si="5"/>
        <v>-0.50015001500150014</v>
      </c>
      <c r="K26" s="27">
        <f t="shared" si="6"/>
        <v>0.38596344475953526</v>
      </c>
      <c r="L26" s="27">
        <f t="shared" si="7"/>
        <v>0.30683410348848655</v>
      </c>
      <c r="M26" s="17">
        <f t="shared" si="8"/>
        <v>0.13609484904677774</v>
      </c>
      <c r="N26" s="17">
        <f t="shared" si="9"/>
        <v>0.13609484904677774</v>
      </c>
      <c r="O26" s="57">
        <f t="shared" si="10"/>
        <v>0.13609484904677774</v>
      </c>
      <c r="P26" s="17">
        <f t="shared" si="11"/>
        <v>0.13609484904677774</v>
      </c>
      <c r="Q26" s="17">
        <f t="shared" si="12"/>
        <v>0</v>
      </c>
      <c r="S26" s="81"/>
      <c r="T26" s="30"/>
      <c r="U26" s="30"/>
      <c r="W26" s="30"/>
      <c r="X26" s="30"/>
      <c r="Y26" s="30"/>
      <c r="Z26" s="30"/>
      <c r="AA26" s="30"/>
      <c r="AB26" s="30"/>
      <c r="AC26" s="30"/>
      <c r="AD26" s="85"/>
      <c r="AE26" s="85"/>
      <c r="AF26" s="70"/>
      <c r="AH26" s="81"/>
      <c r="AI26" s="30"/>
      <c r="AJ26" s="30"/>
      <c r="AL26" s="30"/>
      <c r="AM26" s="30"/>
      <c r="AN26" s="30"/>
      <c r="AO26" s="30"/>
      <c r="AP26" s="30"/>
      <c r="AQ26" s="30"/>
      <c r="AR26" s="30"/>
      <c r="AS26" s="85"/>
      <c r="AT26" s="85"/>
      <c r="AU26" s="70"/>
      <c r="AW26" s="81"/>
      <c r="AX26" s="30"/>
      <c r="AY26" s="30"/>
      <c r="BA26" s="30"/>
      <c r="BB26" s="30"/>
      <c r="BC26" s="30"/>
      <c r="BD26" s="30"/>
      <c r="BE26" s="30"/>
      <c r="BF26" s="30"/>
      <c r="BG26" s="30"/>
      <c r="BH26" s="85"/>
      <c r="BI26" s="85"/>
      <c r="BJ26" s="70"/>
      <c r="BL26" s="81"/>
      <c r="BM26" s="30"/>
      <c r="BN26" s="30"/>
      <c r="BP26" s="30"/>
      <c r="BQ26" s="30"/>
      <c r="BR26" s="30"/>
      <c r="BS26" s="30"/>
      <c r="BT26" s="30"/>
      <c r="BU26" s="30"/>
      <c r="BV26" s="30"/>
      <c r="BW26" s="85"/>
      <c r="BX26" s="85"/>
      <c r="BY26" s="70"/>
      <c r="CA26" s="81"/>
      <c r="CB26" s="30"/>
      <c r="CC26" s="30"/>
      <c r="CE26" s="30"/>
      <c r="CF26" s="30"/>
      <c r="CG26" s="30"/>
      <c r="CH26" s="30"/>
      <c r="CI26" s="30"/>
      <c r="CJ26" s="30"/>
      <c r="CK26" s="30"/>
      <c r="CL26" s="85"/>
      <c r="CM26" s="85"/>
      <c r="CN26" s="70"/>
      <c r="CP26" s="81"/>
      <c r="CQ26" s="30"/>
      <c r="CR26" s="30"/>
      <c r="CT26" s="30"/>
      <c r="CU26" s="30"/>
      <c r="CV26" s="30"/>
      <c r="CW26" s="30"/>
      <c r="CX26" s="30"/>
      <c r="CY26" s="30"/>
      <c r="CZ26" s="30"/>
      <c r="DA26" s="85"/>
      <c r="DB26" s="85"/>
      <c r="DC26" s="70"/>
      <c r="DE26" s="81"/>
      <c r="DF26" s="30"/>
      <c r="DG26" s="30"/>
      <c r="DI26" s="30"/>
      <c r="DJ26" s="30"/>
      <c r="DK26" s="30"/>
      <c r="DL26" s="30"/>
      <c r="DM26" s="30"/>
      <c r="DN26" s="30"/>
      <c r="DO26" s="30"/>
      <c r="DP26" s="85"/>
      <c r="DQ26" s="85"/>
      <c r="DR26" s="70"/>
      <c r="DT26" s="81"/>
      <c r="DU26" s="30"/>
      <c r="DV26" s="30"/>
      <c r="DX26" s="30"/>
      <c r="DY26" s="30"/>
      <c r="DZ26" s="30"/>
      <c r="EA26" s="30"/>
      <c r="EB26" s="30"/>
      <c r="EC26" s="30"/>
      <c r="ED26" s="30"/>
      <c r="EE26" s="85"/>
      <c r="EF26" s="85"/>
      <c r="EG26" s="70"/>
      <c r="EI26" s="81"/>
      <c r="EJ26" s="30"/>
      <c r="EK26" s="30"/>
      <c r="EM26" s="30"/>
      <c r="EN26" s="30"/>
      <c r="EO26" s="30"/>
      <c r="EP26" s="30"/>
      <c r="EQ26" s="30"/>
      <c r="ER26" s="30"/>
      <c r="ES26" s="30"/>
      <c r="ET26" s="85"/>
      <c r="EU26" s="85"/>
      <c r="EV26" s="70"/>
    </row>
    <row r="27" spans="2:152">
      <c r="B27" s="11">
        <f t="shared" si="0"/>
        <v>0.17</v>
      </c>
      <c r="C27" s="28">
        <v>1.02</v>
      </c>
      <c r="D27" s="16"/>
      <c r="E27" s="8"/>
      <c r="F27" s="27">
        <f t="shared" si="1"/>
        <v>-0.52299725860493462</v>
      </c>
      <c r="G27" s="27">
        <f t="shared" si="2"/>
        <v>-1247.0889999999999</v>
      </c>
      <c r="H27" s="27">
        <f t="shared" si="3"/>
        <v>-177.76316256407208</v>
      </c>
      <c r="I27" s="27">
        <f t="shared" si="4"/>
        <v>7.0154523693878668</v>
      </c>
      <c r="J27" s="27">
        <f t="shared" si="5"/>
        <v>-0.48875986303409258</v>
      </c>
      <c r="K27" s="27">
        <f t="shared" si="6"/>
        <v>0.3859063648320426</v>
      </c>
      <c r="L27" s="27">
        <f t="shared" si="7"/>
        <v>0.32116928771958059</v>
      </c>
      <c r="M27" s="17">
        <f t="shared" si="8"/>
        <v>0.13680792726461941</v>
      </c>
      <c r="N27" s="17">
        <f t="shared" si="9"/>
        <v>0.13680792726461941</v>
      </c>
      <c r="O27" s="57">
        <f t="shared" si="10"/>
        <v>0.13680792726461941</v>
      </c>
      <c r="P27" s="17">
        <f t="shared" si="11"/>
        <v>0.13680792726461941</v>
      </c>
      <c r="Q27" s="17">
        <f t="shared" si="12"/>
        <v>0</v>
      </c>
      <c r="S27" s="81"/>
      <c r="T27" s="30"/>
      <c r="U27" s="30"/>
      <c r="W27" s="30"/>
      <c r="X27" s="30"/>
      <c r="Y27" s="30"/>
      <c r="Z27" s="30"/>
      <c r="AA27" s="30"/>
      <c r="AB27" s="30"/>
      <c r="AC27" s="30"/>
      <c r="AD27" s="85"/>
      <c r="AE27" s="85"/>
      <c r="AF27" s="70"/>
      <c r="AH27" s="81"/>
      <c r="AI27" s="30"/>
      <c r="AJ27" s="30"/>
      <c r="AL27" s="30"/>
      <c r="AM27" s="30"/>
      <c r="AN27" s="30"/>
      <c r="AO27" s="30"/>
      <c r="AP27" s="30"/>
      <c r="AQ27" s="30"/>
      <c r="AR27" s="30"/>
      <c r="AS27" s="85"/>
      <c r="AT27" s="85"/>
      <c r="AU27" s="70"/>
      <c r="AW27" s="81"/>
      <c r="AX27" s="30"/>
      <c r="AY27" s="30"/>
      <c r="BA27" s="30"/>
      <c r="BB27" s="30"/>
      <c r="BC27" s="30"/>
      <c r="BD27" s="30"/>
      <c r="BE27" s="30"/>
      <c r="BF27" s="30"/>
      <c r="BG27" s="30"/>
      <c r="BH27" s="85"/>
      <c r="BI27" s="85"/>
      <c r="BJ27" s="70"/>
      <c r="BL27" s="81"/>
      <c r="BM27" s="30"/>
      <c r="BN27" s="30"/>
      <c r="BP27" s="30"/>
      <c r="BQ27" s="30"/>
      <c r="BR27" s="30"/>
      <c r="BS27" s="30"/>
      <c r="BT27" s="30"/>
      <c r="BU27" s="30"/>
      <c r="BV27" s="30"/>
      <c r="BW27" s="85"/>
      <c r="BX27" s="85"/>
      <c r="BY27" s="70"/>
      <c r="CA27" s="81"/>
      <c r="CB27" s="30"/>
      <c r="CC27" s="30"/>
      <c r="CE27" s="30"/>
      <c r="CF27" s="30"/>
      <c r="CG27" s="30"/>
      <c r="CH27" s="30"/>
      <c r="CI27" s="30"/>
      <c r="CJ27" s="30"/>
      <c r="CK27" s="30"/>
      <c r="CL27" s="85"/>
      <c r="CM27" s="85"/>
      <c r="CN27" s="70"/>
      <c r="CP27" s="81"/>
      <c r="CQ27" s="30"/>
      <c r="CR27" s="30"/>
      <c r="CT27" s="30"/>
      <c r="CU27" s="30"/>
      <c r="CV27" s="30"/>
      <c r="CW27" s="30"/>
      <c r="CX27" s="30"/>
      <c r="CY27" s="30"/>
      <c r="CZ27" s="30"/>
      <c r="DA27" s="85"/>
      <c r="DB27" s="85"/>
      <c r="DC27" s="70"/>
      <c r="DE27" s="81"/>
      <c r="DF27" s="30"/>
      <c r="DG27" s="30"/>
      <c r="DI27" s="30"/>
      <c r="DJ27" s="30"/>
      <c r="DK27" s="30"/>
      <c r="DL27" s="30"/>
      <c r="DM27" s="30"/>
      <c r="DN27" s="30"/>
      <c r="DO27" s="30"/>
      <c r="DP27" s="85"/>
      <c r="DQ27" s="85"/>
      <c r="DR27" s="70"/>
      <c r="DT27" s="81"/>
      <c r="DU27" s="30"/>
      <c r="DV27" s="30"/>
      <c r="DX27" s="30"/>
      <c r="DY27" s="30"/>
      <c r="DZ27" s="30"/>
      <c r="EA27" s="30"/>
      <c r="EB27" s="30"/>
      <c r="EC27" s="30"/>
      <c r="ED27" s="30"/>
      <c r="EE27" s="85"/>
      <c r="EF27" s="85"/>
      <c r="EG27" s="70"/>
      <c r="EI27" s="81"/>
      <c r="EJ27" s="30"/>
      <c r="EK27" s="30"/>
      <c r="EM27" s="30"/>
      <c r="EN27" s="30"/>
      <c r="EO27" s="30"/>
      <c r="EP27" s="30"/>
      <c r="EQ27" s="30"/>
      <c r="ER27" s="30"/>
      <c r="ES27" s="30"/>
      <c r="ET27" s="85"/>
      <c r="EU27" s="85"/>
      <c r="EV27" s="70"/>
    </row>
    <row r="28" spans="2:152">
      <c r="B28" s="11">
        <f t="shared" si="0"/>
        <v>0.17</v>
      </c>
      <c r="C28" s="28">
        <v>1.08</v>
      </c>
      <c r="D28" s="16"/>
      <c r="E28" s="8"/>
      <c r="F28" s="27">
        <f t="shared" si="1"/>
        <v>-0.54702970297029707</v>
      </c>
      <c r="G28" s="27">
        <f t="shared" si="2"/>
        <v>-1247.0889999999999</v>
      </c>
      <c r="H28" s="27">
        <f t="shared" si="3"/>
        <v>-169.6441186889445</v>
      </c>
      <c r="I28" s="27">
        <f t="shared" si="4"/>
        <v>7.3512068065656511</v>
      </c>
      <c r="J28" s="27">
        <f t="shared" si="5"/>
        <v>-0.47754137115839235</v>
      </c>
      <c r="K28" s="27">
        <f t="shared" si="6"/>
        <v>0.38572510580059566</v>
      </c>
      <c r="L28" s="27">
        <f t="shared" si="7"/>
        <v>0.33602661291601077</v>
      </c>
      <c r="M28" s="17">
        <f t="shared" si="8"/>
        <v>0.1375518483952381</v>
      </c>
      <c r="N28" s="17">
        <f t="shared" si="9"/>
        <v>0.1375518483952381</v>
      </c>
      <c r="O28" s="57">
        <f t="shared" si="10"/>
        <v>0.1375518483952381</v>
      </c>
      <c r="P28" s="17">
        <f t="shared" si="11"/>
        <v>0.1375518483952381</v>
      </c>
      <c r="Q28" s="17">
        <f t="shared" si="12"/>
        <v>0</v>
      </c>
      <c r="S28" s="81"/>
      <c r="T28" s="30"/>
      <c r="U28" s="30"/>
      <c r="W28" s="30"/>
      <c r="X28" s="30"/>
      <c r="Y28" s="30"/>
      <c r="Z28" s="30"/>
      <c r="AA28" s="30"/>
      <c r="AB28" s="30"/>
      <c r="AC28" s="30"/>
      <c r="AD28" s="85"/>
      <c r="AE28" s="85"/>
      <c r="AF28" s="70"/>
      <c r="AH28" s="81"/>
      <c r="AI28" s="30"/>
      <c r="AJ28" s="30"/>
      <c r="AL28" s="30"/>
      <c r="AM28" s="30"/>
      <c r="AN28" s="30"/>
      <c r="AO28" s="30"/>
      <c r="AP28" s="30"/>
      <c r="AQ28" s="30"/>
      <c r="AR28" s="30"/>
      <c r="AS28" s="85"/>
      <c r="AT28" s="85"/>
      <c r="AU28" s="70"/>
      <c r="AW28" s="81"/>
      <c r="AX28" s="30"/>
      <c r="AY28" s="30"/>
      <c r="BA28" s="30"/>
      <c r="BB28" s="30"/>
      <c r="BC28" s="30"/>
      <c r="BD28" s="30"/>
      <c r="BE28" s="30"/>
      <c r="BF28" s="30"/>
      <c r="BG28" s="30"/>
      <c r="BH28" s="85"/>
      <c r="BI28" s="85"/>
      <c r="BJ28" s="70"/>
      <c r="BL28" s="81"/>
      <c r="BM28" s="30"/>
      <c r="BN28" s="30"/>
      <c r="BP28" s="30"/>
      <c r="BQ28" s="30"/>
      <c r="BR28" s="30"/>
      <c r="BS28" s="30"/>
      <c r="BT28" s="30"/>
      <c r="BU28" s="30"/>
      <c r="BV28" s="30"/>
      <c r="BW28" s="85"/>
      <c r="BX28" s="85"/>
      <c r="BY28" s="70"/>
      <c r="CA28" s="81"/>
      <c r="CB28" s="30"/>
      <c r="CC28" s="30"/>
      <c r="CE28" s="30"/>
      <c r="CF28" s="30"/>
      <c r="CG28" s="30"/>
      <c r="CH28" s="30"/>
      <c r="CI28" s="30"/>
      <c r="CJ28" s="30"/>
      <c r="CK28" s="30"/>
      <c r="CL28" s="85"/>
      <c r="CM28" s="85"/>
      <c r="CN28" s="70"/>
      <c r="CP28" s="81"/>
      <c r="CQ28" s="30"/>
      <c r="CR28" s="30"/>
      <c r="CT28" s="30"/>
      <c r="CU28" s="30"/>
      <c r="CV28" s="30"/>
      <c r="CW28" s="30"/>
      <c r="CX28" s="30"/>
      <c r="CY28" s="30"/>
      <c r="CZ28" s="30"/>
      <c r="DA28" s="85"/>
      <c r="DB28" s="85"/>
      <c r="DC28" s="70"/>
      <c r="DE28" s="81"/>
      <c r="DF28" s="30"/>
      <c r="DG28" s="30"/>
      <c r="DI28" s="30"/>
      <c r="DJ28" s="30"/>
      <c r="DK28" s="30"/>
      <c r="DL28" s="30"/>
      <c r="DM28" s="30"/>
      <c r="DN28" s="30"/>
      <c r="DO28" s="30"/>
      <c r="DP28" s="85"/>
      <c r="DQ28" s="85"/>
      <c r="DR28" s="70"/>
      <c r="DT28" s="81"/>
      <c r="DU28" s="30"/>
      <c r="DV28" s="30"/>
      <c r="DX28" s="30"/>
      <c r="DY28" s="30"/>
      <c r="DZ28" s="30"/>
      <c r="EA28" s="30"/>
      <c r="EB28" s="30"/>
      <c r="EC28" s="30"/>
      <c r="ED28" s="30"/>
      <c r="EE28" s="85"/>
      <c r="EF28" s="85"/>
      <c r="EG28" s="70"/>
      <c r="EI28" s="81"/>
      <c r="EJ28" s="30"/>
      <c r="EK28" s="30"/>
      <c r="EM28" s="30"/>
      <c r="EN28" s="30"/>
      <c r="EO28" s="30"/>
      <c r="EP28" s="30"/>
      <c r="EQ28" s="30"/>
      <c r="ER28" s="30"/>
      <c r="ES28" s="30"/>
      <c r="ET28" s="85"/>
      <c r="EU28" s="85"/>
      <c r="EV28" s="70"/>
    </row>
    <row r="29" spans="2:152">
      <c r="B29" s="11">
        <f t="shared" si="0"/>
        <v>0.17</v>
      </c>
      <c r="C29" s="28">
        <v>1.1399999999999999</v>
      </c>
      <c r="D29" s="16"/>
      <c r="E29" s="8"/>
      <c r="F29" s="27">
        <f t="shared" si="1"/>
        <v>-0.57183275699465563</v>
      </c>
      <c r="G29" s="27">
        <f t="shared" si="2"/>
        <v>-1247.0889999999999</v>
      </c>
      <c r="H29" s="27">
        <f t="shared" si="3"/>
        <v>-161.52507481381681</v>
      </c>
      <c r="I29" s="27">
        <f t="shared" si="4"/>
        <v>7.720714579067474</v>
      </c>
      <c r="J29" s="27">
        <f t="shared" si="5"/>
        <v>-0.46649068778413266</v>
      </c>
      <c r="K29" s="27">
        <f t="shared" si="6"/>
        <v>0.38540384526316279</v>
      </c>
      <c r="L29" s="27">
        <f t="shared" si="7"/>
        <v>0.35144621360147965</v>
      </c>
      <c r="M29" s="17">
        <f t="shared" si="8"/>
        <v>0.13832932348463872</v>
      </c>
      <c r="N29" s="17">
        <f t="shared" si="9"/>
        <v>0.13832932348463872</v>
      </c>
      <c r="O29" s="57">
        <f t="shared" si="10"/>
        <v>0.13832932348463872</v>
      </c>
      <c r="P29" s="17">
        <f t="shared" si="11"/>
        <v>0.13832932348463872</v>
      </c>
      <c r="Q29" s="17">
        <f t="shared" si="12"/>
        <v>0</v>
      </c>
      <c r="S29" s="81"/>
      <c r="T29" s="30"/>
      <c r="U29" s="30"/>
      <c r="W29" s="30"/>
      <c r="X29" s="30"/>
      <c r="Y29" s="30"/>
      <c r="Z29" s="30"/>
      <c r="AA29" s="30"/>
      <c r="AB29" s="30"/>
      <c r="AC29" s="30"/>
      <c r="AD29" s="85"/>
      <c r="AE29" s="85"/>
      <c r="AF29" s="70"/>
      <c r="AH29" s="81"/>
      <c r="AI29" s="30"/>
      <c r="AJ29" s="30"/>
      <c r="AL29" s="30"/>
      <c r="AM29" s="30"/>
      <c r="AN29" s="30"/>
      <c r="AO29" s="30"/>
      <c r="AP29" s="30"/>
      <c r="AQ29" s="30"/>
      <c r="AR29" s="30"/>
      <c r="AS29" s="85"/>
      <c r="AT29" s="85"/>
      <c r="AU29" s="70"/>
      <c r="AW29" s="81"/>
      <c r="AX29" s="30"/>
      <c r="AY29" s="30"/>
      <c r="BA29" s="30"/>
      <c r="BB29" s="30"/>
      <c r="BC29" s="30"/>
      <c r="BD29" s="30"/>
      <c r="BE29" s="30"/>
      <c r="BF29" s="30"/>
      <c r="BG29" s="30"/>
      <c r="BH29" s="85"/>
      <c r="BI29" s="85"/>
      <c r="BJ29" s="70"/>
      <c r="BL29" s="81"/>
      <c r="BM29" s="30"/>
      <c r="BN29" s="30"/>
      <c r="BP29" s="30"/>
      <c r="BQ29" s="30"/>
      <c r="BR29" s="30"/>
      <c r="BS29" s="30"/>
      <c r="BT29" s="30"/>
      <c r="BU29" s="30"/>
      <c r="BV29" s="30"/>
      <c r="BW29" s="85"/>
      <c r="BX29" s="85"/>
      <c r="BY29" s="70"/>
      <c r="CA29" s="81"/>
      <c r="CB29" s="30"/>
      <c r="CC29" s="30"/>
      <c r="CE29" s="30"/>
      <c r="CF29" s="30"/>
      <c r="CG29" s="30"/>
      <c r="CH29" s="30"/>
      <c r="CI29" s="30"/>
      <c r="CJ29" s="30"/>
      <c r="CK29" s="30"/>
      <c r="CL29" s="85"/>
      <c r="CM29" s="85"/>
      <c r="CN29" s="70"/>
      <c r="CP29" s="81"/>
      <c r="CQ29" s="30"/>
      <c r="CR29" s="30"/>
      <c r="CT29" s="30"/>
      <c r="CU29" s="30"/>
      <c r="CV29" s="30"/>
      <c r="CW29" s="30"/>
      <c r="CX29" s="30"/>
      <c r="CY29" s="30"/>
      <c r="CZ29" s="30"/>
      <c r="DA29" s="85"/>
      <c r="DB29" s="85"/>
      <c r="DC29" s="70"/>
      <c r="DE29" s="81"/>
      <c r="DF29" s="30"/>
      <c r="DG29" s="30"/>
      <c r="DI29" s="30"/>
      <c r="DJ29" s="30"/>
      <c r="DK29" s="30"/>
      <c r="DL29" s="30"/>
      <c r="DM29" s="30"/>
      <c r="DN29" s="30"/>
      <c r="DO29" s="30"/>
      <c r="DP29" s="85"/>
      <c r="DQ29" s="85"/>
      <c r="DR29" s="70"/>
      <c r="DT29" s="81"/>
      <c r="DU29" s="30"/>
      <c r="DV29" s="30"/>
      <c r="DX29" s="30"/>
      <c r="DY29" s="30"/>
      <c r="DZ29" s="30"/>
      <c r="EA29" s="30"/>
      <c r="EB29" s="30"/>
      <c r="EC29" s="30"/>
      <c r="ED29" s="30"/>
      <c r="EE29" s="85"/>
      <c r="EF29" s="85"/>
      <c r="EG29" s="70"/>
      <c r="EI29" s="81"/>
      <c r="EJ29" s="30"/>
      <c r="EK29" s="30"/>
      <c r="EM29" s="30"/>
      <c r="EN29" s="30"/>
      <c r="EO29" s="30"/>
      <c r="EP29" s="30"/>
      <c r="EQ29" s="30"/>
      <c r="ER29" s="30"/>
      <c r="ES29" s="30"/>
      <c r="ET29" s="85"/>
      <c r="EU29" s="85"/>
      <c r="EV29" s="70"/>
    </row>
    <row r="30" spans="2:152">
      <c r="B30" s="11">
        <f t="shared" si="0"/>
        <v>0.17</v>
      </c>
      <c r="C30" s="28">
        <v>1.2</v>
      </c>
      <c r="D30" s="16"/>
      <c r="E30" s="8"/>
      <c r="F30" s="27">
        <f t="shared" si="1"/>
        <v>-0.59744408945686922</v>
      </c>
      <c r="G30" s="27">
        <f t="shared" si="2"/>
        <v>-1247.0889999999999</v>
      </c>
      <c r="H30" s="27">
        <f t="shared" si="3"/>
        <v>-153.40603093868924</v>
      </c>
      <c r="I30" s="27">
        <f t="shared" si="4"/>
        <v>8.1293348923056072</v>
      </c>
      <c r="J30" s="27">
        <f t="shared" si="5"/>
        <v>-0.45560407569141181</v>
      </c>
      <c r="K30" s="27">
        <f t="shared" si="6"/>
        <v>0.38492420909564656</v>
      </c>
      <c r="L30" s="27">
        <f t="shared" si="7"/>
        <v>0.36747339584381511</v>
      </c>
      <c r="M30" s="17">
        <f t="shared" si="8"/>
        <v>0.13914344490592337</v>
      </c>
      <c r="N30" s="17">
        <f t="shared" si="9"/>
        <v>0.13914344490592337</v>
      </c>
      <c r="O30" s="57">
        <f t="shared" si="10"/>
        <v>0.13914344490592337</v>
      </c>
      <c r="P30" s="17">
        <f t="shared" si="11"/>
        <v>0.13914344490592337</v>
      </c>
      <c r="Q30" s="17">
        <f t="shared" si="12"/>
        <v>0</v>
      </c>
      <c r="S30" s="81"/>
      <c r="T30" s="30"/>
      <c r="U30" s="30"/>
      <c r="W30" s="30"/>
      <c r="X30" s="30"/>
      <c r="Y30" s="30"/>
      <c r="Z30" s="30"/>
      <c r="AA30" s="30"/>
      <c r="AB30" s="30"/>
      <c r="AC30" s="30"/>
      <c r="AD30" s="85"/>
      <c r="AE30" s="85"/>
      <c r="AF30" s="70"/>
      <c r="AH30" s="81"/>
      <c r="AI30" s="30"/>
      <c r="AJ30" s="30"/>
      <c r="AL30" s="30"/>
      <c r="AM30" s="30"/>
      <c r="AN30" s="30"/>
      <c r="AO30" s="30"/>
      <c r="AP30" s="30"/>
      <c r="AQ30" s="30"/>
      <c r="AR30" s="30"/>
      <c r="AS30" s="85"/>
      <c r="AT30" s="85"/>
      <c r="AU30" s="70"/>
      <c r="AW30" s="81"/>
      <c r="AX30" s="30"/>
      <c r="AY30" s="30"/>
      <c r="BA30" s="30"/>
      <c r="BB30" s="30"/>
      <c r="BC30" s="30"/>
      <c r="BD30" s="30"/>
      <c r="BE30" s="30"/>
      <c r="BF30" s="30"/>
      <c r="BG30" s="30"/>
      <c r="BH30" s="85"/>
      <c r="BI30" s="85"/>
      <c r="BJ30" s="70"/>
      <c r="BL30" s="81"/>
      <c r="BM30" s="30"/>
      <c r="BN30" s="30"/>
      <c r="BP30" s="30"/>
      <c r="BQ30" s="30"/>
      <c r="BR30" s="30"/>
      <c r="BS30" s="30"/>
      <c r="BT30" s="30"/>
      <c r="BU30" s="30"/>
      <c r="BV30" s="30"/>
      <c r="BW30" s="85"/>
      <c r="BX30" s="85"/>
      <c r="BY30" s="70"/>
      <c r="CA30" s="81"/>
      <c r="CB30" s="30"/>
      <c r="CC30" s="30"/>
      <c r="CE30" s="30"/>
      <c r="CF30" s="30"/>
      <c r="CG30" s="30"/>
      <c r="CH30" s="30"/>
      <c r="CI30" s="30"/>
      <c r="CJ30" s="30"/>
      <c r="CK30" s="30"/>
      <c r="CL30" s="85"/>
      <c r="CM30" s="85"/>
      <c r="CN30" s="70"/>
      <c r="CP30" s="81"/>
      <c r="CQ30" s="30"/>
      <c r="CR30" s="30"/>
      <c r="CT30" s="30"/>
      <c r="CU30" s="30"/>
      <c r="CV30" s="30"/>
      <c r="CW30" s="30"/>
      <c r="CX30" s="30"/>
      <c r="CY30" s="30"/>
      <c r="CZ30" s="30"/>
      <c r="DA30" s="85"/>
      <c r="DB30" s="85"/>
      <c r="DC30" s="70"/>
      <c r="DE30" s="81"/>
      <c r="DF30" s="30"/>
      <c r="DG30" s="30"/>
      <c r="DI30" s="30"/>
      <c r="DJ30" s="30"/>
      <c r="DK30" s="30"/>
      <c r="DL30" s="30"/>
      <c r="DM30" s="30"/>
      <c r="DN30" s="30"/>
      <c r="DO30" s="30"/>
      <c r="DP30" s="85"/>
      <c r="DQ30" s="85"/>
      <c r="DR30" s="70"/>
      <c r="DT30" s="81"/>
      <c r="DU30" s="30"/>
      <c r="DV30" s="30"/>
      <c r="DX30" s="30"/>
      <c r="DY30" s="30"/>
      <c r="DZ30" s="30"/>
      <c r="EA30" s="30"/>
      <c r="EB30" s="30"/>
      <c r="EC30" s="30"/>
      <c r="ED30" s="30"/>
      <c r="EE30" s="85"/>
      <c r="EF30" s="85"/>
      <c r="EG30" s="70"/>
      <c r="EI30" s="81"/>
      <c r="EJ30" s="30"/>
      <c r="EK30" s="30"/>
      <c r="EM30" s="30"/>
      <c r="EN30" s="30"/>
      <c r="EO30" s="30"/>
      <c r="EP30" s="30"/>
      <c r="EQ30" s="30"/>
      <c r="ER30" s="30"/>
      <c r="ES30" s="30"/>
      <c r="ET30" s="85"/>
      <c r="EU30" s="85"/>
      <c r="EV30" s="70"/>
    </row>
    <row r="31" spans="2:152">
      <c r="B31" s="11">
        <f t="shared" si="0"/>
        <v>0.17</v>
      </c>
      <c r="C31" s="28">
        <v>1.26</v>
      </c>
      <c r="D31" s="16"/>
      <c r="E31" s="8"/>
      <c r="F31" s="27">
        <f t="shared" si="1"/>
        <v>-0.62390386489119842</v>
      </c>
      <c r="G31" s="27">
        <f t="shared" si="2"/>
        <v>-1247.0889999999997</v>
      </c>
      <c r="H31" s="27">
        <f t="shared" si="3"/>
        <v>-145.28698706356155</v>
      </c>
      <c r="I31" s="27">
        <f t="shared" si="4"/>
        <v>8.5836249013437875</v>
      </c>
      <c r="J31" s="27">
        <f t="shared" si="5"/>
        <v>-0.44487790781678954</v>
      </c>
      <c r="K31" s="27">
        <f t="shared" si="6"/>
        <v>0.38426472498010711</v>
      </c>
      <c r="L31" s="27">
        <f t="shared" si="7"/>
        <v>0.38415961783475616</v>
      </c>
      <c r="M31" s="17">
        <f t="shared" si="8"/>
        <v>0.139997762879261</v>
      </c>
      <c r="N31" s="17">
        <f t="shared" si="9"/>
        <v>0.139997762879261</v>
      </c>
      <c r="O31" s="57">
        <f t="shared" si="10"/>
        <v>0.139997762879261</v>
      </c>
      <c r="P31" s="17">
        <f t="shared" si="11"/>
        <v>0.139997762879261</v>
      </c>
      <c r="Q31" s="17">
        <f t="shared" si="12"/>
        <v>0</v>
      </c>
      <c r="S31" s="81"/>
      <c r="T31" s="30"/>
      <c r="U31" s="30"/>
      <c r="W31" s="30"/>
      <c r="X31" s="30"/>
      <c r="Y31" s="30"/>
      <c r="Z31" s="30"/>
      <c r="AA31" s="30"/>
      <c r="AB31" s="30"/>
      <c r="AC31" s="30"/>
      <c r="AD31" s="85"/>
      <c r="AE31" s="85"/>
      <c r="AF31" s="70"/>
      <c r="AH31" s="81"/>
      <c r="AI31" s="30"/>
      <c r="AJ31" s="30"/>
      <c r="AL31" s="30"/>
      <c r="AM31" s="30"/>
      <c r="AN31" s="30"/>
      <c r="AO31" s="30"/>
      <c r="AP31" s="30"/>
      <c r="AQ31" s="30"/>
      <c r="AR31" s="30"/>
      <c r="AS31" s="85"/>
      <c r="AT31" s="85"/>
      <c r="AU31" s="70"/>
      <c r="AW31" s="81"/>
      <c r="AX31" s="30"/>
      <c r="AY31" s="30"/>
      <c r="BA31" s="30"/>
      <c r="BB31" s="30"/>
      <c r="BC31" s="30"/>
      <c r="BD31" s="30"/>
      <c r="BE31" s="30"/>
      <c r="BF31" s="30"/>
      <c r="BG31" s="30"/>
      <c r="BH31" s="85"/>
      <c r="BI31" s="85"/>
      <c r="BJ31" s="70"/>
      <c r="BL31" s="81"/>
      <c r="BM31" s="30"/>
      <c r="BN31" s="30"/>
      <c r="BP31" s="30"/>
      <c r="BQ31" s="30"/>
      <c r="BR31" s="30"/>
      <c r="BS31" s="30"/>
      <c r="BT31" s="30"/>
      <c r="BU31" s="30"/>
      <c r="BV31" s="30"/>
      <c r="BW31" s="85"/>
      <c r="BX31" s="85"/>
      <c r="BY31" s="70"/>
      <c r="CA31" s="81"/>
      <c r="CB31" s="30"/>
      <c r="CC31" s="30"/>
      <c r="CE31" s="30"/>
      <c r="CF31" s="30"/>
      <c r="CG31" s="30"/>
      <c r="CH31" s="30"/>
      <c r="CI31" s="30"/>
      <c r="CJ31" s="30"/>
      <c r="CK31" s="30"/>
      <c r="CL31" s="85"/>
      <c r="CM31" s="85"/>
      <c r="CN31" s="70"/>
      <c r="CP31" s="81"/>
      <c r="CQ31" s="30"/>
      <c r="CR31" s="30"/>
      <c r="CT31" s="30"/>
      <c r="CU31" s="30"/>
      <c r="CV31" s="30"/>
      <c r="CW31" s="30"/>
      <c r="CX31" s="30"/>
      <c r="CY31" s="30"/>
      <c r="CZ31" s="30"/>
      <c r="DA31" s="85"/>
      <c r="DB31" s="85"/>
      <c r="DC31" s="70"/>
      <c r="DE31" s="81"/>
      <c r="DF31" s="30"/>
      <c r="DG31" s="30"/>
      <c r="DI31" s="30"/>
      <c r="DJ31" s="30"/>
      <c r="DK31" s="30"/>
      <c r="DL31" s="30"/>
      <c r="DM31" s="30"/>
      <c r="DN31" s="30"/>
      <c r="DO31" s="30"/>
      <c r="DP31" s="85"/>
      <c r="DQ31" s="85"/>
      <c r="DR31" s="70"/>
      <c r="DT31" s="81"/>
      <c r="DU31" s="30"/>
      <c r="DV31" s="30"/>
      <c r="DX31" s="30"/>
      <c r="DY31" s="30"/>
      <c r="DZ31" s="30"/>
      <c r="EA31" s="30"/>
      <c r="EB31" s="30"/>
      <c r="EC31" s="30"/>
      <c r="ED31" s="30"/>
      <c r="EE31" s="85"/>
      <c r="EF31" s="85"/>
      <c r="EG31" s="70"/>
      <c r="EI31" s="81"/>
      <c r="EJ31" s="30"/>
      <c r="EK31" s="30"/>
      <c r="EM31" s="30"/>
      <c r="EN31" s="30"/>
      <c r="EO31" s="30"/>
      <c r="EP31" s="30"/>
      <c r="EQ31" s="30"/>
      <c r="ER31" s="30"/>
      <c r="ES31" s="30"/>
      <c r="ET31" s="85"/>
      <c r="EU31" s="85"/>
      <c r="EV31" s="70"/>
    </row>
    <row r="32" spans="2:152">
      <c r="B32" s="11">
        <f t="shared" si="0"/>
        <v>0.17</v>
      </c>
      <c r="C32" s="28">
        <v>1.32</v>
      </c>
      <c r="D32" s="16"/>
      <c r="E32" s="8"/>
      <c r="F32" s="27">
        <f t="shared" si="1"/>
        <v>-0.65125495376486153</v>
      </c>
      <c r="G32" s="27">
        <f t="shared" si="2"/>
        <v>-1247.0889999999999</v>
      </c>
      <c r="H32" s="27">
        <f t="shared" si="3"/>
        <v>-137.16794318843395</v>
      </c>
      <c r="I32" s="27">
        <f t="shared" si="4"/>
        <v>9.0916942472981166</v>
      </c>
      <c r="J32" s="27">
        <f t="shared" si="5"/>
        <v>-0.43430866322432576</v>
      </c>
      <c r="K32" s="27">
        <f t="shared" si="6"/>
        <v>0.38340012385735506</v>
      </c>
      <c r="L32" s="27">
        <f t="shared" si="7"/>
        <v>0.40156372382869759</v>
      </c>
      <c r="M32" s="17">
        <f t="shared" si="8"/>
        <v>0.14089638252392347</v>
      </c>
      <c r="N32" s="17">
        <f t="shared" si="9"/>
        <v>0.14089638252392347</v>
      </c>
      <c r="O32" s="57">
        <f t="shared" si="10"/>
        <v>0.14089638252392347</v>
      </c>
      <c r="P32" s="17">
        <f t="shared" si="11"/>
        <v>0.14089638252392347</v>
      </c>
      <c r="Q32" s="17">
        <f t="shared" si="12"/>
        <v>0</v>
      </c>
      <c r="S32" s="81"/>
      <c r="T32" s="30"/>
      <c r="U32" s="30"/>
      <c r="W32" s="30"/>
      <c r="X32" s="30"/>
      <c r="Y32" s="30"/>
      <c r="Z32" s="30"/>
      <c r="AA32" s="30"/>
      <c r="AB32" s="30"/>
      <c r="AC32" s="30"/>
      <c r="AD32" s="85"/>
      <c r="AE32" s="85"/>
      <c r="AF32" s="70"/>
      <c r="AH32" s="81"/>
      <c r="AI32" s="30"/>
      <c r="AJ32" s="30"/>
      <c r="AL32" s="30"/>
      <c r="AM32" s="30"/>
      <c r="AN32" s="30"/>
      <c r="AO32" s="30"/>
      <c r="AP32" s="30"/>
      <c r="AQ32" s="30"/>
      <c r="AR32" s="30"/>
      <c r="AS32" s="85"/>
      <c r="AT32" s="85"/>
      <c r="AU32" s="70"/>
      <c r="AW32" s="81"/>
      <c r="AX32" s="30"/>
      <c r="AY32" s="30"/>
      <c r="BA32" s="30"/>
      <c r="BB32" s="30"/>
      <c r="BC32" s="30"/>
      <c r="BD32" s="30"/>
      <c r="BE32" s="30"/>
      <c r="BF32" s="30"/>
      <c r="BG32" s="30"/>
      <c r="BH32" s="85"/>
      <c r="BI32" s="85"/>
      <c r="BJ32" s="70"/>
      <c r="BL32" s="81"/>
      <c r="BM32" s="30"/>
      <c r="BN32" s="30"/>
      <c r="BP32" s="30"/>
      <c r="BQ32" s="30"/>
      <c r="BR32" s="30"/>
      <c r="BS32" s="30"/>
      <c r="BT32" s="30"/>
      <c r="BU32" s="30"/>
      <c r="BV32" s="30"/>
      <c r="BW32" s="85"/>
      <c r="BX32" s="85"/>
      <c r="BY32" s="70"/>
      <c r="CA32" s="81"/>
      <c r="CB32" s="30"/>
      <c r="CC32" s="30"/>
      <c r="CE32" s="30"/>
      <c r="CF32" s="30"/>
      <c r="CG32" s="30"/>
      <c r="CH32" s="30"/>
      <c r="CI32" s="30"/>
      <c r="CJ32" s="30"/>
      <c r="CK32" s="30"/>
      <c r="CL32" s="85"/>
      <c r="CM32" s="85"/>
      <c r="CN32" s="70"/>
      <c r="CP32" s="81"/>
      <c r="CQ32" s="30"/>
      <c r="CR32" s="30"/>
      <c r="CT32" s="30"/>
      <c r="CU32" s="30"/>
      <c r="CV32" s="30"/>
      <c r="CW32" s="30"/>
      <c r="CX32" s="30"/>
      <c r="CY32" s="30"/>
      <c r="CZ32" s="30"/>
      <c r="DA32" s="85"/>
      <c r="DB32" s="85"/>
      <c r="DC32" s="70"/>
      <c r="DE32" s="81"/>
      <c r="DF32" s="30"/>
      <c r="DG32" s="30"/>
      <c r="DI32" s="30"/>
      <c r="DJ32" s="30"/>
      <c r="DK32" s="30"/>
      <c r="DL32" s="30"/>
      <c r="DM32" s="30"/>
      <c r="DN32" s="30"/>
      <c r="DO32" s="30"/>
      <c r="DP32" s="85"/>
      <c r="DQ32" s="85"/>
      <c r="DR32" s="70"/>
      <c r="DT32" s="81"/>
      <c r="DU32" s="30"/>
      <c r="DV32" s="30"/>
      <c r="DX32" s="30"/>
      <c r="DY32" s="30"/>
      <c r="DZ32" s="30"/>
      <c r="EA32" s="30"/>
      <c r="EB32" s="30"/>
      <c r="EC32" s="30"/>
      <c r="ED32" s="30"/>
      <c r="EE32" s="85"/>
      <c r="EF32" s="85"/>
      <c r="EG32" s="70"/>
      <c r="EI32" s="81"/>
      <c r="EJ32" s="30"/>
      <c r="EK32" s="30"/>
      <c r="EM32" s="30"/>
      <c r="EN32" s="30"/>
      <c r="EO32" s="30"/>
      <c r="EP32" s="30"/>
      <c r="EQ32" s="30"/>
      <c r="ER32" s="30"/>
      <c r="ES32" s="30"/>
      <c r="ET32" s="85"/>
      <c r="EU32" s="85"/>
      <c r="EV32" s="70"/>
    </row>
    <row r="33" spans="2:152">
      <c r="B33" s="11">
        <f t="shared" si="0"/>
        <v>0.17</v>
      </c>
      <c r="C33" s="28">
        <v>1.38</v>
      </c>
      <c r="D33" s="16"/>
      <c r="E33" s="8"/>
      <c r="F33" s="27">
        <f t="shared" si="1"/>
        <v>-0.6795431642593216</v>
      </c>
      <c r="G33" s="27">
        <f t="shared" si="2"/>
        <v>-1247.0889999999997</v>
      </c>
      <c r="H33" s="27">
        <f t="shared" si="3"/>
        <v>-129.04889931330629</v>
      </c>
      <c r="I33" s="27">
        <f t="shared" si="4"/>
        <v>9.6636934265692869</v>
      </c>
      <c r="J33" s="27">
        <f t="shared" si="5"/>
        <v>-0.42389292325217143</v>
      </c>
      <c r="K33" s="27">
        <f t="shared" si="6"/>
        <v>0.38230043566898425</v>
      </c>
      <c r="L33" s="27">
        <f t="shared" si="7"/>
        <v>0.4197535165071028</v>
      </c>
      <c r="M33" s="17">
        <f t="shared" si="8"/>
        <v>0.14184408851855451</v>
      </c>
      <c r="N33" s="17">
        <f t="shared" si="9"/>
        <v>0.14184408851855451</v>
      </c>
      <c r="O33" s="57">
        <f t="shared" si="10"/>
        <v>0.14184408851855451</v>
      </c>
      <c r="P33" s="17">
        <f t="shared" si="11"/>
        <v>0.14184408851855451</v>
      </c>
      <c r="Q33" s="17">
        <f t="shared" si="12"/>
        <v>0</v>
      </c>
      <c r="S33" s="81"/>
      <c r="T33" s="30"/>
      <c r="U33" s="30"/>
      <c r="W33" s="30"/>
      <c r="X33" s="30"/>
      <c r="Y33" s="30"/>
      <c r="Z33" s="30"/>
      <c r="AA33" s="30"/>
      <c r="AB33" s="30"/>
      <c r="AC33" s="30"/>
      <c r="AD33" s="85"/>
      <c r="AE33" s="85"/>
      <c r="AF33" s="70"/>
      <c r="AH33" s="81"/>
      <c r="AI33" s="30"/>
      <c r="AJ33" s="30"/>
      <c r="AL33" s="30"/>
      <c r="AM33" s="30"/>
      <c r="AN33" s="30"/>
      <c r="AO33" s="30"/>
      <c r="AP33" s="30"/>
      <c r="AQ33" s="30"/>
      <c r="AR33" s="30"/>
      <c r="AS33" s="85"/>
      <c r="AT33" s="85"/>
      <c r="AU33" s="70"/>
      <c r="AW33" s="81"/>
      <c r="AX33" s="30"/>
      <c r="AY33" s="30"/>
      <c r="BA33" s="30"/>
      <c r="BB33" s="30"/>
      <c r="BC33" s="30"/>
      <c r="BD33" s="30"/>
      <c r="BE33" s="30"/>
      <c r="BF33" s="30"/>
      <c r="BG33" s="30"/>
      <c r="BH33" s="85"/>
      <c r="BI33" s="85"/>
      <c r="BJ33" s="70"/>
      <c r="BL33" s="81"/>
      <c r="BM33" s="30"/>
      <c r="BN33" s="30"/>
      <c r="BP33" s="30"/>
      <c r="BQ33" s="30"/>
      <c r="BR33" s="30"/>
      <c r="BS33" s="30"/>
      <c r="BT33" s="30"/>
      <c r="BU33" s="30"/>
      <c r="BV33" s="30"/>
      <c r="BW33" s="85"/>
      <c r="BX33" s="85"/>
      <c r="BY33" s="70"/>
      <c r="CA33" s="81"/>
      <c r="CB33" s="30"/>
      <c r="CC33" s="30"/>
      <c r="CE33" s="30"/>
      <c r="CF33" s="30"/>
      <c r="CG33" s="30"/>
      <c r="CH33" s="30"/>
      <c r="CI33" s="30"/>
      <c r="CJ33" s="30"/>
      <c r="CK33" s="30"/>
      <c r="CL33" s="85"/>
      <c r="CM33" s="85"/>
      <c r="CN33" s="70"/>
      <c r="CP33" s="81"/>
      <c r="CQ33" s="30"/>
      <c r="CR33" s="30"/>
      <c r="CT33" s="30"/>
      <c r="CU33" s="30"/>
      <c r="CV33" s="30"/>
      <c r="CW33" s="30"/>
      <c r="CX33" s="30"/>
      <c r="CY33" s="30"/>
      <c r="CZ33" s="30"/>
      <c r="DA33" s="85"/>
      <c r="DB33" s="85"/>
      <c r="DC33" s="70"/>
      <c r="DE33" s="81"/>
      <c r="DF33" s="30"/>
      <c r="DG33" s="30"/>
      <c r="DI33" s="30"/>
      <c r="DJ33" s="30"/>
      <c r="DK33" s="30"/>
      <c r="DL33" s="30"/>
      <c r="DM33" s="30"/>
      <c r="DN33" s="30"/>
      <c r="DO33" s="30"/>
      <c r="DP33" s="85"/>
      <c r="DQ33" s="85"/>
      <c r="DR33" s="70"/>
      <c r="DT33" s="81"/>
      <c r="DU33" s="30"/>
      <c r="DV33" s="30"/>
      <c r="DX33" s="30"/>
      <c r="DY33" s="30"/>
      <c r="DZ33" s="30"/>
      <c r="EA33" s="30"/>
      <c r="EB33" s="30"/>
      <c r="EC33" s="30"/>
      <c r="ED33" s="30"/>
      <c r="EE33" s="85"/>
      <c r="EF33" s="85"/>
      <c r="EG33" s="70"/>
      <c r="EI33" s="81"/>
      <c r="EJ33" s="30"/>
      <c r="EK33" s="30"/>
      <c r="EM33" s="30"/>
      <c r="EN33" s="30"/>
      <c r="EO33" s="30"/>
      <c r="EP33" s="30"/>
      <c r="EQ33" s="30"/>
      <c r="ER33" s="30"/>
      <c r="ES33" s="30"/>
      <c r="ET33" s="85"/>
      <c r="EU33" s="85"/>
      <c r="EV33" s="70"/>
    </row>
    <row r="34" spans="2:152">
      <c r="B34" s="11">
        <f t="shared" si="0"/>
        <v>0.17</v>
      </c>
      <c r="C34" s="28">
        <v>1.44</v>
      </c>
      <c r="D34" s="16"/>
      <c r="E34" s="8"/>
      <c r="F34" s="27">
        <f t="shared" si="1"/>
        <v>-0.70881749829118257</v>
      </c>
      <c r="G34" s="27">
        <f t="shared" si="2"/>
        <v>-1247.0889999999999</v>
      </c>
      <c r="H34" s="27">
        <f t="shared" si="3"/>
        <v>-120.92985543817866</v>
      </c>
      <c r="I34" s="27">
        <f t="shared" si="4"/>
        <v>10.312498890214355</v>
      </c>
      <c r="J34" s="27">
        <f t="shared" si="5"/>
        <v>-0.41362736782584103</v>
      </c>
      <c r="K34" s="27">
        <f t="shared" si="6"/>
        <v>0.38092980225703138</v>
      </c>
      <c r="L34" s="27">
        <f t="shared" si="7"/>
        <v>0.43880778883079874</v>
      </c>
      <c r="M34" s="17">
        <f t="shared" si="8"/>
        <v>0.14284650749651021</v>
      </c>
      <c r="N34" s="17">
        <f t="shared" si="9"/>
        <v>0.14284650749651021</v>
      </c>
      <c r="O34" s="57">
        <f t="shared" si="10"/>
        <v>0.14284650749651021</v>
      </c>
      <c r="P34" s="17">
        <f t="shared" si="11"/>
        <v>0.14284650749651021</v>
      </c>
      <c r="Q34" s="17">
        <f t="shared" si="12"/>
        <v>0</v>
      </c>
      <c r="S34" s="81"/>
      <c r="T34" s="30"/>
      <c r="U34" s="30"/>
      <c r="W34" s="30"/>
      <c r="X34" s="30"/>
      <c r="Y34" s="30"/>
      <c r="Z34" s="30"/>
      <c r="AA34" s="30"/>
      <c r="AB34" s="30"/>
      <c r="AC34" s="30"/>
      <c r="AD34" s="85"/>
      <c r="AE34" s="85"/>
      <c r="AF34" s="70"/>
      <c r="AH34" s="81"/>
      <c r="AI34" s="30"/>
      <c r="AJ34" s="30"/>
      <c r="AL34" s="30"/>
      <c r="AM34" s="30"/>
      <c r="AN34" s="30"/>
      <c r="AO34" s="30"/>
      <c r="AP34" s="30"/>
      <c r="AQ34" s="30"/>
      <c r="AR34" s="30"/>
      <c r="AS34" s="85"/>
      <c r="AT34" s="85"/>
      <c r="AU34" s="70"/>
      <c r="AW34" s="81"/>
      <c r="AX34" s="30"/>
      <c r="AY34" s="30"/>
      <c r="BA34" s="30"/>
      <c r="BB34" s="30"/>
      <c r="BC34" s="30"/>
      <c r="BD34" s="30"/>
      <c r="BE34" s="30"/>
      <c r="BF34" s="30"/>
      <c r="BG34" s="30"/>
      <c r="BH34" s="85"/>
      <c r="BI34" s="85"/>
      <c r="BJ34" s="70"/>
      <c r="BL34" s="81"/>
      <c r="BM34" s="30"/>
      <c r="BN34" s="30"/>
      <c r="BP34" s="30"/>
      <c r="BQ34" s="30"/>
      <c r="BR34" s="30"/>
      <c r="BS34" s="30"/>
      <c r="BT34" s="30"/>
      <c r="BU34" s="30"/>
      <c r="BV34" s="30"/>
      <c r="BW34" s="85"/>
      <c r="BX34" s="85"/>
      <c r="BY34" s="70"/>
      <c r="CA34" s="81"/>
      <c r="CB34" s="30"/>
      <c r="CC34" s="30"/>
      <c r="CE34" s="30"/>
      <c r="CF34" s="30"/>
      <c r="CG34" s="30"/>
      <c r="CH34" s="30"/>
      <c r="CI34" s="30"/>
      <c r="CJ34" s="30"/>
      <c r="CK34" s="30"/>
      <c r="CL34" s="85"/>
      <c r="CM34" s="85"/>
      <c r="CN34" s="70"/>
      <c r="CP34" s="81"/>
      <c r="CQ34" s="30"/>
      <c r="CR34" s="30"/>
      <c r="CT34" s="30"/>
      <c r="CU34" s="30"/>
      <c r="CV34" s="30"/>
      <c r="CW34" s="30"/>
      <c r="CX34" s="30"/>
      <c r="CY34" s="30"/>
      <c r="CZ34" s="30"/>
      <c r="DA34" s="85"/>
      <c r="DB34" s="85"/>
      <c r="DC34" s="70"/>
      <c r="DE34" s="81"/>
      <c r="DF34" s="30"/>
      <c r="DG34" s="30"/>
      <c r="DI34" s="30"/>
      <c r="DJ34" s="30"/>
      <c r="DK34" s="30"/>
      <c r="DL34" s="30"/>
      <c r="DM34" s="30"/>
      <c r="DN34" s="30"/>
      <c r="DO34" s="30"/>
      <c r="DP34" s="85"/>
      <c r="DQ34" s="85"/>
      <c r="DR34" s="70"/>
      <c r="DT34" s="81"/>
      <c r="DU34" s="30"/>
      <c r="DV34" s="30"/>
      <c r="DX34" s="30"/>
      <c r="DY34" s="30"/>
      <c r="DZ34" s="30"/>
      <c r="EA34" s="30"/>
      <c r="EB34" s="30"/>
      <c r="EC34" s="30"/>
      <c r="ED34" s="30"/>
      <c r="EE34" s="85"/>
      <c r="EF34" s="85"/>
      <c r="EG34" s="70"/>
      <c r="EI34" s="81"/>
      <c r="EJ34" s="30"/>
      <c r="EK34" s="30"/>
      <c r="EM34" s="30"/>
      <c r="EN34" s="30"/>
      <c r="EO34" s="30"/>
      <c r="EP34" s="30"/>
      <c r="EQ34" s="30"/>
      <c r="ER34" s="30"/>
      <c r="ES34" s="30"/>
      <c r="ET34" s="85"/>
      <c r="EU34" s="85"/>
      <c r="EV34" s="70"/>
    </row>
    <row r="35" spans="2:152">
      <c r="B35" s="11">
        <f t="shared" si="0"/>
        <v>0.17</v>
      </c>
      <c r="C35" s="28">
        <v>1.5</v>
      </c>
      <c r="D35" s="16"/>
      <c r="E35" s="8"/>
      <c r="F35" s="27">
        <f t="shared" si="1"/>
        <v>-0.73913043478260887</v>
      </c>
      <c r="G35" s="27">
        <f t="shared" si="2"/>
        <v>-1247.0889999999997</v>
      </c>
      <c r="H35" s="27">
        <f t="shared" si="3"/>
        <v>-112.810811563051</v>
      </c>
      <c r="I35" s="27">
        <f t="shared" si="4"/>
        <v>11.054693984742679</v>
      </c>
      <c r="J35" s="27">
        <f t="shared" si="5"/>
        <v>-0.40350877192982459</v>
      </c>
      <c r="K35" s="27">
        <f t="shared" si="6"/>
        <v>0.37924489419424501</v>
      </c>
      <c r="L35" s="27">
        <f t="shared" si="7"/>
        <v>0.45881899124773207</v>
      </c>
      <c r="M35" s="17">
        <f t="shared" si="8"/>
        <v>0.14391032296996423</v>
      </c>
      <c r="N35" s="17">
        <f t="shared" si="9"/>
        <v>0.14391032296996423</v>
      </c>
      <c r="O35" s="57">
        <f t="shared" si="10"/>
        <v>0.14391032296996423</v>
      </c>
      <c r="P35" s="17">
        <f t="shared" si="11"/>
        <v>0.14391032296996423</v>
      </c>
      <c r="Q35" s="17">
        <f t="shared" si="12"/>
        <v>0</v>
      </c>
      <c r="S35" s="81"/>
      <c r="T35" s="30"/>
      <c r="U35" s="30"/>
      <c r="W35" s="30"/>
      <c r="X35" s="30"/>
      <c r="Y35" s="30"/>
      <c r="Z35" s="30"/>
      <c r="AA35" s="30"/>
      <c r="AB35" s="30"/>
      <c r="AC35" s="30"/>
      <c r="AD35" s="85"/>
      <c r="AE35" s="85"/>
      <c r="AF35" s="70"/>
      <c r="AH35" s="81"/>
      <c r="AI35" s="30"/>
      <c r="AJ35" s="30"/>
      <c r="AL35" s="30"/>
      <c r="AM35" s="30"/>
      <c r="AN35" s="30"/>
      <c r="AO35" s="30"/>
      <c r="AP35" s="30"/>
      <c r="AQ35" s="30"/>
      <c r="AR35" s="30"/>
      <c r="AS35" s="85"/>
      <c r="AT35" s="85"/>
      <c r="AU35" s="70"/>
      <c r="AW35" s="81"/>
      <c r="AX35" s="30"/>
      <c r="AY35" s="30"/>
      <c r="BA35" s="30"/>
      <c r="BB35" s="30"/>
      <c r="BC35" s="30"/>
      <c r="BD35" s="30"/>
      <c r="BE35" s="30"/>
      <c r="BF35" s="30"/>
      <c r="BG35" s="30"/>
      <c r="BH35" s="85"/>
      <c r="BI35" s="85"/>
      <c r="BJ35" s="70"/>
      <c r="BL35" s="81"/>
      <c r="BM35" s="30"/>
      <c r="BN35" s="30"/>
      <c r="BP35" s="30"/>
      <c r="BQ35" s="30"/>
      <c r="BR35" s="30"/>
      <c r="BS35" s="30"/>
      <c r="BT35" s="30"/>
      <c r="BU35" s="30"/>
      <c r="BV35" s="30"/>
      <c r="BW35" s="85"/>
      <c r="BX35" s="85"/>
      <c r="BY35" s="70"/>
      <c r="CA35" s="81"/>
      <c r="CB35" s="30"/>
      <c r="CC35" s="30"/>
      <c r="CE35" s="30"/>
      <c r="CF35" s="30"/>
      <c r="CG35" s="30"/>
      <c r="CH35" s="30"/>
      <c r="CI35" s="30"/>
      <c r="CJ35" s="30"/>
      <c r="CK35" s="30"/>
      <c r="CL35" s="85"/>
      <c r="CM35" s="85"/>
      <c r="CN35" s="70"/>
      <c r="CP35" s="81"/>
      <c r="CQ35" s="30"/>
      <c r="CR35" s="30"/>
      <c r="CT35" s="30"/>
      <c r="CU35" s="30"/>
      <c r="CV35" s="30"/>
      <c r="CW35" s="30"/>
      <c r="CX35" s="30"/>
      <c r="CY35" s="30"/>
      <c r="CZ35" s="30"/>
      <c r="DA35" s="85"/>
      <c r="DB35" s="85"/>
      <c r="DC35" s="70"/>
      <c r="DE35" s="81"/>
      <c r="DF35" s="30"/>
      <c r="DG35" s="30"/>
      <c r="DI35" s="30"/>
      <c r="DJ35" s="30"/>
      <c r="DK35" s="30"/>
      <c r="DL35" s="30"/>
      <c r="DM35" s="30"/>
      <c r="DN35" s="30"/>
      <c r="DO35" s="30"/>
      <c r="DP35" s="85"/>
      <c r="DQ35" s="85"/>
      <c r="DR35" s="70"/>
      <c r="DT35" s="81"/>
      <c r="DU35" s="30"/>
      <c r="DV35" s="30"/>
      <c r="DX35" s="30"/>
      <c r="DY35" s="30"/>
      <c r="DZ35" s="30"/>
      <c r="EA35" s="30"/>
      <c r="EB35" s="30"/>
      <c r="EC35" s="30"/>
      <c r="ED35" s="30"/>
      <c r="EE35" s="85"/>
      <c r="EF35" s="85"/>
      <c r="EG35" s="70"/>
      <c r="EI35" s="81"/>
      <c r="EJ35" s="30"/>
      <c r="EK35" s="30"/>
      <c r="EM35" s="30"/>
      <c r="EN35" s="30"/>
      <c r="EO35" s="30"/>
      <c r="EP35" s="30"/>
      <c r="EQ35" s="30"/>
      <c r="ER35" s="30"/>
      <c r="ES35" s="30"/>
      <c r="ET35" s="85"/>
      <c r="EU35" s="85"/>
      <c r="EV35" s="70"/>
    </row>
    <row r="36" spans="2:152">
      <c r="B36" s="11">
        <f t="shared" si="0"/>
        <v>0.17</v>
      </c>
      <c r="C36" s="28">
        <v>1.56</v>
      </c>
      <c r="D36" s="16"/>
      <c r="E36" s="8"/>
      <c r="F36" s="27">
        <f t="shared" si="1"/>
        <v>-0.77053824362606238</v>
      </c>
      <c r="G36" s="27">
        <f t="shared" si="2"/>
        <v>-1247.0889999999999</v>
      </c>
      <c r="H36" s="27">
        <f t="shared" si="3"/>
        <v>-104.6917676879234</v>
      </c>
      <c r="I36" s="27">
        <f t="shared" si="4"/>
        <v>11.912006335755628</v>
      </c>
      <c r="J36" s="27">
        <f t="shared" si="5"/>
        <v>-0.3935340022296544</v>
      </c>
      <c r="K36" s="27">
        <f t="shared" si="6"/>
        <v>0.37719276144271974</v>
      </c>
      <c r="L36" s="27">
        <f t="shared" si="7"/>
        <v>0.47989679571552479</v>
      </c>
      <c r="M36" s="17">
        <f t="shared" si="8"/>
        <v>0.14504356489922768</v>
      </c>
      <c r="N36" s="17">
        <f t="shared" si="9"/>
        <v>0.14504356489922768</v>
      </c>
      <c r="O36" s="57">
        <f t="shared" si="10"/>
        <v>0.14504356489922768</v>
      </c>
      <c r="P36" s="17">
        <f t="shared" si="11"/>
        <v>0.14504356489922768</v>
      </c>
      <c r="Q36" s="17">
        <f t="shared" si="12"/>
        <v>0</v>
      </c>
      <c r="S36" s="81"/>
      <c r="T36" s="30"/>
      <c r="U36" s="30"/>
      <c r="W36" s="30"/>
      <c r="X36" s="30"/>
      <c r="Y36" s="30"/>
      <c r="Z36" s="30"/>
      <c r="AA36" s="30"/>
      <c r="AB36" s="30"/>
      <c r="AC36" s="30"/>
      <c r="AD36" s="85"/>
      <c r="AE36" s="85"/>
      <c r="AF36" s="70"/>
      <c r="AH36" s="81"/>
      <c r="AI36" s="30"/>
      <c r="AJ36" s="30"/>
      <c r="AL36" s="30"/>
      <c r="AM36" s="30"/>
      <c r="AN36" s="30"/>
      <c r="AO36" s="30"/>
      <c r="AP36" s="30"/>
      <c r="AQ36" s="30"/>
      <c r="AR36" s="30"/>
      <c r="AS36" s="85"/>
      <c r="AT36" s="85"/>
      <c r="AU36" s="70"/>
      <c r="AW36" s="81"/>
      <c r="AX36" s="30"/>
      <c r="AY36" s="30"/>
      <c r="BA36" s="30"/>
      <c r="BB36" s="30"/>
      <c r="BC36" s="30"/>
      <c r="BD36" s="30"/>
      <c r="BE36" s="30"/>
      <c r="BF36" s="30"/>
      <c r="BG36" s="30"/>
      <c r="BH36" s="85"/>
      <c r="BI36" s="85"/>
      <c r="BJ36" s="70"/>
      <c r="BL36" s="81"/>
      <c r="BM36" s="30"/>
      <c r="BN36" s="30"/>
      <c r="BP36" s="30"/>
      <c r="BQ36" s="30"/>
      <c r="BR36" s="30"/>
      <c r="BS36" s="30"/>
      <c r="BT36" s="30"/>
      <c r="BU36" s="30"/>
      <c r="BV36" s="30"/>
      <c r="BW36" s="85"/>
      <c r="BX36" s="85"/>
      <c r="BY36" s="70"/>
      <c r="CA36" s="81"/>
      <c r="CB36" s="30"/>
      <c r="CC36" s="30"/>
      <c r="CE36" s="30"/>
      <c r="CF36" s="30"/>
      <c r="CG36" s="30"/>
      <c r="CH36" s="30"/>
      <c r="CI36" s="30"/>
      <c r="CJ36" s="30"/>
      <c r="CK36" s="30"/>
      <c r="CL36" s="85"/>
      <c r="CM36" s="85"/>
      <c r="CN36" s="70"/>
      <c r="CP36" s="81"/>
      <c r="CQ36" s="30"/>
      <c r="CR36" s="30"/>
      <c r="CT36" s="30"/>
      <c r="CU36" s="30"/>
      <c r="CV36" s="30"/>
      <c r="CW36" s="30"/>
      <c r="CX36" s="30"/>
      <c r="CY36" s="30"/>
      <c r="CZ36" s="30"/>
      <c r="DA36" s="85"/>
      <c r="DB36" s="85"/>
      <c r="DC36" s="70"/>
      <c r="DE36" s="81"/>
      <c r="DF36" s="30"/>
      <c r="DG36" s="30"/>
      <c r="DI36" s="30"/>
      <c r="DJ36" s="30"/>
      <c r="DK36" s="30"/>
      <c r="DL36" s="30"/>
      <c r="DM36" s="30"/>
      <c r="DN36" s="30"/>
      <c r="DO36" s="30"/>
      <c r="DP36" s="85"/>
      <c r="DQ36" s="85"/>
      <c r="DR36" s="70"/>
      <c r="DT36" s="81"/>
      <c r="DU36" s="30"/>
      <c r="DV36" s="30"/>
      <c r="DX36" s="30"/>
      <c r="DY36" s="30"/>
      <c r="DZ36" s="30"/>
      <c r="EA36" s="30"/>
      <c r="EB36" s="30"/>
      <c r="EC36" s="30"/>
      <c r="ED36" s="30"/>
      <c r="EE36" s="85"/>
      <c r="EF36" s="85"/>
      <c r="EG36" s="70"/>
      <c r="EI36" s="81"/>
      <c r="EJ36" s="30"/>
      <c r="EK36" s="30"/>
      <c r="EM36" s="30"/>
      <c r="EN36" s="30"/>
      <c r="EO36" s="30"/>
      <c r="EP36" s="30"/>
      <c r="EQ36" s="30"/>
      <c r="ER36" s="30"/>
      <c r="ES36" s="30"/>
      <c r="ET36" s="85"/>
      <c r="EU36" s="85"/>
      <c r="EV36" s="70"/>
    </row>
    <row r="37" spans="2:152">
      <c r="B37" s="11">
        <f t="shared" si="0"/>
        <v>0.17</v>
      </c>
      <c r="C37" s="28">
        <v>1.62</v>
      </c>
      <c r="D37" s="16"/>
      <c r="E37" s="8"/>
      <c r="F37" s="27">
        <f t="shared" si="1"/>
        <v>-0.80310133429498753</v>
      </c>
      <c r="G37" s="27">
        <f t="shared" si="2"/>
        <v>-1247.0890000000002</v>
      </c>
      <c r="H37" s="27">
        <f t="shared" si="3"/>
        <v>-96.5727238127958</v>
      </c>
      <c r="I37" s="27">
        <f t="shared" si="4"/>
        <v>12.913470292268613</v>
      </c>
      <c r="J37" s="27">
        <f t="shared" si="5"/>
        <v>-0.38370001383700009</v>
      </c>
      <c r="K37" s="27">
        <f t="shared" si="6"/>
        <v>0.37470785550856811</v>
      </c>
      <c r="L37" s="27">
        <f t="shared" si="7"/>
        <v>0.50217295556524311</v>
      </c>
      <c r="M37" s="17">
        <f t="shared" si="8"/>
        <v>0.14625600784816115</v>
      </c>
      <c r="N37" s="17">
        <f t="shared" si="9"/>
        <v>0.14625600784816115</v>
      </c>
      <c r="O37" s="57">
        <f t="shared" si="10"/>
        <v>0.14625600784816115</v>
      </c>
      <c r="P37" s="17">
        <f t="shared" si="11"/>
        <v>0.14625600784816115</v>
      </c>
      <c r="Q37" s="17">
        <f t="shared" si="12"/>
        <v>0</v>
      </c>
      <c r="S37" s="81"/>
      <c r="T37" s="30"/>
      <c r="U37" s="30"/>
      <c r="W37" s="30"/>
      <c r="X37" s="30"/>
      <c r="Y37" s="30"/>
      <c r="Z37" s="30"/>
      <c r="AA37" s="30"/>
      <c r="AB37" s="30"/>
      <c r="AC37" s="30"/>
      <c r="AD37" s="85"/>
      <c r="AE37" s="85"/>
      <c r="AF37" s="70"/>
      <c r="AH37" s="81"/>
      <c r="AI37" s="30"/>
      <c r="AJ37" s="30"/>
      <c r="AL37" s="30"/>
      <c r="AM37" s="30"/>
      <c r="AN37" s="30"/>
      <c r="AO37" s="30"/>
      <c r="AP37" s="30"/>
      <c r="AQ37" s="30"/>
      <c r="AR37" s="30"/>
      <c r="AS37" s="85"/>
      <c r="AT37" s="85"/>
      <c r="AU37" s="70"/>
      <c r="AW37" s="81"/>
      <c r="AX37" s="30"/>
      <c r="AY37" s="30"/>
      <c r="BA37" s="30"/>
      <c r="BB37" s="30"/>
      <c r="BC37" s="30"/>
      <c r="BD37" s="30"/>
      <c r="BE37" s="30"/>
      <c r="BF37" s="30"/>
      <c r="BG37" s="30"/>
      <c r="BH37" s="85"/>
      <c r="BI37" s="85"/>
      <c r="BJ37" s="70"/>
      <c r="BL37" s="81"/>
      <c r="BM37" s="30"/>
      <c r="BN37" s="30"/>
      <c r="BP37" s="30"/>
      <c r="BQ37" s="30"/>
      <c r="BR37" s="30"/>
      <c r="BS37" s="30"/>
      <c r="BT37" s="30"/>
      <c r="BU37" s="30"/>
      <c r="BV37" s="30"/>
      <c r="BW37" s="85"/>
      <c r="BX37" s="85"/>
      <c r="BY37" s="70"/>
      <c r="CA37" s="81"/>
      <c r="CB37" s="30"/>
      <c r="CC37" s="30"/>
      <c r="CE37" s="30"/>
      <c r="CF37" s="30"/>
      <c r="CG37" s="30"/>
      <c r="CH37" s="30"/>
      <c r="CI37" s="30"/>
      <c r="CJ37" s="30"/>
      <c r="CK37" s="30"/>
      <c r="CL37" s="85"/>
      <c r="CM37" s="85"/>
      <c r="CN37" s="70"/>
      <c r="CP37" s="81"/>
      <c r="CQ37" s="30"/>
      <c r="CR37" s="30"/>
      <c r="CT37" s="30"/>
      <c r="CU37" s="30"/>
      <c r="CV37" s="30"/>
      <c r="CW37" s="30"/>
      <c r="CX37" s="30"/>
      <c r="CY37" s="30"/>
      <c r="CZ37" s="30"/>
      <c r="DA37" s="85"/>
      <c r="DB37" s="85"/>
      <c r="DC37" s="70"/>
      <c r="DE37" s="81"/>
      <c r="DF37" s="30"/>
      <c r="DG37" s="30"/>
      <c r="DI37" s="30"/>
      <c r="DJ37" s="30"/>
      <c r="DK37" s="30"/>
      <c r="DL37" s="30"/>
      <c r="DM37" s="30"/>
      <c r="DN37" s="30"/>
      <c r="DO37" s="30"/>
      <c r="DP37" s="85"/>
      <c r="DQ37" s="85"/>
      <c r="DR37" s="70"/>
      <c r="DT37" s="81"/>
      <c r="DU37" s="30"/>
      <c r="DV37" s="30"/>
      <c r="DX37" s="30"/>
      <c r="DY37" s="30"/>
      <c r="DZ37" s="30"/>
      <c r="EA37" s="30"/>
      <c r="EB37" s="30"/>
      <c r="EC37" s="30"/>
      <c r="ED37" s="30"/>
      <c r="EE37" s="85"/>
      <c r="EF37" s="85"/>
      <c r="EG37" s="70"/>
      <c r="EI37" s="81"/>
      <c r="EJ37" s="30"/>
      <c r="EK37" s="30"/>
      <c r="EM37" s="30"/>
      <c r="EN37" s="30"/>
      <c r="EO37" s="30"/>
      <c r="EP37" s="30"/>
      <c r="EQ37" s="30"/>
      <c r="ER37" s="30"/>
      <c r="ES37" s="30"/>
      <c r="ET37" s="85"/>
      <c r="EU37" s="85"/>
      <c r="EV37" s="70"/>
    </row>
    <row r="38" spans="2:152">
      <c r="B38" s="11">
        <f t="shared" si="0"/>
        <v>0.17</v>
      </c>
      <c r="C38" s="28">
        <v>1.68</v>
      </c>
      <c r="D38" s="16"/>
      <c r="E38" s="8"/>
      <c r="F38" s="27">
        <f t="shared" si="1"/>
        <v>-0.8368846436443792</v>
      </c>
      <c r="G38" s="27">
        <f t="shared" si="2"/>
        <v>-1247.0889999999999</v>
      </c>
      <c r="H38" s="27">
        <f t="shared" si="3"/>
        <v>-88.453679937668142</v>
      </c>
      <c r="I38" s="27">
        <f t="shared" si="4"/>
        <v>14.098780298104083</v>
      </c>
      <c r="J38" s="27">
        <f t="shared" si="5"/>
        <v>-0.37400384721077218</v>
      </c>
      <c r="K38" s="27">
        <f t="shared" si="6"/>
        <v>0.37170780621827332</v>
      </c>
      <c r="L38" s="27">
        <f t="shared" si="7"/>
        <v>0.52580808869756557</v>
      </c>
      <c r="M38" s="17">
        <f t="shared" si="8"/>
        <v>0.14755973139461645</v>
      </c>
      <c r="N38" s="17">
        <f t="shared" si="9"/>
        <v>0.14755973139461645</v>
      </c>
      <c r="O38" s="57">
        <f t="shared" si="10"/>
        <v>0.14755973139461645</v>
      </c>
      <c r="P38" s="17">
        <f t="shared" si="11"/>
        <v>0.14755973139461645</v>
      </c>
      <c r="Q38" s="17">
        <f t="shared" si="12"/>
        <v>0</v>
      </c>
      <c r="S38" s="81"/>
      <c r="T38" s="30"/>
      <c r="U38" s="30"/>
      <c r="W38" s="30"/>
      <c r="X38" s="30"/>
      <c r="Y38" s="30"/>
      <c r="Z38" s="30"/>
      <c r="AA38" s="30"/>
      <c r="AB38" s="30"/>
      <c r="AC38" s="30"/>
      <c r="AD38" s="85"/>
      <c r="AE38" s="85"/>
      <c r="AF38" s="70"/>
      <c r="AH38" s="81"/>
      <c r="AI38" s="30"/>
      <c r="AJ38" s="30"/>
      <c r="AL38" s="30"/>
      <c r="AM38" s="30"/>
      <c r="AN38" s="30"/>
      <c r="AO38" s="30"/>
      <c r="AP38" s="30"/>
      <c r="AQ38" s="30"/>
      <c r="AR38" s="30"/>
      <c r="AS38" s="85"/>
      <c r="AT38" s="85"/>
      <c r="AU38" s="70"/>
      <c r="AW38" s="81"/>
      <c r="AX38" s="30"/>
      <c r="AY38" s="30"/>
      <c r="BA38" s="30"/>
      <c r="BB38" s="30"/>
      <c r="BC38" s="30"/>
      <c r="BD38" s="30"/>
      <c r="BE38" s="30"/>
      <c r="BF38" s="30"/>
      <c r="BG38" s="30"/>
      <c r="BH38" s="85"/>
      <c r="BI38" s="85"/>
      <c r="BJ38" s="70"/>
      <c r="BL38" s="81"/>
      <c r="BM38" s="30"/>
      <c r="BN38" s="30"/>
      <c r="BP38" s="30"/>
      <c r="BQ38" s="30"/>
      <c r="BR38" s="30"/>
      <c r="BS38" s="30"/>
      <c r="BT38" s="30"/>
      <c r="BU38" s="30"/>
      <c r="BV38" s="30"/>
      <c r="BW38" s="85"/>
      <c r="BX38" s="85"/>
      <c r="BY38" s="70"/>
      <c r="CA38" s="81"/>
      <c r="CB38" s="30"/>
      <c r="CC38" s="30"/>
      <c r="CE38" s="30"/>
      <c r="CF38" s="30"/>
      <c r="CG38" s="30"/>
      <c r="CH38" s="30"/>
      <c r="CI38" s="30"/>
      <c r="CJ38" s="30"/>
      <c r="CK38" s="30"/>
      <c r="CL38" s="85"/>
      <c r="CM38" s="85"/>
      <c r="CN38" s="70"/>
      <c r="CP38" s="81"/>
      <c r="CQ38" s="30"/>
      <c r="CR38" s="30"/>
      <c r="CT38" s="30"/>
      <c r="CU38" s="30"/>
      <c r="CV38" s="30"/>
      <c r="CW38" s="30"/>
      <c r="CX38" s="30"/>
      <c r="CY38" s="30"/>
      <c r="CZ38" s="30"/>
      <c r="DA38" s="85"/>
      <c r="DB38" s="85"/>
      <c r="DC38" s="70"/>
      <c r="DE38" s="81"/>
      <c r="DF38" s="30"/>
      <c r="DG38" s="30"/>
      <c r="DI38" s="30"/>
      <c r="DJ38" s="30"/>
      <c r="DK38" s="30"/>
      <c r="DL38" s="30"/>
      <c r="DM38" s="30"/>
      <c r="DN38" s="30"/>
      <c r="DO38" s="30"/>
      <c r="DP38" s="85"/>
      <c r="DQ38" s="85"/>
      <c r="DR38" s="70"/>
      <c r="DT38" s="81"/>
      <c r="DU38" s="30"/>
      <c r="DV38" s="30"/>
      <c r="DX38" s="30"/>
      <c r="DY38" s="30"/>
      <c r="DZ38" s="30"/>
      <c r="EA38" s="30"/>
      <c r="EB38" s="30"/>
      <c r="EC38" s="30"/>
      <c r="ED38" s="30"/>
      <c r="EE38" s="85"/>
      <c r="EF38" s="85"/>
      <c r="EG38" s="70"/>
      <c r="EI38" s="81"/>
      <c r="EJ38" s="30"/>
      <c r="EK38" s="30"/>
      <c r="EM38" s="30"/>
      <c r="EN38" s="30"/>
      <c r="EO38" s="30"/>
      <c r="EP38" s="30"/>
      <c r="EQ38" s="30"/>
      <c r="ER38" s="30"/>
      <c r="ES38" s="30"/>
      <c r="ET38" s="85"/>
      <c r="EU38" s="85"/>
      <c r="EV38" s="70"/>
    </row>
    <row r="39" spans="2:152">
      <c r="B39" s="11">
        <f t="shared" si="0"/>
        <v>0.17</v>
      </c>
      <c r="C39" s="28">
        <v>1.74</v>
      </c>
      <c r="D39" s="16"/>
      <c r="E39" s="8"/>
      <c r="F39" s="27">
        <f t="shared" si="1"/>
        <v>-0.87195806813927379</v>
      </c>
      <c r="G39" s="27">
        <f t="shared" si="2"/>
        <v>-1247.0890000000002</v>
      </c>
      <c r="H39" s="27">
        <f t="shared" si="3"/>
        <v>-80.33463606254054</v>
      </c>
      <c r="I39" s="27">
        <f t="shared" si="4"/>
        <v>15.523677720144782</v>
      </c>
      <c r="J39" s="27">
        <f t="shared" si="5"/>
        <v>-0.36444262518761084</v>
      </c>
      <c r="K39" s="27">
        <f t="shared" si="6"/>
        <v>0.36808726733614056</v>
      </c>
      <c r="L39" s="27">
        <f t="shared" si="7"/>
        <v>0.55100140560618815</v>
      </c>
      <c r="M39" s="17">
        <f t="shared" si="8"/>
        <v>0.14896993064185915</v>
      </c>
      <c r="N39" s="17">
        <f t="shared" si="9"/>
        <v>0.14896993064185915</v>
      </c>
      <c r="O39" s="57">
        <f t="shared" si="10"/>
        <v>0.14896993064185915</v>
      </c>
      <c r="P39" s="17">
        <f t="shared" si="11"/>
        <v>0.14896993064185915</v>
      </c>
      <c r="Q39" s="17">
        <f t="shared" si="12"/>
        <v>0</v>
      </c>
      <c r="S39" s="81"/>
      <c r="T39" s="30"/>
      <c r="U39" s="30"/>
      <c r="W39" s="30"/>
      <c r="X39" s="30"/>
      <c r="Y39" s="30"/>
      <c r="Z39" s="30"/>
      <c r="AA39" s="30"/>
      <c r="AB39" s="30"/>
      <c r="AC39" s="30"/>
      <c r="AD39" s="85"/>
      <c r="AE39" s="85"/>
      <c r="AF39" s="70"/>
      <c r="AH39" s="81"/>
      <c r="AI39" s="30"/>
      <c r="AJ39" s="30"/>
      <c r="AL39" s="30"/>
      <c r="AM39" s="30"/>
      <c r="AN39" s="30"/>
      <c r="AO39" s="30"/>
      <c r="AP39" s="30"/>
      <c r="AQ39" s="30"/>
      <c r="AR39" s="30"/>
      <c r="AS39" s="85"/>
      <c r="AT39" s="85"/>
      <c r="AU39" s="70"/>
      <c r="AW39" s="81"/>
      <c r="AX39" s="30"/>
      <c r="AY39" s="30"/>
      <c r="BA39" s="30"/>
      <c r="BB39" s="30"/>
      <c r="BC39" s="30"/>
      <c r="BD39" s="30"/>
      <c r="BE39" s="30"/>
      <c r="BF39" s="30"/>
      <c r="BG39" s="30"/>
      <c r="BH39" s="85"/>
      <c r="BI39" s="85"/>
      <c r="BJ39" s="70"/>
      <c r="BL39" s="81"/>
      <c r="BM39" s="30"/>
      <c r="BN39" s="30"/>
      <c r="BP39" s="30"/>
      <c r="BQ39" s="30"/>
      <c r="BR39" s="30"/>
      <c r="BS39" s="30"/>
      <c r="BT39" s="30"/>
      <c r="BU39" s="30"/>
      <c r="BV39" s="30"/>
      <c r="BW39" s="85"/>
      <c r="BX39" s="85"/>
      <c r="BY39" s="70"/>
      <c r="CA39" s="81"/>
      <c r="CB39" s="30"/>
      <c r="CC39" s="30"/>
      <c r="CE39" s="30"/>
      <c r="CF39" s="30"/>
      <c r="CG39" s="30"/>
      <c r="CH39" s="30"/>
      <c r="CI39" s="30"/>
      <c r="CJ39" s="30"/>
      <c r="CK39" s="30"/>
      <c r="CL39" s="85"/>
      <c r="CM39" s="85"/>
      <c r="CN39" s="70"/>
      <c r="CP39" s="81"/>
      <c r="CQ39" s="30"/>
      <c r="CR39" s="30"/>
      <c r="CT39" s="30"/>
      <c r="CU39" s="30"/>
      <c r="CV39" s="30"/>
      <c r="CW39" s="30"/>
      <c r="CX39" s="30"/>
      <c r="CY39" s="30"/>
      <c r="CZ39" s="30"/>
      <c r="DA39" s="85"/>
      <c r="DB39" s="85"/>
      <c r="DC39" s="70"/>
      <c r="DE39" s="81"/>
      <c r="DF39" s="30"/>
      <c r="DG39" s="30"/>
      <c r="DI39" s="30"/>
      <c r="DJ39" s="30"/>
      <c r="DK39" s="30"/>
      <c r="DL39" s="30"/>
      <c r="DM39" s="30"/>
      <c r="DN39" s="30"/>
      <c r="DO39" s="30"/>
      <c r="DP39" s="85"/>
      <c r="DQ39" s="85"/>
      <c r="DR39" s="70"/>
      <c r="DT39" s="81"/>
      <c r="DU39" s="30"/>
      <c r="DV39" s="30"/>
      <c r="DX39" s="30"/>
      <c r="DY39" s="30"/>
      <c r="DZ39" s="30"/>
      <c r="EA39" s="30"/>
      <c r="EB39" s="30"/>
      <c r="EC39" s="30"/>
      <c r="ED39" s="30"/>
      <c r="EE39" s="85"/>
      <c r="EF39" s="85"/>
      <c r="EG39" s="70"/>
      <c r="EI39" s="81"/>
      <c r="EJ39" s="30"/>
      <c r="EK39" s="30"/>
      <c r="EM39" s="30"/>
      <c r="EN39" s="30"/>
      <c r="EO39" s="30"/>
      <c r="EP39" s="30"/>
      <c r="EQ39" s="30"/>
      <c r="ER39" s="30"/>
      <c r="ES39" s="30"/>
      <c r="ET39" s="85"/>
      <c r="EU39" s="85"/>
      <c r="EV39" s="70"/>
    </row>
    <row r="40" spans="2:152">
      <c r="B40" s="11">
        <f t="shared" si="0"/>
        <v>0.17</v>
      </c>
      <c r="C40" s="28">
        <v>1.8</v>
      </c>
      <c r="D40" s="16"/>
      <c r="E40" s="8"/>
      <c r="F40" s="27">
        <f t="shared" si="1"/>
        <v>-0.90839694656488545</v>
      </c>
      <c r="G40" s="27">
        <f t="shared" si="2"/>
        <v>-1247.0889999999999</v>
      </c>
      <c r="H40" s="27">
        <f t="shared" si="3"/>
        <v>-72.215592187412881</v>
      </c>
      <c r="I40" s="27">
        <f t="shared" si="4"/>
        <v>17.268971453748829</v>
      </c>
      <c r="J40" s="27">
        <f t="shared" si="5"/>
        <v>-0.3550135501355014</v>
      </c>
      <c r="K40" s="27">
        <f t="shared" si="6"/>
        <v>0.36370865632245508</v>
      </c>
      <c r="L40" s="27">
        <f t="shared" si="7"/>
        <v>0.57800511372234997</v>
      </c>
      <c r="M40" s="17">
        <f t="shared" si="8"/>
        <v>0.15050612653853046</v>
      </c>
      <c r="N40" s="17">
        <f t="shared" si="9"/>
        <v>0.15050612653853046</v>
      </c>
      <c r="O40" s="57">
        <f t="shared" si="10"/>
        <v>0.15050612653853046</v>
      </c>
      <c r="P40" s="17">
        <f t="shared" si="11"/>
        <v>0.15050612653853046</v>
      </c>
      <c r="Q40" s="17">
        <f t="shared" si="12"/>
        <v>0</v>
      </c>
      <c r="S40" s="81"/>
      <c r="T40" s="30"/>
      <c r="U40" s="30"/>
      <c r="W40" s="30"/>
      <c r="X40" s="30"/>
      <c r="Y40" s="30"/>
      <c r="Z40" s="30"/>
      <c r="AA40" s="30"/>
      <c r="AB40" s="30"/>
      <c r="AC40" s="30"/>
      <c r="AD40" s="85"/>
      <c r="AE40" s="85"/>
      <c r="AF40" s="70"/>
      <c r="AH40" s="81"/>
      <c r="AI40" s="30"/>
      <c r="AJ40" s="30"/>
      <c r="AL40" s="30"/>
      <c r="AM40" s="30"/>
      <c r="AN40" s="30"/>
      <c r="AO40" s="30"/>
      <c r="AP40" s="30"/>
      <c r="AQ40" s="30"/>
      <c r="AR40" s="30"/>
      <c r="AS40" s="85"/>
      <c r="AT40" s="85"/>
      <c r="AU40" s="70"/>
      <c r="AW40" s="81"/>
      <c r="AX40" s="30"/>
      <c r="AY40" s="30"/>
      <c r="BA40" s="30"/>
      <c r="BB40" s="30"/>
      <c r="BC40" s="30"/>
      <c r="BD40" s="30"/>
      <c r="BE40" s="30"/>
      <c r="BF40" s="30"/>
      <c r="BG40" s="30"/>
      <c r="BH40" s="85"/>
      <c r="BI40" s="85"/>
      <c r="BJ40" s="70"/>
      <c r="BL40" s="81"/>
      <c r="BM40" s="30"/>
      <c r="BN40" s="30"/>
      <c r="BP40" s="30"/>
      <c r="BQ40" s="30"/>
      <c r="BR40" s="30"/>
      <c r="BS40" s="30"/>
      <c r="BT40" s="30"/>
      <c r="BU40" s="30"/>
      <c r="BV40" s="30"/>
      <c r="BW40" s="85"/>
      <c r="BX40" s="85"/>
      <c r="BY40" s="70"/>
      <c r="CA40" s="81"/>
      <c r="CB40" s="30"/>
      <c r="CC40" s="30"/>
      <c r="CE40" s="30"/>
      <c r="CF40" s="30"/>
      <c r="CG40" s="30"/>
      <c r="CH40" s="30"/>
      <c r="CI40" s="30"/>
      <c r="CJ40" s="30"/>
      <c r="CK40" s="30"/>
      <c r="CL40" s="85"/>
      <c r="CM40" s="85"/>
      <c r="CN40" s="70"/>
      <c r="CP40" s="81"/>
      <c r="CQ40" s="30"/>
      <c r="CR40" s="30"/>
      <c r="CT40" s="30"/>
      <c r="CU40" s="30"/>
      <c r="CV40" s="30"/>
      <c r="CW40" s="30"/>
      <c r="CX40" s="30"/>
      <c r="CY40" s="30"/>
      <c r="CZ40" s="30"/>
      <c r="DA40" s="85"/>
      <c r="DB40" s="85"/>
      <c r="DC40" s="70"/>
      <c r="DE40" s="81"/>
      <c r="DF40" s="30"/>
      <c r="DG40" s="30"/>
      <c r="DI40" s="30"/>
      <c r="DJ40" s="30"/>
      <c r="DK40" s="30"/>
      <c r="DL40" s="30"/>
      <c r="DM40" s="30"/>
      <c r="DN40" s="30"/>
      <c r="DO40" s="30"/>
      <c r="DP40" s="85"/>
      <c r="DQ40" s="85"/>
      <c r="DR40" s="70"/>
      <c r="DT40" s="81"/>
      <c r="DU40" s="30"/>
      <c r="DV40" s="30"/>
      <c r="DX40" s="30"/>
      <c r="DY40" s="30"/>
      <c r="DZ40" s="30"/>
      <c r="EA40" s="30"/>
      <c r="EB40" s="30"/>
      <c r="EC40" s="30"/>
      <c r="ED40" s="30"/>
      <c r="EE40" s="85"/>
      <c r="EF40" s="85"/>
      <c r="EG40" s="70"/>
      <c r="EI40" s="81"/>
      <c r="EJ40" s="30"/>
      <c r="EK40" s="30"/>
      <c r="EM40" s="30"/>
      <c r="EN40" s="30"/>
      <c r="EO40" s="30"/>
      <c r="EP40" s="30"/>
      <c r="EQ40" s="30"/>
      <c r="ER40" s="30"/>
      <c r="ES40" s="30"/>
      <c r="ET40" s="85"/>
      <c r="EU40" s="85"/>
      <c r="EV40" s="70"/>
    </row>
    <row r="41" spans="2:152">
      <c r="B41" s="11">
        <f t="shared" si="0"/>
        <v>0.17</v>
      </c>
      <c r="C41" s="28">
        <v>1.86</v>
      </c>
      <c r="D41" s="16"/>
      <c r="E41" s="8"/>
      <c r="F41" s="27">
        <f t="shared" si="1"/>
        <v>-0.94628260023355415</v>
      </c>
      <c r="G41" s="27">
        <f t="shared" si="2"/>
        <v>-1247.0890000000002</v>
      </c>
      <c r="H41" s="27">
        <f t="shared" si="3"/>
        <v>-64.096548312285279</v>
      </c>
      <c r="I41" s="27">
        <f t="shared" si="4"/>
        <v>19.456414313046132</v>
      </c>
      <c r="J41" s="27">
        <f t="shared" si="5"/>
        <v>-0.34571390122459955</v>
      </c>
      <c r="K41" s="27">
        <f t="shared" si="6"/>
        <v>0.35838767723010578</v>
      </c>
      <c r="L41" s="27">
        <f t="shared" si="7"/>
        <v>0.60714657713258591</v>
      </c>
      <c r="M41" s="17">
        <f t="shared" si="8"/>
        <v>0.15219404363549749</v>
      </c>
      <c r="N41" s="17">
        <f t="shared" si="9"/>
        <v>0.15219404363549749</v>
      </c>
      <c r="O41" s="57">
        <f t="shared" si="10"/>
        <v>0.15219404363549749</v>
      </c>
      <c r="P41" s="17">
        <f t="shared" si="11"/>
        <v>0.15219404363549749</v>
      </c>
      <c r="Q41" s="17">
        <f t="shared" si="12"/>
        <v>0</v>
      </c>
      <c r="S41" s="81"/>
      <c r="T41" s="30"/>
      <c r="U41" s="30"/>
      <c r="W41" s="30"/>
      <c r="X41" s="30"/>
      <c r="Y41" s="30"/>
      <c r="Z41" s="30"/>
      <c r="AA41" s="30"/>
      <c r="AB41" s="30"/>
      <c r="AC41" s="30"/>
      <c r="AD41" s="85"/>
      <c r="AE41" s="85"/>
      <c r="AF41" s="70"/>
      <c r="AH41" s="81"/>
      <c r="AI41" s="30"/>
      <c r="AJ41" s="30"/>
      <c r="AL41" s="30"/>
      <c r="AM41" s="30"/>
      <c r="AN41" s="30"/>
      <c r="AO41" s="30"/>
      <c r="AP41" s="30"/>
      <c r="AQ41" s="30"/>
      <c r="AR41" s="30"/>
      <c r="AS41" s="85"/>
      <c r="AT41" s="85"/>
      <c r="AU41" s="70"/>
      <c r="AW41" s="81"/>
      <c r="AX41" s="30"/>
      <c r="AY41" s="30"/>
      <c r="BA41" s="30"/>
      <c r="BB41" s="30"/>
      <c r="BC41" s="30"/>
      <c r="BD41" s="30"/>
      <c r="BE41" s="30"/>
      <c r="BF41" s="30"/>
      <c r="BG41" s="30"/>
      <c r="BH41" s="85"/>
      <c r="BI41" s="85"/>
      <c r="BJ41" s="70"/>
      <c r="BL41" s="81"/>
      <c r="BM41" s="30"/>
      <c r="BN41" s="30"/>
      <c r="BP41" s="30"/>
      <c r="BQ41" s="30"/>
      <c r="BR41" s="30"/>
      <c r="BS41" s="30"/>
      <c r="BT41" s="30"/>
      <c r="BU41" s="30"/>
      <c r="BV41" s="30"/>
      <c r="BW41" s="85"/>
      <c r="BX41" s="85"/>
      <c r="BY41" s="70"/>
      <c r="CA41" s="81"/>
      <c r="CB41" s="30"/>
      <c r="CC41" s="30"/>
      <c r="CE41" s="30"/>
      <c r="CF41" s="30"/>
      <c r="CG41" s="30"/>
      <c r="CH41" s="30"/>
      <c r="CI41" s="30"/>
      <c r="CJ41" s="30"/>
      <c r="CK41" s="30"/>
      <c r="CL41" s="85"/>
      <c r="CM41" s="85"/>
      <c r="CN41" s="70"/>
      <c r="CP41" s="81"/>
      <c r="CQ41" s="30"/>
      <c r="CR41" s="30"/>
      <c r="CT41" s="30"/>
      <c r="CU41" s="30"/>
      <c r="CV41" s="30"/>
      <c r="CW41" s="30"/>
      <c r="CX41" s="30"/>
      <c r="CY41" s="30"/>
      <c r="CZ41" s="30"/>
      <c r="DA41" s="85"/>
      <c r="DB41" s="85"/>
      <c r="DC41" s="70"/>
      <c r="DE41" s="81"/>
      <c r="DF41" s="30"/>
      <c r="DG41" s="30"/>
      <c r="DI41" s="30"/>
      <c r="DJ41" s="30"/>
      <c r="DK41" s="30"/>
      <c r="DL41" s="30"/>
      <c r="DM41" s="30"/>
      <c r="DN41" s="30"/>
      <c r="DO41" s="30"/>
      <c r="DP41" s="85"/>
      <c r="DQ41" s="85"/>
      <c r="DR41" s="70"/>
      <c r="DT41" s="81"/>
      <c r="DU41" s="30"/>
      <c r="DV41" s="30"/>
      <c r="DX41" s="30"/>
      <c r="DY41" s="30"/>
      <c r="DZ41" s="30"/>
      <c r="EA41" s="30"/>
      <c r="EB41" s="30"/>
      <c r="EC41" s="30"/>
      <c r="ED41" s="30"/>
      <c r="EE41" s="85"/>
      <c r="EF41" s="85"/>
      <c r="EG41" s="70"/>
      <c r="EI41" s="81"/>
      <c r="EJ41" s="30"/>
      <c r="EK41" s="30"/>
      <c r="EM41" s="30"/>
      <c r="EN41" s="30"/>
      <c r="EO41" s="30"/>
      <c r="EP41" s="30"/>
      <c r="EQ41" s="30"/>
      <c r="ER41" s="30"/>
      <c r="ES41" s="30"/>
      <c r="ET41" s="85"/>
      <c r="EU41" s="85"/>
      <c r="EV41" s="70"/>
    </row>
    <row r="42" spans="2:152">
      <c r="B42" s="11">
        <f t="shared" si="0"/>
        <v>0.17</v>
      </c>
      <c r="C42" s="28">
        <v>1.92</v>
      </c>
      <c r="D42" s="16"/>
      <c r="E42" s="8"/>
      <c r="F42" s="27">
        <f t="shared" si="1"/>
        <v>-0.98570293884034943</v>
      </c>
      <c r="G42" s="27">
        <f t="shared" si="2"/>
        <v>-1247.0889999999999</v>
      </c>
      <c r="H42" s="27">
        <f t="shared" si="3"/>
        <v>-55.977504437157506</v>
      </c>
      <c r="I42" s="27">
        <f t="shared" si="4"/>
        <v>22.278395804515185</v>
      </c>
      <c r="J42" s="27">
        <f t="shared" si="5"/>
        <v>-0.33654103180967659</v>
      </c>
      <c r="K42" s="27">
        <f t="shared" si="6"/>
        <v>0.35186960730715694</v>
      </c>
      <c r="L42" s="27">
        <f t="shared" si="7"/>
        <v>0.6388640328290851</v>
      </c>
      <c r="M42" s="17">
        <f t="shared" si="8"/>
        <v>0.15406866210908041</v>
      </c>
      <c r="N42" s="17">
        <f t="shared" si="9"/>
        <v>0.15406866210908041</v>
      </c>
      <c r="O42" s="57">
        <f t="shared" si="10"/>
        <v>0.15406866210908041</v>
      </c>
      <c r="P42" s="17">
        <f t="shared" si="11"/>
        <v>0.15406866210908041</v>
      </c>
      <c r="Q42" s="17">
        <f t="shared" si="12"/>
        <v>0</v>
      </c>
      <c r="S42" s="81"/>
      <c r="T42" s="30"/>
      <c r="U42" s="30"/>
      <c r="W42" s="30"/>
      <c r="X42" s="30"/>
      <c r="Y42" s="30"/>
      <c r="Z42" s="30"/>
      <c r="AA42" s="30"/>
      <c r="AB42" s="30"/>
      <c r="AC42" s="30"/>
      <c r="AD42" s="85"/>
      <c r="AE42" s="85"/>
      <c r="AF42" s="70"/>
      <c r="AH42" s="81"/>
      <c r="AI42" s="30"/>
      <c r="AJ42" s="30"/>
      <c r="AL42" s="30"/>
      <c r="AM42" s="30"/>
      <c r="AN42" s="30"/>
      <c r="AO42" s="30"/>
      <c r="AP42" s="30"/>
      <c r="AQ42" s="30"/>
      <c r="AR42" s="30"/>
      <c r="AS42" s="85"/>
      <c r="AT42" s="85"/>
      <c r="AU42" s="70"/>
      <c r="AW42" s="81"/>
      <c r="AX42" s="30"/>
      <c r="AY42" s="30"/>
      <c r="BA42" s="30"/>
      <c r="BB42" s="30"/>
      <c r="BC42" s="30"/>
      <c r="BD42" s="30"/>
      <c r="BE42" s="30"/>
      <c r="BF42" s="30"/>
      <c r="BG42" s="30"/>
      <c r="BH42" s="85"/>
      <c r="BI42" s="85"/>
      <c r="BJ42" s="70"/>
      <c r="BL42" s="81"/>
      <c r="BM42" s="30"/>
      <c r="BN42" s="30"/>
      <c r="BP42" s="30"/>
      <c r="BQ42" s="30"/>
      <c r="BR42" s="30"/>
      <c r="BS42" s="30"/>
      <c r="BT42" s="30"/>
      <c r="BU42" s="30"/>
      <c r="BV42" s="30"/>
      <c r="BW42" s="85"/>
      <c r="BX42" s="85"/>
      <c r="BY42" s="70"/>
      <c r="CA42" s="81"/>
      <c r="CB42" s="30"/>
      <c r="CC42" s="30"/>
      <c r="CE42" s="30"/>
      <c r="CF42" s="30"/>
      <c r="CG42" s="30"/>
      <c r="CH42" s="30"/>
      <c r="CI42" s="30"/>
      <c r="CJ42" s="30"/>
      <c r="CK42" s="30"/>
      <c r="CL42" s="85"/>
      <c r="CM42" s="85"/>
      <c r="CN42" s="70"/>
      <c r="CP42" s="81"/>
      <c r="CQ42" s="30"/>
      <c r="CR42" s="30"/>
      <c r="CT42" s="30"/>
      <c r="CU42" s="30"/>
      <c r="CV42" s="30"/>
      <c r="CW42" s="30"/>
      <c r="CX42" s="30"/>
      <c r="CY42" s="30"/>
      <c r="CZ42" s="30"/>
      <c r="DA42" s="85"/>
      <c r="DB42" s="85"/>
      <c r="DC42" s="70"/>
      <c r="DE42" s="81"/>
      <c r="DF42" s="30"/>
      <c r="DG42" s="30"/>
      <c r="DI42" s="30"/>
      <c r="DJ42" s="30"/>
      <c r="DK42" s="30"/>
      <c r="DL42" s="30"/>
      <c r="DM42" s="30"/>
      <c r="DN42" s="30"/>
      <c r="DO42" s="30"/>
      <c r="DP42" s="85"/>
      <c r="DQ42" s="85"/>
      <c r="DR42" s="70"/>
      <c r="DT42" s="81"/>
      <c r="DU42" s="30"/>
      <c r="DV42" s="30"/>
      <c r="DX42" s="30"/>
      <c r="DY42" s="30"/>
      <c r="DZ42" s="30"/>
      <c r="EA42" s="30"/>
      <c r="EB42" s="30"/>
      <c r="EC42" s="30"/>
      <c r="ED42" s="30"/>
      <c r="EE42" s="85"/>
      <c r="EF42" s="85"/>
      <c r="EG42" s="70"/>
      <c r="EI42" s="81"/>
      <c r="EJ42" s="30"/>
      <c r="EK42" s="30"/>
      <c r="EM42" s="30"/>
      <c r="EN42" s="30"/>
      <c r="EO42" s="30"/>
      <c r="EP42" s="30"/>
      <c r="EQ42" s="30"/>
      <c r="ER42" s="30"/>
      <c r="ES42" s="30"/>
      <c r="ET42" s="85"/>
      <c r="EU42" s="85"/>
      <c r="EV42" s="70"/>
    </row>
    <row r="43" spans="2:152">
      <c r="B43" s="11">
        <f t="shared" si="0"/>
        <v>0.17</v>
      </c>
      <c r="C43" s="28">
        <v>1.98</v>
      </c>
      <c r="D43" s="16"/>
      <c r="E43" s="8"/>
      <c r="F43" s="27">
        <f t="shared" si="1"/>
        <v>-1.0267531414673694</v>
      </c>
      <c r="G43" s="27">
        <f t="shared" si="2"/>
        <v>-1247.0889999999999</v>
      </c>
      <c r="H43" s="27">
        <f t="shared" si="3"/>
        <v>-47.858460562029961</v>
      </c>
      <c r="I43" s="27">
        <f t="shared" si="4"/>
        <v>26.057858638884383</v>
      </c>
      <c r="J43" s="27">
        <f t="shared" si="5"/>
        <v>-0.32749236691889017</v>
      </c>
      <c r="K43" s="27">
        <f t="shared" si="6"/>
        <v>0.34378812862009578</v>
      </c>
      <c r="L43" s="27">
        <f t="shared" si="7"/>
        <v>0.67376760040749806</v>
      </c>
      <c r="M43" s="17">
        <f t="shared" si="8"/>
        <v>0.15617947456010473</v>
      </c>
      <c r="N43" s="17">
        <f t="shared" si="9"/>
        <v>0.15617947456010473</v>
      </c>
      <c r="O43" s="57">
        <f t="shared" si="10"/>
        <v>0.15617947456010473</v>
      </c>
      <c r="P43" s="17">
        <f t="shared" si="11"/>
        <v>0.15617947456010473</v>
      </c>
      <c r="Q43" s="17">
        <f t="shared" si="12"/>
        <v>0</v>
      </c>
      <c r="S43" s="81"/>
      <c r="T43" s="30"/>
      <c r="U43" s="30"/>
      <c r="W43" s="30"/>
      <c r="X43" s="30"/>
      <c r="Y43" s="30"/>
      <c r="Z43" s="30"/>
      <c r="AA43" s="30"/>
      <c r="AB43" s="30"/>
      <c r="AC43" s="30"/>
      <c r="AD43" s="85"/>
      <c r="AE43" s="85"/>
      <c r="AF43" s="70"/>
      <c r="AH43" s="81"/>
      <c r="AI43" s="30"/>
      <c r="AJ43" s="30"/>
      <c r="AL43" s="30"/>
      <c r="AM43" s="30"/>
      <c r="AN43" s="30"/>
      <c r="AO43" s="30"/>
      <c r="AP43" s="30"/>
      <c r="AQ43" s="30"/>
      <c r="AR43" s="30"/>
      <c r="AS43" s="85"/>
      <c r="AT43" s="85"/>
      <c r="AU43" s="70"/>
      <c r="AW43" s="81"/>
      <c r="AX43" s="30"/>
      <c r="AY43" s="30"/>
      <c r="BA43" s="30"/>
      <c r="BB43" s="30"/>
      <c r="BC43" s="30"/>
      <c r="BD43" s="30"/>
      <c r="BE43" s="30"/>
      <c r="BF43" s="30"/>
      <c r="BG43" s="30"/>
      <c r="BH43" s="85"/>
      <c r="BI43" s="85"/>
      <c r="BJ43" s="70"/>
      <c r="BL43" s="81"/>
      <c r="BM43" s="30"/>
      <c r="BN43" s="30"/>
      <c r="BP43" s="30"/>
      <c r="BQ43" s="30"/>
      <c r="BR43" s="30"/>
      <c r="BS43" s="30"/>
      <c r="BT43" s="30"/>
      <c r="BU43" s="30"/>
      <c r="BV43" s="30"/>
      <c r="BW43" s="85"/>
      <c r="BX43" s="85"/>
      <c r="BY43" s="70"/>
      <c r="CA43" s="81"/>
      <c r="CB43" s="30"/>
      <c r="CC43" s="30"/>
      <c r="CE43" s="30"/>
      <c r="CF43" s="30"/>
      <c r="CG43" s="30"/>
      <c r="CH43" s="30"/>
      <c r="CI43" s="30"/>
      <c r="CJ43" s="30"/>
      <c r="CK43" s="30"/>
      <c r="CL43" s="85"/>
      <c r="CM43" s="85"/>
      <c r="CN43" s="70"/>
      <c r="CP43" s="81"/>
      <c r="CQ43" s="30"/>
      <c r="CR43" s="30"/>
      <c r="CT43" s="30"/>
      <c r="CU43" s="30"/>
      <c r="CV43" s="30"/>
      <c r="CW43" s="30"/>
      <c r="CX43" s="30"/>
      <c r="CY43" s="30"/>
      <c r="CZ43" s="30"/>
      <c r="DA43" s="85"/>
      <c r="DB43" s="85"/>
      <c r="DC43" s="70"/>
      <c r="DE43" s="81"/>
      <c r="DF43" s="30"/>
      <c r="DG43" s="30"/>
      <c r="DI43" s="30"/>
      <c r="DJ43" s="30"/>
      <c r="DK43" s="30"/>
      <c r="DL43" s="30"/>
      <c r="DM43" s="30"/>
      <c r="DN43" s="30"/>
      <c r="DO43" s="30"/>
      <c r="DP43" s="85"/>
      <c r="DQ43" s="85"/>
      <c r="DR43" s="70"/>
      <c r="DT43" s="81"/>
      <c r="DU43" s="30"/>
      <c r="DV43" s="30"/>
      <c r="DX43" s="30"/>
      <c r="DY43" s="30"/>
      <c r="DZ43" s="30"/>
      <c r="EA43" s="30"/>
      <c r="EB43" s="30"/>
      <c r="EC43" s="30"/>
      <c r="ED43" s="30"/>
      <c r="EE43" s="85"/>
      <c r="EF43" s="85"/>
      <c r="EG43" s="70"/>
      <c r="EI43" s="81"/>
      <c r="EJ43" s="30"/>
      <c r="EK43" s="30"/>
      <c r="EM43" s="30"/>
      <c r="EN43" s="30"/>
      <c r="EO43" s="30"/>
      <c r="EP43" s="30"/>
      <c r="EQ43" s="30"/>
      <c r="ER43" s="30"/>
      <c r="ES43" s="30"/>
      <c r="ET43" s="85"/>
      <c r="EU43" s="85"/>
      <c r="EV43" s="70"/>
    </row>
    <row r="44" spans="2:152">
      <c r="B44" s="11">
        <f t="shared" si="0"/>
        <v>0.17</v>
      </c>
      <c r="C44" s="28">
        <v>2.04</v>
      </c>
      <c r="D44" s="16"/>
      <c r="E44" s="8"/>
      <c r="F44" s="27">
        <f t="shared" si="1"/>
        <v>-1.0695364238410598</v>
      </c>
      <c r="G44" s="27">
        <f t="shared" si="2"/>
        <v>-1247.0889999999997</v>
      </c>
      <c r="H44" s="27">
        <f t="shared" si="3"/>
        <v>-39.739416686902189</v>
      </c>
      <c r="I44" s="27">
        <f t="shared" si="4"/>
        <v>31.381663445780543</v>
      </c>
      <c r="J44" s="27">
        <f t="shared" si="5"/>
        <v>-0.31856540084388185</v>
      </c>
      <c r="K44" s="27">
        <f t="shared" si="6"/>
        <v>0.33358830965420327</v>
      </c>
      <c r="L44" s="27">
        <f t="shared" si="7"/>
        <v>0.71275157609831918</v>
      </c>
      <c r="M44" s="17">
        <f t="shared" si="8"/>
        <v>0.15860024035558262</v>
      </c>
      <c r="N44" s="17">
        <f t="shared" si="9"/>
        <v>0.15860024035558262</v>
      </c>
      <c r="O44" s="57">
        <f t="shared" si="10"/>
        <v>0.15860024035558262</v>
      </c>
      <c r="P44" s="17">
        <f t="shared" si="11"/>
        <v>0.15860024035558262</v>
      </c>
      <c r="Q44" s="17">
        <f t="shared" si="12"/>
        <v>0</v>
      </c>
      <c r="S44" s="81"/>
      <c r="T44" s="30"/>
      <c r="U44" s="30"/>
      <c r="W44" s="30"/>
      <c r="X44" s="30"/>
      <c r="Y44" s="30"/>
      <c r="Z44" s="30"/>
      <c r="AA44" s="30"/>
      <c r="AB44" s="30"/>
      <c r="AC44" s="30"/>
      <c r="AD44" s="85"/>
      <c r="AE44" s="85"/>
      <c r="AF44" s="70"/>
      <c r="AH44" s="81"/>
      <c r="AI44" s="30"/>
      <c r="AJ44" s="30"/>
      <c r="AL44" s="30"/>
      <c r="AM44" s="30"/>
      <c r="AN44" s="30"/>
      <c r="AO44" s="30"/>
      <c r="AP44" s="30"/>
      <c r="AQ44" s="30"/>
      <c r="AR44" s="30"/>
      <c r="AS44" s="85"/>
      <c r="AT44" s="85"/>
      <c r="AU44" s="70"/>
      <c r="AW44" s="81"/>
      <c r="AX44" s="30"/>
      <c r="AY44" s="30"/>
      <c r="BA44" s="30"/>
      <c r="BB44" s="30"/>
      <c r="BC44" s="30"/>
      <c r="BD44" s="30"/>
      <c r="BE44" s="30"/>
      <c r="BF44" s="30"/>
      <c r="BG44" s="30"/>
      <c r="BH44" s="85"/>
      <c r="BI44" s="85"/>
      <c r="BJ44" s="70"/>
      <c r="BL44" s="81"/>
      <c r="BM44" s="30"/>
      <c r="BN44" s="30"/>
      <c r="BP44" s="30"/>
      <c r="BQ44" s="30"/>
      <c r="BR44" s="30"/>
      <c r="BS44" s="30"/>
      <c r="BT44" s="30"/>
      <c r="BU44" s="30"/>
      <c r="BV44" s="30"/>
      <c r="BW44" s="85"/>
      <c r="BX44" s="85"/>
      <c r="BY44" s="70"/>
      <c r="CA44" s="81"/>
      <c r="CB44" s="30"/>
      <c r="CC44" s="30"/>
      <c r="CE44" s="30"/>
      <c r="CF44" s="30"/>
      <c r="CG44" s="30"/>
      <c r="CH44" s="30"/>
      <c r="CI44" s="30"/>
      <c r="CJ44" s="30"/>
      <c r="CK44" s="30"/>
      <c r="CL44" s="85"/>
      <c r="CM44" s="85"/>
      <c r="CN44" s="70"/>
      <c r="CP44" s="81"/>
      <c r="CQ44" s="30"/>
      <c r="CR44" s="30"/>
      <c r="CT44" s="30"/>
      <c r="CU44" s="30"/>
      <c r="CV44" s="30"/>
      <c r="CW44" s="30"/>
      <c r="CX44" s="30"/>
      <c r="CY44" s="30"/>
      <c r="CZ44" s="30"/>
      <c r="DA44" s="85"/>
      <c r="DB44" s="85"/>
      <c r="DC44" s="70"/>
      <c r="DE44" s="81"/>
      <c r="DF44" s="30"/>
      <c r="DG44" s="30"/>
      <c r="DI44" s="30"/>
      <c r="DJ44" s="30"/>
      <c r="DK44" s="30"/>
      <c r="DL44" s="30"/>
      <c r="DM44" s="30"/>
      <c r="DN44" s="30"/>
      <c r="DO44" s="30"/>
      <c r="DP44" s="85"/>
      <c r="DQ44" s="85"/>
      <c r="DR44" s="70"/>
      <c r="DT44" s="81"/>
      <c r="DU44" s="30"/>
      <c r="DV44" s="30"/>
      <c r="DX44" s="30"/>
      <c r="DY44" s="30"/>
      <c r="DZ44" s="30"/>
      <c r="EA44" s="30"/>
      <c r="EB44" s="30"/>
      <c r="EC44" s="30"/>
      <c r="ED44" s="30"/>
      <c r="EE44" s="85"/>
      <c r="EF44" s="85"/>
      <c r="EG44" s="70"/>
      <c r="EI44" s="81"/>
      <c r="EJ44" s="30"/>
      <c r="EK44" s="30"/>
      <c r="EM44" s="30"/>
      <c r="EN44" s="30"/>
      <c r="EO44" s="30"/>
      <c r="EP44" s="30"/>
      <c r="EQ44" s="30"/>
      <c r="ER44" s="30"/>
      <c r="ES44" s="30"/>
      <c r="ET44" s="85"/>
      <c r="EU44" s="85"/>
      <c r="EV44" s="70"/>
    </row>
    <row r="45" spans="2:152">
      <c r="B45" s="11">
        <f t="shared" si="0"/>
        <v>0.17</v>
      </c>
      <c r="C45" s="28">
        <v>2.1</v>
      </c>
      <c r="D45" s="16"/>
      <c r="E45" s="8"/>
      <c r="F45" s="27">
        <f t="shared" si="1"/>
        <v>-1.1141649048625795</v>
      </c>
      <c r="G45" s="27">
        <f t="shared" si="2"/>
        <v>-1247.0889999999999</v>
      </c>
      <c r="H45" s="27">
        <f t="shared" si="3"/>
        <v>-31.6203728117747</v>
      </c>
      <c r="I45" s="27">
        <f t="shared" si="4"/>
        <v>39.439414817260243</v>
      </c>
      <c r="J45" s="27">
        <f t="shared" si="5"/>
        <v>-0.30975769482645704</v>
      </c>
      <c r="K45" s="27">
        <f t="shared" si="6"/>
        <v>0.32036735735755029</v>
      </c>
      <c r="L45" s="27">
        <f t="shared" si="7"/>
        <v>0.75722283863122841</v>
      </c>
      <c r="M45" s="17">
        <f t="shared" si="8"/>
        <v>0.16144898112550851</v>
      </c>
      <c r="N45" s="17">
        <f t="shared" si="9"/>
        <v>0.16144898112550851</v>
      </c>
      <c r="O45" s="57">
        <f t="shared" si="10"/>
        <v>0.16144898112550851</v>
      </c>
      <c r="P45" s="17">
        <f t="shared" si="11"/>
        <v>0.16144898112550851</v>
      </c>
      <c r="Q45" s="17">
        <f t="shared" si="12"/>
        <v>0</v>
      </c>
      <c r="S45" s="81"/>
      <c r="T45" s="30"/>
      <c r="U45" s="30"/>
      <c r="W45" s="30"/>
      <c r="X45" s="30"/>
      <c r="Y45" s="30"/>
      <c r="Z45" s="30"/>
      <c r="AA45" s="30"/>
      <c r="AB45" s="30"/>
      <c r="AC45" s="30"/>
      <c r="AD45" s="85"/>
      <c r="AE45" s="85"/>
      <c r="AF45" s="70"/>
      <c r="AH45" s="81"/>
      <c r="AI45" s="30"/>
      <c r="AJ45" s="30"/>
      <c r="AL45" s="30"/>
      <c r="AM45" s="30"/>
      <c r="AN45" s="30"/>
      <c r="AO45" s="30"/>
      <c r="AP45" s="30"/>
      <c r="AQ45" s="30"/>
      <c r="AR45" s="30"/>
      <c r="AS45" s="85"/>
      <c r="AT45" s="85"/>
      <c r="AU45" s="70"/>
      <c r="AW45" s="81"/>
      <c r="AX45" s="30"/>
      <c r="AY45" s="30"/>
      <c r="BA45" s="30"/>
      <c r="BB45" s="30"/>
      <c r="BC45" s="30"/>
      <c r="BD45" s="30"/>
      <c r="BE45" s="30"/>
      <c r="BF45" s="30"/>
      <c r="BG45" s="30"/>
      <c r="BH45" s="85"/>
      <c r="BI45" s="85"/>
      <c r="BJ45" s="70"/>
      <c r="BL45" s="81"/>
      <c r="BM45" s="30"/>
      <c r="BN45" s="30"/>
      <c r="BP45" s="30"/>
      <c r="BQ45" s="30"/>
      <c r="BR45" s="30"/>
      <c r="BS45" s="30"/>
      <c r="BT45" s="30"/>
      <c r="BU45" s="30"/>
      <c r="BV45" s="30"/>
      <c r="BW45" s="85"/>
      <c r="BX45" s="85"/>
      <c r="BY45" s="70"/>
      <c r="CA45" s="81"/>
      <c r="CB45" s="30"/>
      <c r="CC45" s="30"/>
      <c r="CE45" s="30"/>
      <c r="CF45" s="30"/>
      <c r="CG45" s="30"/>
      <c r="CH45" s="30"/>
      <c r="CI45" s="30"/>
      <c r="CJ45" s="30"/>
      <c r="CK45" s="30"/>
      <c r="CL45" s="85"/>
      <c r="CM45" s="85"/>
      <c r="CN45" s="70"/>
      <c r="CP45" s="81"/>
      <c r="CQ45" s="30"/>
      <c r="CR45" s="30"/>
      <c r="CT45" s="30"/>
      <c r="CU45" s="30"/>
      <c r="CV45" s="30"/>
      <c r="CW45" s="30"/>
      <c r="CX45" s="30"/>
      <c r="CY45" s="30"/>
      <c r="CZ45" s="30"/>
      <c r="DA45" s="85"/>
      <c r="DB45" s="85"/>
      <c r="DC45" s="70"/>
      <c r="DE45" s="81"/>
      <c r="DF45" s="30"/>
      <c r="DG45" s="30"/>
      <c r="DI45" s="30"/>
      <c r="DJ45" s="30"/>
      <c r="DK45" s="30"/>
      <c r="DL45" s="30"/>
      <c r="DM45" s="30"/>
      <c r="DN45" s="30"/>
      <c r="DO45" s="30"/>
      <c r="DP45" s="85"/>
      <c r="DQ45" s="85"/>
      <c r="DR45" s="70"/>
      <c r="DT45" s="81"/>
      <c r="DU45" s="30"/>
      <c r="DV45" s="30"/>
      <c r="DX45" s="30"/>
      <c r="DY45" s="30"/>
      <c r="DZ45" s="30"/>
      <c r="EA45" s="30"/>
      <c r="EB45" s="30"/>
      <c r="EC45" s="30"/>
      <c r="ED45" s="30"/>
      <c r="EE45" s="85"/>
      <c r="EF45" s="85"/>
      <c r="EG45" s="70"/>
      <c r="EI45" s="81"/>
      <c r="EJ45" s="30"/>
      <c r="EK45" s="30"/>
      <c r="EM45" s="30"/>
      <c r="EN45" s="30"/>
      <c r="EO45" s="30"/>
      <c r="EP45" s="30"/>
      <c r="EQ45" s="30"/>
      <c r="ER45" s="30"/>
      <c r="ES45" s="30"/>
      <c r="ET45" s="85"/>
      <c r="EU45" s="85"/>
      <c r="EV45" s="70"/>
    </row>
    <row r="46" spans="2:152">
      <c r="B46" s="11">
        <f t="shared" si="0"/>
        <v>0.17</v>
      </c>
      <c r="C46" s="28">
        <v>2.16</v>
      </c>
      <c r="D46" s="16"/>
      <c r="E46" s="8"/>
      <c r="F46" s="27">
        <f t="shared" si="1"/>
        <v>-1.1607605877268798</v>
      </c>
      <c r="G46" s="27">
        <f t="shared" si="2"/>
        <v>-1247.0889999999997</v>
      </c>
      <c r="H46" s="27">
        <f t="shared" si="3"/>
        <v>-23.501328936646928</v>
      </c>
      <c r="I46" s="27">
        <f t="shared" si="4"/>
        <v>53.064616190931424</v>
      </c>
      <c r="J46" s="27">
        <f t="shared" si="5"/>
        <v>-0.30106687483736666</v>
      </c>
      <c r="K46" s="27">
        <f t="shared" si="6"/>
        <v>0.30249509764765597</v>
      </c>
      <c r="L46" s="27">
        <f t="shared" si="7"/>
        <v>0.80963620039688688</v>
      </c>
      <c r="M46" s="17">
        <f t="shared" si="8"/>
        <v>0.16493518976028332</v>
      </c>
      <c r="N46" s="17">
        <f t="shared" si="9"/>
        <v>0.16493518976028332</v>
      </c>
      <c r="O46" s="57">
        <f t="shared" si="10"/>
        <v>0.16493518976028332</v>
      </c>
      <c r="P46" s="17">
        <f t="shared" si="11"/>
        <v>0.16493518976028332</v>
      </c>
      <c r="Q46" s="17">
        <f t="shared" si="12"/>
        <v>0</v>
      </c>
      <c r="S46" s="81"/>
      <c r="T46" s="30"/>
      <c r="U46" s="30"/>
      <c r="W46" s="30"/>
      <c r="X46" s="30"/>
      <c r="Y46" s="30"/>
      <c r="Z46" s="30"/>
      <c r="AA46" s="30"/>
      <c r="AB46" s="30"/>
      <c r="AC46" s="30"/>
      <c r="AD46" s="85"/>
      <c r="AE46" s="85"/>
      <c r="AF46" s="70"/>
      <c r="AH46" s="81"/>
      <c r="AI46" s="30"/>
      <c r="AJ46" s="30"/>
      <c r="AL46" s="30"/>
      <c r="AM46" s="30"/>
      <c r="AN46" s="30"/>
      <c r="AO46" s="30"/>
      <c r="AP46" s="30"/>
      <c r="AQ46" s="30"/>
      <c r="AR46" s="30"/>
      <c r="AS46" s="85"/>
      <c r="AT46" s="85"/>
      <c r="AU46" s="70"/>
      <c r="AW46" s="81"/>
      <c r="AX46" s="30"/>
      <c r="AY46" s="30"/>
      <c r="BA46" s="30"/>
      <c r="BB46" s="30"/>
      <c r="BC46" s="30"/>
      <c r="BD46" s="30"/>
      <c r="BE46" s="30"/>
      <c r="BF46" s="30"/>
      <c r="BG46" s="30"/>
      <c r="BH46" s="85"/>
      <c r="BI46" s="85"/>
      <c r="BJ46" s="70"/>
      <c r="BL46" s="81"/>
      <c r="BM46" s="30"/>
      <c r="BN46" s="30"/>
      <c r="BP46" s="30"/>
      <c r="BQ46" s="30"/>
      <c r="BR46" s="30"/>
      <c r="BS46" s="30"/>
      <c r="BT46" s="30"/>
      <c r="BU46" s="30"/>
      <c r="BV46" s="30"/>
      <c r="BW46" s="85"/>
      <c r="BX46" s="85"/>
      <c r="BY46" s="70"/>
      <c r="CA46" s="81"/>
      <c r="CB46" s="30"/>
      <c r="CC46" s="30"/>
      <c r="CE46" s="30"/>
      <c r="CF46" s="30"/>
      <c r="CG46" s="30"/>
      <c r="CH46" s="30"/>
      <c r="CI46" s="30"/>
      <c r="CJ46" s="30"/>
      <c r="CK46" s="30"/>
      <c r="CL46" s="85"/>
      <c r="CM46" s="85"/>
      <c r="CN46" s="70"/>
      <c r="CP46" s="81"/>
      <c r="CQ46" s="30"/>
      <c r="CR46" s="30"/>
      <c r="CT46" s="30"/>
      <c r="CU46" s="30"/>
      <c r="CV46" s="30"/>
      <c r="CW46" s="30"/>
      <c r="CX46" s="30"/>
      <c r="CY46" s="30"/>
      <c r="CZ46" s="30"/>
      <c r="DA46" s="85"/>
      <c r="DB46" s="85"/>
      <c r="DC46" s="70"/>
      <c r="DE46" s="81"/>
      <c r="DF46" s="30"/>
      <c r="DG46" s="30"/>
      <c r="DI46" s="30"/>
      <c r="DJ46" s="30"/>
      <c r="DK46" s="30"/>
      <c r="DL46" s="30"/>
      <c r="DM46" s="30"/>
      <c r="DN46" s="30"/>
      <c r="DO46" s="30"/>
      <c r="DP46" s="85"/>
      <c r="DQ46" s="85"/>
      <c r="DR46" s="70"/>
      <c r="DT46" s="81"/>
      <c r="DU46" s="30"/>
      <c r="DV46" s="30"/>
      <c r="DX46" s="30"/>
      <c r="DY46" s="30"/>
      <c r="DZ46" s="30"/>
      <c r="EA46" s="30"/>
      <c r="EB46" s="30"/>
      <c r="EC46" s="30"/>
      <c r="ED46" s="30"/>
      <c r="EE46" s="85"/>
      <c r="EF46" s="85"/>
      <c r="EG46" s="70"/>
      <c r="EI46" s="81"/>
      <c r="EJ46" s="30"/>
      <c r="EK46" s="30"/>
      <c r="EM46" s="30"/>
      <c r="EN46" s="30"/>
      <c r="EO46" s="30"/>
      <c r="EP46" s="30"/>
      <c r="EQ46" s="30"/>
      <c r="ER46" s="30"/>
      <c r="ES46" s="30"/>
      <c r="ET46" s="85"/>
      <c r="EU46" s="85"/>
      <c r="EV46" s="70"/>
    </row>
    <row r="47" spans="2:152">
      <c r="B47" s="11">
        <f t="shared" si="0"/>
        <v>0.17</v>
      </c>
      <c r="C47" s="28">
        <v>2.2200000000000002</v>
      </c>
      <c r="D47" s="16"/>
      <c r="E47" s="8"/>
      <c r="F47" s="27">
        <f t="shared" si="1"/>
        <v>-1.2094564737074684</v>
      </c>
      <c r="G47" s="27">
        <f t="shared" si="2"/>
        <v>-1247.0889999999999</v>
      </c>
      <c r="H47" s="27">
        <f t="shared" si="3"/>
        <v>-15.382285061519383</v>
      </c>
      <c r="I47" s="27">
        <f t="shared" si="4"/>
        <v>81.073065218362231</v>
      </c>
      <c r="J47" s="27">
        <f t="shared" si="5"/>
        <v>-0.29249062944293647</v>
      </c>
      <c r="K47" s="27">
        <f t="shared" si="6"/>
        <v>0.2764849420735237</v>
      </c>
      <c r="L47" s="27">
        <f t="shared" si="7"/>
        <v>0.87505997063401075</v>
      </c>
      <c r="M47" s="17">
        <f t="shared" si="8"/>
        <v>0.16949877083734297</v>
      </c>
      <c r="N47" s="17">
        <f t="shared" si="9"/>
        <v>0.16949877083734297</v>
      </c>
      <c r="O47" s="57">
        <f t="shared" si="10"/>
        <v>0.16949877083734297</v>
      </c>
      <c r="P47" s="17">
        <f t="shared" si="11"/>
        <v>0.16949877083734297</v>
      </c>
      <c r="Q47" s="17">
        <f t="shared" si="12"/>
        <v>0</v>
      </c>
      <c r="S47" s="81"/>
      <c r="T47" s="30"/>
      <c r="U47" s="30"/>
      <c r="W47" s="30"/>
      <c r="X47" s="30"/>
      <c r="Y47" s="30"/>
      <c r="Z47" s="30"/>
      <c r="AA47" s="30"/>
      <c r="AB47" s="30"/>
      <c r="AC47" s="30"/>
      <c r="AD47" s="85"/>
      <c r="AE47" s="85"/>
      <c r="AF47" s="70"/>
      <c r="AH47" s="81"/>
      <c r="AI47" s="30"/>
      <c r="AJ47" s="30"/>
      <c r="AL47" s="30"/>
      <c r="AM47" s="30"/>
      <c r="AN47" s="30"/>
      <c r="AO47" s="30"/>
      <c r="AP47" s="30"/>
      <c r="AQ47" s="30"/>
      <c r="AR47" s="30"/>
      <c r="AS47" s="85"/>
      <c r="AT47" s="85"/>
      <c r="AU47" s="70"/>
      <c r="AW47" s="81"/>
      <c r="AX47" s="30"/>
      <c r="AY47" s="30"/>
      <c r="BA47" s="30"/>
      <c r="BB47" s="30"/>
      <c r="BC47" s="30"/>
      <c r="BD47" s="30"/>
      <c r="BE47" s="30"/>
      <c r="BF47" s="30"/>
      <c r="BG47" s="30"/>
      <c r="BH47" s="85"/>
      <c r="BI47" s="85"/>
      <c r="BJ47" s="70"/>
      <c r="BL47" s="81"/>
      <c r="BM47" s="30"/>
      <c r="BN47" s="30"/>
      <c r="BP47" s="30"/>
      <c r="BQ47" s="30"/>
      <c r="BR47" s="30"/>
      <c r="BS47" s="30"/>
      <c r="BT47" s="30"/>
      <c r="BU47" s="30"/>
      <c r="BV47" s="30"/>
      <c r="BW47" s="85"/>
      <c r="BX47" s="85"/>
      <c r="BY47" s="70"/>
      <c r="CA47" s="81"/>
      <c r="CB47" s="30"/>
      <c r="CC47" s="30"/>
      <c r="CE47" s="30"/>
      <c r="CF47" s="30"/>
      <c r="CG47" s="30"/>
      <c r="CH47" s="30"/>
      <c r="CI47" s="30"/>
      <c r="CJ47" s="30"/>
      <c r="CK47" s="30"/>
      <c r="CL47" s="85"/>
      <c r="CM47" s="85"/>
      <c r="CN47" s="70"/>
      <c r="CP47" s="81"/>
      <c r="CQ47" s="30"/>
      <c r="CR47" s="30"/>
      <c r="CT47" s="30"/>
      <c r="CU47" s="30"/>
      <c r="CV47" s="30"/>
      <c r="CW47" s="30"/>
      <c r="CX47" s="30"/>
      <c r="CY47" s="30"/>
      <c r="CZ47" s="30"/>
      <c r="DA47" s="85"/>
      <c r="DB47" s="85"/>
      <c r="DC47" s="70"/>
      <c r="DE47" s="81"/>
      <c r="DF47" s="30"/>
      <c r="DG47" s="30"/>
      <c r="DI47" s="30"/>
      <c r="DJ47" s="30"/>
      <c r="DK47" s="30"/>
      <c r="DL47" s="30"/>
      <c r="DM47" s="30"/>
      <c r="DN47" s="30"/>
      <c r="DO47" s="30"/>
      <c r="DP47" s="85"/>
      <c r="DQ47" s="85"/>
      <c r="DR47" s="70"/>
      <c r="DT47" s="81"/>
      <c r="DU47" s="30"/>
      <c r="DV47" s="30"/>
      <c r="DX47" s="30"/>
      <c r="DY47" s="30"/>
      <c r="DZ47" s="30"/>
      <c r="EA47" s="30"/>
      <c r="EB47" s="30"/>
      <c r="EC47" s="30"/>
      <c r="ED47" s="30"/>
      <c r="EE47" s="85"/>
      <c r="EF47" s="85"/>
      <c r="EG47" s="70"/>
      <c r="EI47" s="81"/>
      <c r="EJ47" s="30"/>
      <c r="EK47" s="30"/>
      <c r="EM47" s="30"/>
      <c r="EN47" s="30"/>
      <c r="EO47" s="30"/>
      <c r="EP47" s="30"/>
      <c r="EQ47" s="30"/>
      <c r="ER47" s="30"/>
      <c r="ES47" s="30"/>
      <c r="ET47" s="85"/>
      <c r="EU47" s="85"/>
      <c r="EV47" s="70"/>
    </row>
    <row r="48" spans="2:152">
      <c r="B48" s="11">
        <f t="shared" si="0"/>
        <v>0.17</v>
      </c>
      <c r="C48" s="28">
        <v>2.2799999999999998</v>
      </c>
      <c r="D48" s="16"/>
      <c r="E48" s="8"/>
      <c r="F48" s="27">
        <f t="shared" si="1"/>
        <v>-1.2603978300180831</v>
      </c>
      <c r="G48" s="27">
        <f t="shared" si="2"/>
        <v>-1247.0889999999997</v>
      </c>
      <c r="H48" s="27">
        <f t="shared" si="3"/>
        <v>-7.2632411863917241</v>
      </c>
      <c r="I48" s="27">
        <f t="shared" si="4"/>
        <v>171.69869043265737</v>
      </c>
      <c r="J48" s="27">
        <f t="shared" si="5"/>
        <v>-0.28402670775552136</v>
      </c>
      <c r="K48" s="27">
        <f t="shared" si="6"/>
        <v>0.23188170834157987</v>
      </c>
      <c r="L48" s="27">
        <f t="shared" si="7"/>
        <v>0.96813462800346983</v>
      </c>
      <c r="M48" s="17">
        <f t="shared" si="8"/>
        <v>0.17643036543870119</v>
      </c>
      <c r="N48" s="17">
        <f t="shared" si="9"/>
        <v>0.17643036543870119</v>
      </c>
      <c r="O48" s="57">
        <f t="shared" si="10"/>
        <v>0.17643036543870119</v>
      </c>
      <c r="P48" s="17">
        <f t="shared" si="11"/>
        <v>0.17643036543870119</v>
      </c>
      <c r="Q48" s="17">
        <f t="shared" si="12"/>
        <v>2.2799999999999998</v>
      </c>
      <c r="S48" s="81"/>
      <c r="T48" s="30"/>
      <c r="U48" s="30"/>
      <c r="W48" s="30"/>
      <c r="X48" s="30"/>
      <c r="Y48" s="30"/>
      <c r="Z48" s="30"/>
      <c r="AA48" s="30"/>
      <c r="AB48" s="30"/>
      <c r="AC48" s="30"/>
      <c r="AD48" s="85"/>
      <c r="AE48" s="85"/>
      <c r="AF48" s="70"/>
      <c r="AH48" s="81"/>
      <c r="AI48" s="30"/>
      <c r="AJ48" s="30"/>
      <c r="AL48" s="30"/>
      <c r="AM48" s="30"/>
      <c r="AN48" s="30"/>
      <c r="AO48" s="30"/>
      <c r="AP48" s="30"/>
      <c r="AQ48" s="30"/>
      <c r="AR48" s="30"/>
      <c r="AS48" s="85"/>
      <c r="AT48" s="85"/>
      <c r="AU48" s="70"/>
      <c r="AW48" s="81"/>
      <c r="AX48" s="30"/>
      <c r="AY48" s="30"/>
      <c r="BA48" s="30"/>
      <c r="BB48" s="30"/>
      <c r="BC48" s="30"/>
      <c r="BD48" s="30"/>
      <c r="BE48" s="30"/>
      <c r="BF48" s="30"/>
      <c r="BG48" s="30"/>
      <c r="BH48" s="85"/>
      <c r="BI48" s="85"/>
      <c r="BJ48" s="70"/>
      <c r="BL48" s="81"/>
      <c r="BM48" s="30"/>
      <c r="BN48" s="30"/>
      <c r="BP48" s="30"/>
      <c r="BQ48" s="30"/>
      <c r="BR48" s="30"/>
      <c r="BS48" s="30"/>
      <c r="BT48" s="30"/>
      <c r="BU48" s="30"/>
      <c r="BV48" s="30"/>
      <c r="BW48" s="85"/>
      <c r="BX48" s="85"/>
      <c r="BY48" s="70"/>
      <c r="CA48" s="81"/>
      <c r="CB48" s="30"/>
      <c r="CC48" s="30"/>
      <c r="CE48" s="30"/>
      <c r="CF48" s="30"/>
      <c r="CG48" s="30"/>
      <c r="CH48" s="30"/>
      <c r="CI48" s="30"/>
      <c r="CJ48" s="30"/>
      <c r="CK48" s="30"/>
      <c r="CL48" s="85"/>
      <c r="CM48" s="85"/>
      <c r="CN48" s="70"/>
      <c r="CP48" s="81"/>
      <c r="CQ48" s="30"/>
      <c r="CR48" s="30"/>
      <c r="CT48" s="30"/>
      <c r="CU48" s="30"/>
      <c r="CV48" s="30"/>
      <c r="CW48" s="30"/>
      <c r="CX48" s="30"/>
      <c r="CY48" s="30"/>
      <c r="CZ48" s="30"/>
      <c r="DA48" s="85"/>
      <c r="DB48" s="85"/>
      <c r="DC48" s="70"/>
      <c r="DE48" s="81"/>
      <c r="DF48" s="30"/>
      <c r="DG48" s="30"/>
      <c r="DI48" s="30"/>
      <c r="DJ48" s="30"/>
      <c r="DK48" s="30"/>
      <c r="DL48" s="30"/>
      <c r="DM48" s="30"/>
      <c r="DN48" s="30"/>
      <c r="DO48" s="30"/>
      <c r="DP48" s="85"/>
      <c r="DQ48" s="85"/>
      <c r="DR48" s="70"/>
      <c r="DT48" s="81"/>
      <c r="DU48" s="30"/>
      <c r="DV48" s="30"/>
      <c r="DX48" s="30"/>
      <c r="DY48" s="30"/>
      <c r="DZ48" s="30"/>
      <c r="EA48" s="30"/>
      <c r="EB48" s="30"/>
      <c r="EC48" s="30"/>
      <c r="ED48" s="30"/>
      <c r="EE48" s="85"/>
      <c r="EF48" s="85"/>
      <c r="EG48" s="70"/>
      <c r="EI48" s="81"/>
      <c r="EJ48" s="30"/>
      <c r="EK48" s="30"/>
      <c r="EM48" s="30"/>
      <c r="EN48" s="30"/>
      <c r="EO48" s="30"/>
      <c r="EP48" s="30"/>
      <c r="EQ48" s="30"/>
      <c r="ER48" s="30"/>
      <c r="ES48" s="30"/>
      <c r="ET48" s="85"/>
      <c r="EU48" s="85"/>
      <c r="EV48" s="70"/>
    </row>
    <row r="49" spans="2:152">
      <c r="B49" s="11">
        <f t="shared" si="0"/>
        <v>0.17</v>
      </c>
      <c r="C49" s="28">
        <v>2.34</v>
      </c>
      <c r="D49" s="16"/>
      <c r="E49" s="8"/>
      <c r="F49" s="27">
        <f t="shared" si="1"/>
        <v>-1.3137436372049975</v>
      </c>
      <c r="G49" s="27">
        <f t="shared" si="2"/>
        <v>-1247.0889999999999</v>
      </c>
      <c r="H49" s="27">
        <f t="shared" si="3"/>
        <v>0.85580268873582099</v>
      </c>
      <c r="I49" s="27">
        <f t="shared" si="4"/>
        <v>-1457.2155666420974</v>
      </c>
      <c r="J49" s="27">
        <f t="shared" si="5"/>
        <v>-0.27567291746396222</v>
      </c>
      <c r="K49" s="27" t="e">
        <f t="shared" si="6"/>
        <v>#NUM!</v>
      </c>
      <c r="L49" s="27" t="e">
        <f t="shared" si="7"/>
        <v>#NUM!</v>
      </c>
      <c r="M49" s="17" t="e">
        <f t="shared" si="8"/>
        <v>#NUM!</v>
      </c>
      <c r="N49" s="17" t="e">
        <f t="shared" si="9"/>
        <v>#N/A</v>
      </c>
      <c r="O49" s="57" t="e">
        <f t="shared" si="10"/>
        <v>#N/A</v>
      </c>
      <c r="P49" s="17">
        <f t="shared" si="11"/>
        <v>0</v>
      </c>
      <c r="Q49" s="17">
        <f t="shared" si="12"/>
        <v>0</v>
      </c>
      <c r="S49" s="81"/>
      <c r="T49" s="30"/>
      <c r="U49" s="30"/>
      <c r="W49" s="30"/>
      <c r="X49" s="30"/>
      <c r="Y49" s="30"/>
      <c r="Z49" s="30"/>
      <c r="AA49" s="30"/>
      <c r="AB49" s="30"/>
      <c r="AC49" s="30"/>
      <c r="AD49" s="85"/>
      <c r="AE49" s="85"/>
      <c r="AF49" s="70"/>
      <c r="AH49" s="81"/>
      <c r="AI49" s="30"/>
      <c r="AJ49" s="30"/>
      <c r="AL49" s="30"/>
      <c r="AM49" s="30"/>
      <c r="AN49" s="30"/>
      <c r="AO49" s="30"/>
      <c r="AP49" s="30"/>
      <c r="AQ49" s="30"/>
      <c r="AR49" s="30"/>
      <c r="AS49" s="85"/>
      <c r="AT49" s="85"/>
      <c r="AU49" s="70"/>
      <c r="AW49" s="81"/>
      <c r="AX49" s="30"/>
      <c r="AY49" s="30"/>
      <c r="BA49" s="30"/>
      <c r="BB49" s="30"/>
      <c r="BC49" s="30"/>
      <c r="BD49" s="30"/>
      <c r="BE49" s="30"/>
      <c r="BF49" s="30"/>
      <c r="BG49" s="30"/>
      <c r="BH49" s="85"/>
      <c r="BI49" s="85"/>
      <c r="BJ49" s="70"/>
      <c r="BL49" s="81"/>
      <c r="BM49" s="30"/>
      <c r="BN49" s="30"/>
      <c r="BP49" s="30"/>
      <c r="BQ49" s="30"/>
      <c r="BR49" s="30"/>
      <c r="BS49" s="30"/>
      <c r="BT49" s="30"/>
      <c r="BU49" s="30"/>
      <c r="BV49" s="30"/>
      <c r="BW49" s="85"/>
      <c r="BX49" s="85"/>
      <c r="BY49" s="70"/>
      <c r="CA49" s="81"/>
      <c r="CB49" s="30"/>
      <c r="CC49" s="30"/>
      <c r="CE49" s="30"/>
      <c r="CF49" s="30"/>
      <c r="CG49" s="30"/>
      <c r="CH49" s="30"/>
      <c r="CI49" s="30"/>
      <c r="CJ49" s="30"/>
      <c r="CK49" s="30"/>
      <c r="CL49" s="85"/>
      <c r="CM49" s="85"/>
      <c r="CN49" s="70"/>
      <c r="CP49" s="81"/>
      <c r="CQ49" s="30"/>
      <c r="CR49" s="30"/>
      <c r="CT49" s="30"/>
      <c r="CU49" s="30"/>
      <c r="CV49" s="30"/>
      <c r="CW49" s="30"/>
      <c r="CX49" s="30"/>
      <c r="CY49" s="30"/>
      <c r="CZ49" s="30"/>
      <c r="DA49" s="85"/>
      <c r="DB49" s="85"/>
      <c r="DC49" s="70"/>
      <c r="DE49" s="81"/>
      <c r="DF49" s="30"/>
      <c r="DG49" s="30"/>
      <c r="DI49" s="30"/>
      <c r="DJ49" s="30"/>
      <c r="DK49" s="30"/>
      <c r="DL49" s="30"/>
      <c r="DM49" s="30"/>
      <c r="DN49" s="30"/>
      <c r="DO49" s="30"/>
      <c r="DP49" s="85"/>
      <c r="DQ49" s="85"/>
      <c r="DR49" s="70"/>
      <c r="DT49" s="81"/>
      <c r="DU49" s="30"/>
      <c r="DV49" s="30"/>
      <c r="DX49" s="30"/>
      <c r="DY49" s="30"/>
      <c r="DZ49" s="30"/>
      <c r="EA49" s="30"/>
      <c r="EB49" s="30"/>
      <c r="EC49" s="30"/>
      <c r="ED49" s="30"/>
      <c r="EE49" s="85"/>
      <c r="EF49" s="85"/>
      <c r="EG49" s="70"/>
      <c r="EI49" s="81"/>
      <c r="EJ49" s="30"/>
      <c r="EK49" s="30"/>
      <c r="EM49" s="30"/>
      <c r="EN49" s="30"/>
      <c r="EO49" s="30"/>
      <c r="EP49" s="30"/>
      <c r="EQ49" s="30"/>
      <c r="ER49" s="30"/>
      <c r="ES49" s="30"/>
      <c r="ET49" s="85"/>
      <c r="EU49" s="85"/>
      <c r="EV49" s="70"/>
    </row>
    <row r="50" spans="2:152">
      <c r="B50" s="11">
        <f t="shared" si="0"/>
        <v>0.17</v>
      </c>
      <c r="C50" s="28">
        <v>2.4</v>
      </c>
      <c r="D50" s="16"/>
      <c r="E50" s="8"/>
      <c r="F50" s="27">
        <f t="shared" si="1"/>
        <v>-1.3696682464454981</v>
      </c>
      <c r="G50" s="27">
        <f t="shared" si="2"/>
        <v>-1247.0890000000002</v>
      </c>
      <c r="H50" s="27">
        <f t="shared" si="3"/>
        <v>8.9748465638634229</v>
      </c>
      <c r="I50" s="27">
        <f t="shared" si="4"/>
        <v>-138.95379615973766</v>
      </c>
      <c r="J50" s="27">
        <f t="shared" si="5"/>
        <v>-0.26742712294043081</v>
      </c>
      <c r="K50" s="27" t="e">
        <f t="shared" si="6"/>
        <v>#NUM!</v>
      </c>
      <c r="L50" s="27" t="e">
        <f t="shared" si="7"/>
        <v>#NUM!</v>
      </c>
      <c r="M50" s="17" t="e">
        <f t="shared" si="8"/>
        <v>#NUM!</v>
      </c>
      <c r="N50" s="17" t="e">
        <f t="shared" si="9"/>
        <v>#N/A</v>
      </c>
      <c r="O50" s="57" t="e">
        <f t="shared" si="10"/>
        <v>#N/A</v>
      </c>
      <c r="P50" s="17">
        <f t="shared" si="11"/>
        <v>0</v>
      </c>
      <c r="Q50" s="17">
        <f t="shared" si="12"/>
        <v>0</v>
      </c>
      <c r="S50" s="81"/>
      <c r="T50" s="30"/>
      <c r="U50" s="30"/>
      <c r="W50" s="30"/>
      <c r="X50" s="30"/>
      <c r="Y50" s="30"/>
      <c r="Z50" s="30"/>
      <c r="AA50" s="30"/>
      <c r="AB50" s="30"/>
      <c r="AC50" s="30"/>
      <c r="AD50" s="85"/>
      <c r="AE50" s="85"/>
      <c r="AF50" s="70"/>
      <c r="AH50" s="81"/>
      <c r="AI50" s="30"/>
      <c r="AJ50" s="30"/>
      <c r="AL50" s="30"/>
      <c r="AM50" s="30"/>
      <c r="AN50" s="30"/>
      <c r="AO50" s="30"/>
      <c r="AP50" s="30"/>
      <c r="AQ50" s="30"/>
      <c r="AR50" s="30"/>
      <c r="AS50" s="85"/>
      <c r="AT50" s="85"/>
      <c r="AU50" s="70"/>
      <c r="AW50" s="81"/>
      <c r="AX50" s="30"/>
      <c r="AY50" s="30"/>
      <c r="BA50" s="30"/>
      <c r="BB50" s="30"/>
      <c r="BC50" s="30"/>
      <c r="BD50" s="30"/>
      <c r="BE50" s="30"/>
      <c r="BF50" s="30"/>
      <c r="BG50" s="30"/>
      <c r="BH50" s="85"/>
      <c r="BI50" s="85"/>
      <c r="BJ50" s="70"/>
      <c r="BL50" s="81"/>
      <c r="BM50" s="30"/>
      <c r="BN50" s="30"/>
      <c r="BP50" s="30"/>
      <c r="BQ50" s="30"/>
      <c r="BR50" s="30"/>
      <c r="BS50" s="30"/>
      <c r="BT50" s="30"/>
      <c r="BU50" s="30"/>
      <c r="BV50" s="30"/>
      <c r="BW50" s="85"/>
      <c r="BX50" s="85"/>
      <c r="BY50" s="70"/>
      <c r="CA50" s="81"/>
      <c r="CB50" s="30"/>
      <c r="CC50" s="30"/>
      <c r="CE50" s="30"/>
      <c r="CF50" s="30"/>
      <c r="CG50" s="30"/>
      <c r="CH50" s="30"/>
      <c r="CI50" s="30"/>
      <c r="CJ50" s="30"/>
      <c r="CK50" s="30"/>
      <c r="CL50" s="85"/>
      <c r="CM50" s="85"/>
      <c r="CN50" s="70"/>
      <c r="CP50" s="81"/>
      <c r="CQ50" s="30"/>
      <c r="CR50" s="30"/>
      <c r="CT50" s="30"/>
      <c r="CU50" s="30"/>
      <c r="CV50" s="30"/>
      <c r="CW50" s="30"/>
      <c r="CX50" s="30"/>
      <c r="CY50" s="30"/>
      <c r="CZ50" s="30"/>
      <c r="DA50" s="85"/>
      <c r="DB50" s="85"/>
      <c r="DC50" s="70"/>
      <c r="DE50" s="81"/>
      <c r="DF50" s="30"/>
      <c r="DG50" s="30"/>
      <c r="DI50" s="30"/>
      <c r="DJ50" s="30"/>
      <c r="DK50" s="30"/>
      <c r="DL50" s="30"/>
      <c r="DM50" s="30"/>
      <c r="DN50" s="30"/>
      <c r="DO50" s="30"/>
      <c r="DP50" s="85"/>
      <c r="DQ50" s="85"/>
      <c r="DR50" s="70"/>
      <c r="DT50" s="81"/>
      <c r="DU50" s="30"/>
      <c r="DV50" s="30"/>
      <c r="DX50" s="30"/>
      <c r="DY50" s="30"/>
      <c r="DZ50" s="30"/>
      <c r="EA50" s="30"/>
      <c r="EB50" s="30"/>
      <c r="EC50" s="30"/>
      <c r="ED50" s="30"/>
      <c r="EE50" s="85"/>
      <c r="EF50" s="85"/>
      <c r="EG50" s="70"/>
      <c r="EI50" s="81"/>
      <c r="EJ50" s="30"/>
      <c r="EK50" s="30"/>
      <c r="EM50" s="30"/>
      <c r="EN50" s="30"/>
      <c r="EO50" s="30"/>
      <c r="EP50" s="30"/>
      <c r="EQ50" s="30"/>
      <c r="ER50" s="30"/>
      <c r="ES50" s="30"/>
      <c r="ET50" s="85"/>
      <c r="EU50" s="85"/>
      <c r="EV50" s="70"/>
    </row>
    <row r="51" spans="2:152">
      <c r="B51" s="11">
        <f t="shared" si="0"/>
        <v>0.17</v>
      </c>
      <c r="C51" s="28">
        <v>2.46</v>
      </c>
      <c r="D51" s="16"/>
      <c r="E51" s="8"/>
      <c r="F51" s="27">
        <f t="shared" si="1"/>
        <v>-1.4283632831471591</v>
      </c>
      <c r="G51" s="27">
        <f t="shared" si="2"/>
        <v>-1247.0889999999999</v>
      </c>
      <c r="H51" s="27">
        <f t="shared" si="3"/>
        <v>17.093890438991139</v>
      </c>
      <c r="I51" s="27">
        <f t="shared" si="4"/>
        <v>-72.955247048699448</v>
      </c>
      <c r="J51" s="27">
        <f t="shared" si="5"/>
        <v>-0.25928724342022413</v>
      </c>
      <c r="K51" s="27" t="e">
        <f t="shared" si="6"/>
        <v>#NUM!</v>
      </c>
      <c r="L51" s="27" t="e">
        <f t="shared" si="7"/>
        <v>#NUM!</v>
      </c>
      <c r="M51" s="17" t="e">
        <f t="shared" si="8"/>
        <v>#NUM!</v>
      </c>
      <c r="N51" s="17" t="e">
        <f t="shared" si="9"/>
        <v>#N/A</v>
      </c>
      <c r="O51" s="57" t="e">
        <f t="shared" si="10"/>
        <v>#N/A</v>
      </c>
      <c r="P51" s="17">
        <f t="shared" si="11"/>
        <v>0</v>
      </c>
      <c r="Q51" s="17">
        <f t="shared" si="12"/>
        <v>0</v>
      </c>
      <c r="S51" s="81"/>
      <c r="T51" s="30"/>
      <c r="U51" s="30"/>
      <c r="W51" s="30"/>
      <c r="X51" s="30"/>
      <c r="Y51" s="30"/>
      <c r="Z51" s="30"/>
      <c r="AA51" s="30"/>
      <c r="AB51" s="30"/>
      <c r="AC51" s="30"/>
      <c r="AD51" s="85"/>
      <c r="AE51" s="85"/>
      <c r="AF51" s="70"/>
      <c r="AH51" s="81"/>
      <c r="AI51" s="30"/>
      <c r="AJ51" s="30"/>
      <c r="AL51" s="30"/>
      <c r="AM51" s="30"/>
      <c r="AN51" s="30"/>
      <c r="AO51" s="30"/>
      <c r="AP51" s="30"/>
      <c r="AQ51" s="30"/>
      <c r="AR51" s="30"/>
      <c r="AS51" s="85"/>
      <c r="AT51" s="85"/>
      <c r="AU51" s="70"/>
      <c r="AW51" s="81"/>
      <c r="AX51" s="30"/>
      <c r="AY51" s="30"/>
      <c r="BA51" s="30"/>
      <c r="BB51" s="30"/>
      <c r="BC51" s="30"/>
      <c r="BD51" s="30"/>
      <c r="BE51" s="30"/>
      <c r="BF51" s="30"/>
      <c r="BG51" s="30"/>
      <c r="BH51" s="85"/>
      <c r="BI51" s="85"/>
      <c r="BJ51" s="70"/>
      <c r="BL51" s="81"/>
      <c r="BM51" s="30"/>
      <c r="BN51" s="30"/>
      <c r="BP51" s="30"/>
      <c r="BQ51" s="30"/>
      <c r="BR51" s="30"/>
      <c r="BS51" s="30"/>
      <c r="BT51" s="30"/>
      <c r="BU51" s="30"/>
      <c r="BV51" s="30"/>
      <c r="BW51" s="85"/>
      <c r="BX51" s="85"/>
      <c r="BY51" s="70"/>
      <c r="CA51" s="81"/>
      <c r="CB51" s="30"/>
      <c r="CC51" s="30"/>
      <c r="CE51" s="30"/>
      <c r="CF51" s="30"/>
      <c r="CG51" s="30"/>
      <c r="CH51" s="30"/>
      <c r="CI51" s="30"/>
      <c r="CJ51" s="30"/>
      <c r="CK51" s="30"/>
      <c r="CL51" s="85"/>
      <c r="CM51" s="85"/>
      <c r="CN51" s="70"/>
      <c r="CP51" s="81"/>
      <c r="CQ51" s="30"/>
      <c r="CR51" s="30"/>
      <c r="CT51" s="30"/>
      <c r="CU51" s="30"/>
      <c r="CV51" s="30"/>
      <c r="CW51" s="30"/>
      <c r="CX51" s="30"/>
      <c r="CY51" s="30"/>
      <c r="CZ51" s="30"/>
      <c r="DA51" s="85"/>
      <c r="DB51" s="85"/>
      <c r="DC51" s="70"/>
      <c r="DE51" s="81"/>
      <c r="DF51" s="30"/>
      <c r="DG51" s="30"/>
      <c r="DI51" s="30"/>
      <c r="DJ51" s="30"/>
      <c r="DK51" s="30"/>
      <c r="DL51" s="30"/>
      <c r="DM51" s="30"/>
      <c r="DN51" s="30"/>
      <c r="DO51" s="30"/>
      <c r="DP51" s="85"/>
      <c r="DQ51" s="85"/>
      <c r="DR51" s="70"/>
      <c r="DT51" s="81"/>
      <c r="DU51" s="30"/>
      <c r="DV51" s="30"/>
      <c r="DX51" s="30"/>
      <c r="DY51" s="30"/>
      <c r="DZ51" s="30"/>
      <c r="EA51" s="30"/>
      <c r="EB51" s="30"/>
      <c r="EC51" s="30"/>
      <c r="ED51" s="30"/>
      <c r="EE51" s="85"/>
      <c r="EF51" s="85"/>
      <c r="EG51" s="70"/>
      <c r="EI51" s="81"/>
      <c r="EJ51" s="30"/>
      <c r="EK51" s="30"/>
      <c r="EM51" s="30"/>
      <c r="EN51" s="30"/>
      <c r="EO51" s="30"/>
      <c r="EP51" s="30"/>
      <c r="EQ51" s="30"/>
      <c r="ER51" s="30"/>
      <c r="ES51" s="30"/>
      <c r="ET51" s="85"/>
      <c r="EU51" s="85"/>
      <c r="EV51" s="70"/>
    </row>
    <row r="52" spans="2:152">
      <c r="B52" s="11">
        <f t="shared" si="0"/>
        <v>0.17</v>
      </c>
      <c r="C52" s="28">
        <v>2.52</v>
      </c>
      <c r="D52" s="16"/>
      <c r="E52" s="8"/>
      <c r="F52" s="27">
        <f t="shared" si="1"/>
        <v>-1.4900398406374504</v>
      </c>
      <c r="G52" s="27">
        <f t="shared" si="2"/>
        <v>-1247.0889999999997</v>
      </c>
      <c r="H52" s="27">
        <f t="shared" si="3"/>
        <v>25.212934314118854</v>
      </c>
      <c r="I52" s="27">
        <f t="shared" si="4"/>
        <v>-49.462271406531571</v>
      </c>
      <c r="J52" s="27">
        <f t="shared" si="5"/>
        <v>-0.25125125125125125</v>
      </c>
      <c r="K52" s="27" t="e">
        <f t="shared" si="6"/>
        <v>#NUM!</v>
      </c>
      <c r="L52" s="27" t="e">
        <f t="shared" si="7"/>
        <v>#NUM!</v>
      </c>
      <c r="M52" s="17" t="e">
        <f t="shared" si="8"/>
        <v>#NUM!</v>
      </c>
      <c r="N52" s="17" t="e">
        <f t="shared" si="9"/>
        <v>#N/A</v>
      </c>
      <c r="O52" s="57" t="e">
        <f t="shared" si="10"/>
        <v>#N/A</v>
      </c>
      <c r="P52" s="17">
        <f t="shared" si="11"/>
        <v>0</v>
      </c>
      <c r="Q52" s="17">
        <f t="shared" si="12"/>
        <v>0</v>
      </c>
      <c r="S52" s="81"/>
      <c r="T52" s="30"/>
      <c r="U52" s="30"/>
      <c r="W52" s="30"/>
      <c r="X52" s="30"/>
      <c r="Y52" s="30"/>
      <c r="Z52" s="30"/>
      <c r="AA52" s="30"/>
      <c r="AB52" s="30"/>
      <c r="AC52" s="30"/>
      <c r="AD52" s="85"/>
      <c r="AE52" s="85"/>
      <c r="AF52" s="70"/>
      <c r="AH52" s="81"/>
      <c r="AI52" s="30"/>
      <c r="AJ52" s="30"/>
      <c r="AL52" s="30"/>
      <c r="AM52" s="30"/>
      <c r="AN52" s="30"/>
      <c r="AO52" s="30"/>
      <c r="AP52" s="30"/>
      <c r="AQ52" s="30"/>
      <c r="AR52" s="30"/>
      <c r="AS52" s="85"/>
      <c r="AT52" s="85"/>
      <c r="AU52" s="70"/>
      <c r="AW52" s="81"/>
      <c r="AX52" s="30"/>
      <c r="AY52" s="30"/>
      <c r="BA52" s="30"/>
      <c r="BB52" s="30"/>
      <c r="BC52" s="30"/>
      <c r="BD52" s="30"/>
      <c r="BE52" s="30"/>
      <c r="BF52" s="30"/>
      <c r="BG52" s="30"/>
      <c r="BH52" s="85"/>
      <c r="BI52" s="85"/>
      <c r="BJ52" s="70"/>
      <c r="BL52" s="81"/>
      <c r="BM52" s="30"/>
      <c r="BN52" s="30"/>
      <c r="BP52" s="30"/>
      <c r="BQ52" s="30"/>
      <c r="BR52" s="30"/>
      <c r="BS52" s="30"/>
      <c r="BT52" s="30"/>
      <c r="BU52" s="30"/>
      <c r="BV52" s="30"/>
      <c r="BW52" s="85"/>
      <c r="BX52" s="85"/>
      <c r="BY52" s="70"/>
      <c r="CA52" s="81"/>
      <c r="CB52" s="30"/>
      <c r="CC52" s="30"/>
      <c r="CE52" s="30"/>
      <c r="CF52" s="30"/>
      <c r="CG52" s="30"/>
      <c r="CH52" s="30"/>
      <c r="CI52" s="30"/>
      <c r="CJ52" s="30"/>
      <c r="CK52" s="30"/>
      <c r="CL52" s="85"/>
      <c r="CM52" s="85"/>
      <c r="CN52" s="70"/>
      <c r="CP52" s="81"/>
      <c r="CQ52" s="30"/>
      <c r="CR52" s="30"/>
      <c r="CT52" s="30"/>
      <c r="CU52" s="30"/>
      <c r="CV52" s="30"/>
      <c r="CW52" s="30"/>
      <c r="CX52" s="30"/>
      <c r="CY52" s="30"/>
      <c r="CZ52" s="30"/>
      <c r="DA52" s="85"/>
      <c r="DB52" s="85"/>
      <c r="DC52" s="70"/>
      <c r="DE52" s="81"/>
      <c r="DF52" s="30"/>
      <c r="DG52" s="30"/>
      <c r="DI52" s="30"/>
      <c r="DJ52" s="30"/>
      <c r="DK52" s="30"/>
      <c r="DL52" s="30"/>
      <c r="DM52" s="30"/>
      <c r="DN52" s="30"/>
      <c r="DO52" s="30"/>
      <c r="DP52" s="85"/>
      <c r="DQ52" s="85"/>
      <c r="DR52" s="70"/>
      <c r="DT52" s="81"/>
      <c r="DU52" s="30"/>
      <c r="DV52" s="30"/>
      <c r="DX52" s="30"/>
      <c r="DY52" s="30"/>
      <c r="DZ52" s="30"/>
      <c r="EA52" s="30"/>
      <c r="EB52" s="30"/>
      <c r="EC52" s="30"/>
      <c r="ED52" s="30"/>
      <c r="EE52" s="85"/>
      <c r="EF52" s="85"/>
      <c r="EG52" s="70"/>
      <c r="EI52" s="81"/>
      <c r="EJ52" s="30"/>
      <c r="EK52" s="30"/>
      <c r="EM52" s="30"/>
      <c r="EN52" s="30"/>
      <c r="EO52" s="30"/>
      <c r="EP52" s="30"/>
      <c r="EQ52" s="30"/>
      <c r="ER52" s="30"/>
      <c r="ES52" s="30"/>
      <c r="ET52" s="85"/>
      <c r="EU52" s="85"/>
      <c r="EV52" s="70"/>
    </row>
    <row r="53" spans="2:152">
      <c r="B53" s="11">
        <f t="shared" si="0"/>
        <v>0.17</v>
      </c>
      <c r="C53" s="28">
        <v>2.58</v>
      </c>
      <c r="D53" s="16"/>
      <c r="E53" s="8"/>
      <c r="F53" s="27">
        <f t="shared" si="1"/>
        <v>-1.554931016862545</v>
      </c>
      <c r="G53" s="27">
        <f t="shared" si="2"/>
        <v>-1247.0889999999999</v>
      </c>
      <c r="H53" s="27">
        <f t="shared" si="3"/>
        <v>33.331978189246399</v>
      </c>
      <c r="I53" s="27">
        <f t="shared" si="4"/>
        <v>-37.414191048593004</v>
      </c>
      <c r="J53" s="27">
        <f t="shared" si="5"/>
        <v>-0.24331717021012059</v>
      </c>
      <c r="K53" s="27" t="e">
        <f t="shared" si="6"/>
        <v>#NUM!</v>
      </c>
      <c r="L53" s="27" t="e">
        <f t="shared" si="7"/>
        <v>#NUM!</v>
      </c>
      <c r="M53" s="17" t="e">
        <f t="shared" si="8"/>
        <v>#NUM!</v>
      </c>
      <c r="N53" s="17" t="e">
        <f t="shared" si="9"/>
        <v>#N/A</v>
      </c>
      <c r="O53" s="57" t="e">
        <f t="shared" si="10"/>
        <v>#N/A</v>
      </c>
      <c r="P53" s="17">
        <f t="shared" si="11"/>
        <v>0</v>
      </c>
      <c r="Q53" s="17">
        <f t="shared" si="12"/>
        <v>0</v>
      </c>
      <c r="S53" s="81"/>
      <c r="T53" s="30"/>
      <c r="U53" s="30"/>
      <c r="W53" s="30"/>
      <c r="X53" s="30"/>
      <c r="Y53" s="30"/>
      <c r="Z53" s="30"/>
      <c r="AA53" s="30"/>
      <c r="AB53" s="30"/>
      <c r="AC53" s="30"/>
      <c r="AD53" s="85"/>
      <c r="AE53" s="85"/>
      <c r="AF53" s="70"/>
      <c r="AH53" s="81"/>
      <c r="AI53" s="30"/>
      <c r="AJ53" s="30"/>
      <c r="AL53" s="30"/>
      <c r="AM53" s="30"/>
      <c r="AN53" s="30"/>
      <c r="AO53" s="30"/>
      <c r="AP53" s="30"/>
      <c r="AQ53" s="30"/>
      <c r="AR53" s="30"/>
      <c r="AS53" s="85"/>
      <c r="AT53" s="85"/>
      <c r="AU53" s="70"/>
      <c r="AW53" s="81"/>
      <c r="AX53" s="30"/>
      <c r="AY53" s="30"/>
      <c r="BA53" s="30"/>
      <c r="BB53" s="30"/>
      <c r="BC53" s="30"/>
      <c r="BD53" s="30"/>
      <c r="BE53" s="30"/>
      <c r="BF53" s="30"/>
      <c r="BG53" s="30"/>
      <c r="BH53" s="85"/>
      <c r="BI53" s="85"/>
      <c r="BJ53" s="70"/>
      <c r="BL53" s="81"/>
      <c r="BM53" s="30"/>
      <c r="BN53" s="30"/>
      <c r="BP53" s="30"/>
      <c r="BQ53" s="30"/>
      <c r="BR53" s="30"/>
      <c r="BS53" s="30"/>
      <c r="BT53" s="30"/>
      <c r="BU53" s="30"/>
      <c r="BV53" s="30"/>
      <c r="BW53" s="85"/>
      <c r="BX53" s="85"/>
      <c r="BY53" s="70"/>
      <c r="CA53" s="81"/>
      <c r="CB53" s="30"/>
      <c r="CC53" s="30"/>
      <c r="CE53" s="30"/>
      <c r="CF53" s="30"/>
      <c r="CG53" s="30"/>
      <c r="CH53" s="30"/>
      <c r="CI53" s="30"/>
      <c r="CJ53" s="30"/>
      <c r="CK53" s="30"/>
      <c r="CL53" s="85"/>
      <c r="CM53" s="85"/>
      <c r="CN53" s="70"/>
      <c r="CP53" s="81"/>
      <c r="CQ53" s="30"/>
      <c r="CR53" s="30"/>
      <c r="CT53" s="30"/>
      <c r="CU53" s="30"/>
      <c r="CV53" s="30"/>
      <c r="CW53" s="30"/>
      <c r="CX53" s="30"/>
      <c r="CY53" s="30"/>
      <c r="CZ53" s="30"/>
      <c r="DA53" s="85"/>
      <c r="DB53" s="85"/>
      <c r="DC53" s="70"/>
      <c r="DE53" s="81"/>
      <c r="DF53" s="30"/>
      <c r="DG53" s="30"/>
      <c r="DI53" s="30"/>
      <c r="DJ53" s="30"/>
      <c r="DK53" s="30"/>
      <c r="DL53" s="30"/>
      <c r="DM53" s="30"/>
      <c r="DN53" s="30"/>
      <c r="DO53" s="30"/>
      <c r="DP53" s="85"/>
      <c r="DQ53" s="85"/>
      <c r="DR53" s="70"/>
      <c r="DT53" s="81"/>
      <c r="DU53" s="30"/>
      <c r="DV53" s="30"/>
      <c r="DX53" s="30"/>
      <c r="DY53" s="30"/>
      <c r="DZ53" s="30"/>
      <c r="EA53" s="30"/>
      <c r="EB53" s="30"/>
      <c r="EC53" s="30"/>
      <c r="ED53" s="30"/>
      <c r="EE53" s="85"/>
      <c r="EF53" s="85"/>
      <c r="EG53" s="70"/>
      <c r="EI53" s="81"/>
      <c r="EJ53" s="30"/>
      <c r="EK53" s="30"/>
      <c r="EM53" s="30"/>
      <c r="EN53" s="30"/>
      <c r="EO53" s="30"/>
      <c r="EP53" s="30"/>
      <c r="EQ53" s="30"/>
      <c r="ER53" s="30"/>
      <c r="ES53" s="30"/>
      <c r="ET53" s="85"/>
      <c r="EU53" s="85"/>
      <c r="EV53" s="70"/>
    </row>
    <row r="54" spans="2:152">
      <c r="B54" s="11">
        <f t="shared" si="0"/>
        <v>0.17</v>
      </c>
      <c r="C54" s="28">
        <v>2.64</v>
      </c>
      <c r="D54" s="16"/>
      <c r="E54" s="8"/>
      <c r="F54" s="27">
        <f t="shared" si="1"/>
        <v>-1.6232948583420779</v>
      </c>
      <c r="G54" s="27">
        <f t="shared" si="2"/>
        <v>-1247.0890000000002</v>
      </c>
      <c r="H54" s="27">
        <f t="shared" si="3"/>
        <v>41.451022064374058</v>
      </c>
      <c r="I54" s="27">
        <f t="shared" si="4"/>
        <v>-30.085844398800404</v>
      </c>
      <c r="J54" s="27">
        <f t="shared" si="5"/>
        <v>-0.23548307388188777</v>
      </c>
      <c r="K54" s="27" t="e">
        <f t="shared" si="6"/>
        <v>#NUM!</v>
      </c>
      <c r="L54" s="27" t="e">
        <f t="shared" si="7"/>
        <v>#NUM!</v>
      </c>
      <c r="M54" s="17" t="e">
        <f t="shared" si="8"/>
        <v>#NUM!</v>
      </c>
      <c r="N54" s="17" t="e">
        <f t="shared" si="9"/>
        <v>#N/A</v>
      </c>
      <c r="O54" s="57" t="e">
        <f t="shared" si="10"/>
        <v>#N/A</v>
      </c>
      <c r="P54" s="17">
        <f t="shared" si="11"/>
        <v>0</v>
      </c>
      <c r="Q54" s="17">
        <f t="shared" si="12"/>
        <v>0</v>
      </c>
      <c r="S54" s="81"/>
      <c r="T54" s="30"/>
      <c r="U54" s="30"/>
      <c r="W54" s="30"/>
      <c r="X54" s="30"/>
      <c r="Y54" s="30"/>
      <c r="Z54" s="30"/>
      <c r="AA54" s="30"/>
      <c r="AB54" s="30"/>
      <c r="AC54" s="30"/>
      <c r="AD54" s="85"/>
      <c r="AE54" s="85"/>
      <c r="AF54" s="70"/>
      <c r="AH54" s="81"/>
      <c r="AI54" s="30"/>
      <c r="AJ54" s="30"/>
      <c r="AL54" s="30"/>
      <c r="AM54" s="30"/>
      <c r="AN54" s="30"/>
      <c r="AO54" s="30"/>
      <c r="AP54" s="30"/>
      <c r="AQ54" s="30"/>
      <c r="AR54" s="30"/>
      <c r="AS54" s="85"/>
      <c r="AT54" s="85"/>
      <c r="AU54" s="70"/>
      <c r="AW54" s="81"/>
      <c r="AX54" s="30"/>
      <c r="AY54" s="30"/>
      <c r="BA54" s="30"/>
      <c r="BB54" s="30"/>
      <c r="BC54" s="30"/>
      <c r="BD54" s="30"/>
      <c r="BE54" s="30"/>
      <c r="BF54" s="30"/>
      <c r="BG54" s="30"/>
      <c r="BH54" s="85"/>
      <c r="BI54" s="85"/>
      <c r="BJ54" s="70"/>
      <c r="BL54" s="81"/>
      <c r="BM54" s="30"/>
      <c r="BN54" s="30"/>
      <c r="BP54" s="30"/>
      <c r="BQ54" s="30"/>
      <c r="BR54" s="30"/>
      <c r="BS54" s="30"/>
      <c r="BT54" s="30"/>
      <c r="BU54" s="30"/>
      <c r="BV54" s="30"/>
      <c r="BW54" s="85"/>
      <c r="BX54" s="85"/>
      <c r="BY54" s="70"/>
      <c r="CA54" s="81"/>
      <c r="CB54" s="30"/>
      <c r="CC54" s="30"/>
      <c r="CE54" s="30"/>
      <c r="CF54" s="30"/>
      <c r="CG54" s="30"/>
      <c r="CH54" s="30"/>
      <c r="CI54" s="30"/>
      <c r="CJ54" s="30"/>
      <c r="CK54" s="30"/>
      <c r="CL54" s="85"/>
      <c r="CM54" s="85"/>
      <c r="CN54" s="70"/>
      <c r="CP54" s="81"/>
      <c r="CQ54" s="30"/>
      <c r="CR54" s="30"/>
      <c r="CT54" s="30"/>
      <c r="CU54" s="30"/>
      <c r="CV54" s="30"/>
      <c r="CW54" s="30"/>
      <c r="CX54" s="30"/>
      <c r="CY54" s="30"/>
      <c r="CZ54" s="30"/>
      <c r="DA54" s="85"/>
      <c r="DB54" s="85"/>
      <c r="DC54" s="70"/>
      <c r="DE54" s="81"/>
      <c r="DF54" s="30"/>
      <c r="DG54" s="30"/>
      <c r="DI54" s="30"/>
      <c r="DJ54" s="30"/>
      <c r="DK54" s="30"/>
      <c r="DL54" s="30"/>
      <c r="DM54" s="30"/>
      <c r="DN54" s="30"/>
      <c r="DO54" s="30"/>
      <c r="DP54" s="85"/>
      <c r="DQ54" s="85"/>
      <c r="DR54" s="70"/>
      <c r="DT54" s="81"/>
      <c r="DU54" s="30"/>
      <c r="DV54" s="30"/>
      <c r="DX54" s="30"/>
      <c r="DY54" s="30"/>
      <c r="DZ54" s="30"/>
      <c r="EA54" s="30"/>
      <c r="EB54" s="30"/>
      <c r="EC54" s="30"/>
      <c r="ED54" s="30"/>
      <c r="EE54" s="85"/>
      <c r="EF54" s="85"/>
      <c r="EG54" s="70"/>
      <c r="EI54" s="81"/>
      <c r="EJ54" s="30"/>
      <c r="EK54" s="30"/>
      <c r="EM54" s="30"/>
      <c r="EN54" s="30"/>
      <c r="EO54" s="30"/>
      <c r="EP54" s="30"/>
      <c r="EQ54" s="30"/>
      <c r="ER54" s="30"/>
      <c r="ES54" s="30"/>
      <c r="ET54" s="85"/>
      <c r="EU54" s="85"/>
      <c r="EV54" s="70"/>
    </row>
    <row r="55" spans="2:152">
      <c r="B55" s="11">
        <f t="shared" si="0"/>
        <v>0.17</v>
      </c>
      <c r="C55" s="28">
        <v>2.7</v>
      </c>
      <c r="D55" s="16"/>
      <c r="E55" s="8"/>
      <c r="F55" s="27">
        <f t="shared" si="1"/>
        <v>-1.6954177897574132</v>
      </c>
      <c r="G55" s="27">
        <f t="shared" si="2"/>
        <v>-1247.0889999999999</v>
      </c>
      <c r="H55" s="27">
        <f t="shared" si="3"/>
        <v>49.570065939501717</v>
      </c>
      <c r="I55" s="27">
        <f t="shared" si="4"/>
        <v>-25.158106537966326</v>
      </c>
      <c r="J55" s="27">
        <f t="shared" si="5"/>
        <v>-0.22774708410067518</v>
      </c>
      <c r="K55" s="27" t="e">
        <f t="shared" si="6"/>
        <v>#NUM!</v>
      </c>
      <c r="L55" s="27" t="e">
        <f t="shared" si="7"/>
        <v>#NUM!</v>
      </c>
      <c r="M55" s="17" t="e">
        <f t="shared" si="8"/>
        <v>#NUM!</v>
      </c>
      <c r="N55" s="17" t="e">
        <f t="shared" si="9"/>
        <v>#N/A</v>
      </c>
      <c r="O55" s="57" t="e">
        <f t="shared" si="10"/>
        <v>#N/A</v>
      </c>
      <c r="P55" s="17">
        <f t="shared" si="11"/>
        <v>0</v>
      </c>
      <c r="Q55" s="17">
        <f t="shared" si="12"/>
        <v>0</v>
      </c>
      <c r="S55" s="81"/>
      <c r="T55" s="30"/>
      <c r="U55" s="30"/>
      <c r="W55" s="30"/>
      <c r="X55" s="30"/>
      <c r="Y55" s="30"/>
      <c r="Z55" s="30"/>
      <c r="AA55" s="30"/>
      <c r="AB55" s="30"/>
      <c r="AC55" s="30"/>
      <c r="AD55" s="85"/>
      <c r="AE55" s="85"/>
      <c r="AF55" s="70"/>
      <c r="AH55" s="81"/>
      <c r="AI55" s="30"/>
      <c r="AJ55" s="30"/>
      <c r="AL55" s="30"/>
      <c r="AM55" s="30"/>
      <c r="AN55" s="30"/>
      <c r="AO55" s="30"/>
      <c r="AP55" s="30"/>
      <c r="AQ55" s="30"/>
      <c r="AR55" s="30"/>
      <c r="AS55" s="85"/>
      <c r="AT55" s="85"/>
      <c r="AU55" s="70"/>
      <c r="AW55" s="81"/>
      <c r="AX55" s="30"/>
      <c r="AY55" s="30"/>
      <c r="BA55" s="30"/>
      <c r="BB55" s="30"/>
      <c r="BC55" s="30"/>
      <c r="BD55" s="30"/>
      <c r="BE55" s="30"/>
      <c r="BF55" s="30"/>
      <c r="BG55" s="30"/>
      <c r="BH55" s="85"/>
      <c r="BI55" s="85"/>
      <c r="BJ55" s="70"/>
      <c r="BL55" s="81"/>
      <c r="BM55" s="30"/>
      <c r="BN55" s="30"/>
      <c r="BP55" s="30"/>
      <c r="BQ55" s="30"/>
      <c r="BR55" s="30"/>
      <c r="BS55" s="30"/>
      <c r="BT55" s="30"/>
      <c r="BU55" s="30"/>
      <c r="BV55" s="30"/>
      <c r="BW55" s="85"/>
      <c r="BX55" s="85"/>
      <c r="BY55" s="70"/>
      <c r="CA55" s="81"/>
      <c r="CB55" s="30"/>
      <c r="CC55" s="30"/>
      <c r="CE55" s="30"/>
      <c r="CF55" s="30"/>
      <c r="CG55" s="30"/>
      <c r="CH55" s="30"/>
      <c r="CI55" s="30"/>
      <c r="CJ55" s="30"/>
      <c r="CK55" s="30"/>
      <c r="CL55" s="85"/>
      <c r="CM55" s="85"/>
      <c r="CN55" s="70"/>
      <c r="CP55" s="81"/>
      <c r="CQ55" s="30"/>
      <c r="CR55" s="30"/>
      <c r="CT55" s="30"/>
      <c r="CU55" s="30"/>
      <c r="CV55" s="30"/>
      <c r="CW55" s="30"/>
      <c r="CX55" s="30"/>
      <c r="CY55" s="30"/>
      <c r="CZ55" s="30"/>
      <c r="DA55" s="85"/>
      <c r="DB55" s="85"/>
      <c r="DC55" s="70"/>
      <c r="DE55" s="81"/>
      <c r="DF55" s="30"/>
      <c r="DG55" s="30"/>
      <c r="DI55" s="30"/>
      <c r="DJ55" s="30"/>
      <c r="DK55" s="30"/>
      <c r="DL55" s="30"/>
      <c r="DM55" s="30"/>
      <c r="DN55" s="30"/>
      <c r="DO55" s="30"/>
      <c r="DP55" s="85"/>
      <c r="DQ55" s="85"/>
      <c r="DR55" s="70"/>
      <c r="DT55" s="81"/>
      <c r="DU55" s="30"/>
      <c r="DV55" s="30"/>
      <c r="DX55" s="30"/>
      <c r="DY55" s="30"/>
      <c r="DZ55" s="30"/>
      <c r="EA55" s="30"/>
      <c r="EB55" s="30"/>
      <c r="EC55" s="30"/>
      <c r="ED55" s="30"/>
      <c r="EE55" s="85"/>
      <c r="EF55" s="85"/>
      <c r="EG55" s="70"/>
      <c r="EI55" s="81"/>
      <c r="EJ55" s="30"/>
      <c r="EK55" s="30"/>
      <c r="EM55" s="30"/>
      <c r="EN55" s="30"/>
      <c r="EO55" s="30"/>
      <c r="EP55" s="30"/>
      <c r="EQ55" s="30"/>
      <c r="ER55" s="30"/>
      <c r="ES55" s="30"/>
      <c r="ET55" s="85"/>
      <c r="EU55" s="85"/>
      <c r="EV55" s="70"/>
    </row>
    <row r="56" spans="2:152">
      <c r="B56" s="11">
        <f t="shared" si="0"/>
        <v>0.17</v>
      </c>
      <c r="C56" s="28">
        <v>2.76</v>
      </c>
      <c r="D56" s="16"/>
      <c r="E56" s="8"/>
      <c r="F56" s="27">
        <f t="shared" si="1"/>
        <v>-1.7716186252771617</v>
      </c>
      <c r="G56" s="27">
        <f t="shared" si="2"/>
        <v>-1247.0889999999997</v>
      </c>
      <c r="H56" s="27">
        <f t="shared" si="3"/>
        <v>57.689109814629376</v>
      </c>
      <c r="I56" s="27">
        <f t="shared" si="4"/>
        <v>-21.617407583636357</v>
      </c>
      <c r="J56" s="27">
        <f t="shared" si="5"/>
        <v>-0.2201073694485115</v>
      </c>
      <c r="K56" s="27" t="e">
        <f t="shared" si="6"/>
        <v>#NUM!</v>
      </c>
      <c r="L56" s="27" t="e">
        <f t="shared" si="7"/>
        <v>#NUM!</v>
      </c>
      <c r="M56" s="17" t="e">
        <f t="shared" si="8"/>
        <v>#NUM!</v>
      </c>
      <c r="N56" s="17" t="e">
        <f t="shared" si="9"/>
        <v>#N/A</v>
      </c>
      <c r="O56" s="57" t="e">
        <f t="shared" si="10"/>
        <v>#N/A</v>
      </c>
      <c r="P56" s="17">
        <f t="shared" si="11"/>
        <v>0</v>
      </c>
      <c r="Q56" s="17">
        <f t="shared" si="12"/>
        <v>0</v>
      </c>
      <c r="S56" s="81"/>
      <c r="T56" s="30"/>
      <c r="U56" s="30"/>
      <c r="W56" s="30"/>
      <c r="X56" s="30"/>
      <c r="Y56" s="30"/>
      <c r="Z56" s="30"/>
      <c r="AA56" s="30"/>
      <c r="AB56" s="30"/>
      <c r="AC56" s="30"/>
      <c r="AD56" s="85"/>
      <c r="AE56" s="85"/>
      <c r="AF56" s="70"/>
      <c r="AH56" s="81"/>
      <c r="AI56" s="30"/>
      <c r="AJ56" s="30"/>
      <c r="AL56" s="30"/>
      <c r="AM56" s="30"/>
      <c r="AN56" s="30"/>
      <c r="AO56" s="30"/>
      <c r="AP56" s="30"/>
      <c r="AQ56" s="30"/>
      <c r="AR56" s="30"/>
      <c r="AS56" s="85"/>
      <c r="AT56" s="85"/>
      <c r="AU56" s="70"/>
      <c r="AW56" s="81"/>
      <c r="AX56" s="30"/>
      <c r="AY56" s="30"/>
      <c r="BA56" s="30"/>
      <c r="BB56" s="30"/>
      <c r="BC56" s="30"/>
      <c r="BD56" s="30"/>
      <c r="BE56" s="30"/>
      <c r="BF56" s="30"/>
      <c r="BG56" s="30"/>
      <c r="BH56" s="85"/>
      <c r="BI56" s="85"/>
      <c r="BJ56" s="70"/>
      <c r="BL56" s="81"/>
      <c r="BM56" s="30"/>
      <c r="BN56" s="30"/>
      <c r="BP56" s="30"/>
      <c r="BQ56" s="30"/>
      <c r="BR56" s="30"/>
      <c r="BS56" s="30"/>
      <c r="BT56" s="30"/>
      <c r="BU56" s="30"/>
      <c r="BV56" s="30"/>
      <c r="BW56" s="85"/>
      <c r="BX56" s="85"/>
      <c r="BY56" s="70"/>
      <c r="CA56" s="81"/>
      <c r="CB56" s="30"/>
      <c r="CC56" s="30"/>
      <c r="CE56" s="30"/>
      <c r="CF56" s="30"/>
      <c r="CG56" s="30"/>
      <c r="CH56" s="30"/>
      <c r="CI56" s="30"/>
      <c r="CJ56" s="30"/>
      <c r="CK56" s="30"/>
      <c r="CL56" s="85"/>
      <c r="CM56" s="85"/>
      <c r="CN56" s="70"/>
      <c r="CP56" s="81"/>
      <c r="CQ56" s="30"/>
      <c r="CR56" s="30"/>
      <c r="CT56" s="30"/>
      <c r="CU56" s="30"/>
      <c r="CV56" s="30"/>
      <c r="CW56" s="30"/>
      <c r="CX56" s="30"/>
      <c r="CY56" s="30"/>
      <c r="CZ56" s="30"/>
      <c r="DA56" s="85"/>
      <c r="DB56" s="85"/>
      <c r="DC56" s="70"/>
      <c r="DE56" s="81"/>
      <c r="DF56" s="30"/>
      <c r="DG56" s="30"/>
      <c r="DI56" s="30"/>
      <c r="DJ56" s="30"/>
      <c r="DK56" s="30"/>
      <c r="DL56" s="30"/>
      <c r="DM56" s="30"/>
      <c r="DN56" s="30"/>
      <c r="DO56" s="30"/>
      <c r="DP56" s="85"/>
      <c r="DQ56" s="85"/>
      <c r="DR56" s="70"/>
      <c r="DT56" s="81"/>
      <c r="DU56" s="30"/>
      <c r="DV56" s="30"/>
      <c r="DX56" s="30"/>
      <c r="DY56" s="30"/>
      <c r="DZ56" s="30"/>
      <c r="EA56" s="30"/>
      <c r="EB56" s="30"/>
      <c r="EC56" s="30"/>
      <c r="ED56" s="30"/>
      <c r="EE56" s="85"/>
      <c r="EF56" s="85"/>
      <c r="EG56" s="70"/>
      <c r="EI56" s="81"/>
      <c r="EJ56" s="30"/>
      <c r="EK56" s="30"/>
      <c r="EM56" s="30"/>
      <c r="EN56" s="30"/>
      <c r="EO56" s="30"/>
      <c r="EP56" s="30"/>
      <c r="EQ56" s="30"/>
      <c r="ER56" s="30"/>
      <c r="ES56" s="30"/>
      <c r="ET56" s="85"/>
      <c r="EU56" s="85"/>
      <c r="EV56" s="70"/>
    </row>
    <row r="57" spans="2:152">
      <c r="B57" s="11">
        <f t="shared" si="0"/>
        <v>0.17</v>
      </c>
      <c r="C57" s="28">
        <v>2.82</v>
      </c>
      <c r="D57" s="16"/>
      <c r="E57" s="8"/>
      <c r="F57" s="27">
        <f t="shared" si="1"/>
        <v>-1.8522532800912719</v>
      </c>
      <c r="G57" s="27">
        <f t="shared" si="2"/>
        <v>-1247.0889999999999</v>
      </c>
      <c r="H57" s="27">
        <f t="shared" si="3"/>
        <v>65.808153689756921</v>
      </c>
      <c r="I57" s="27">
        <f t="shared" si="4"/>
        <v>-18.950372105548222</v>
      </c>
      <c r="J57" s="27">
        <f t="shared" si="5"/>
        <v>-0.21256214380987026</v>
      </c>
      <c r="K57" s="27" t="e">
        <f t="shared" si="6"/>
        <v>#NUM!</v>
      </c>
      <c r="L57" s="27" t="e">
        <f t="shared" si="7"/>
        <v>#NUM!</v>
      </c>
      <c r="M57" s="17" t="e">
        <f t="shared" si="8"/>
        <v>#NUM!</v>
      </c>
      <c r="N57" s="17" t="e">
        <f t="shared" si="9"/>
        <v>#N/A</v>
      </c>
      <c r="O57" s="57" t="e">
        <f t="shared" si="10"/>
        <v>#N/A</v>
      </c>
      <c r="P57" s="17">
        <f t="shared" si="11"/>
        <v>0</v>
      </c>
      <c r="Q57" s="17">
        <f t="shared" si="12"/>
        <v>0</v>
      </c>
      <c r="S57" s="81"/>
      <c r="T57" s="30"/>
      <c r="U57" s="30"/>
      <c r="W57" s="30"/>
      <c r="X57" s="30"/>
      <c r="Y57" s="30"/>
      <c r="Z57" s="30"/>
      <c r="AA57" s="30"/>
      <c r="AB57" s="30"/>
      <c r="AC57" s="30"/>
      <c r="AD57" s="85"/>
      <c r="AE57" s="85"/>
      <c r="AF57" s="70"/>
      <c r="AH57" s="81"/>
      <c r="AI57" s="30"/>
      <c r="AJ57" s="30"/>
      <c r="AL57" s="30"/>
      <c r="AM57" s="30"/>
      <c r="AN57" s="30"/>
      <c r="AO57" s="30"/>
      <c r="AP57" s="30"/>
      <c r="AQ57" s="30"/>
      <c r="AR57" s="30"/>
      <c r="AS57" s="85"/>
      <c r="AT57" s="85"/>
      <c r="AU57" s="70"/>
      <c r="AW57" s="81"/>
      <c r="AX57" s="30"/>
      <c r="AY57" s="30"/>
      <c r="BA57" s="30"/>
      <c r="BB57" s="30"/>
      <c r="BC57" s="30"/>
      <c r="BD57" s="30"/>
      <c r="BE57" s="30"/>
      <c r="BF57" s="30"/>
      <c r="BG57" s="30"/>
      <c r="BH57" s="85"/>
      <c r="BI57" s="85"/>
      <c r="BJ57" s="70"/>
      <c r="BL57" s="81"/>
      <c r="BM57" s="30"/>
      <c r="BN57" s="30"/>
      <c r="BP57" s="30"/>
      <c r="BQ57" s="30"/>
      <c r="BR57" s="30"/>
      <c r="BS57" s="30"/>
      <c r="BT57" s="30"/>
      <c r="BU57" s="30"/>
      <c r="BV57" s="30"/>
      <c r="BW57" s="85"/>
      <c r="BX57" s="85"/>
      <c r="BY57" s="70"/>
      <c r="CA57" s="81"/>
      <c r="CB57" s="30"/>
      <c r="CC57" s="30"/>
      <c r="CE57" s="30"/>
      <c r="CF57" s="30"/>
      <c r="CG57" s="30"/>
      <c r="CH57" s="30"/>
      <c r="CI57" s="30"/>
      <c r="CJ57" s="30"/>
      <c r="CK57" s="30"/>
      <c r="CL57" s="85"/>
      <c r="CM57" s="85"/>
      <c r="CN57" s="70"/>
      <c r="CP57" s="81"/>
      <c r="CQ57" s="30"/>
      <c r="CR57" s="30"/>
      <c r="CT57" s="30"/>
      <c r="CU57" s="30"/>
      <c r="CV57" s="30"/>
      <c r="CW57" s="30"/>
      <c r="CX57" s="30"/>
      <c r="CY57" s="30"/>
      <c r="CZ57" s="30"/>
      <c r="DA57" s="85"/>
      <c r="DB57" s="85"/>
      <c r="DC57" s="70"/>
      <c r="DE57" s="81"/>
      <c r="DF57" s="30"/>
      <c r="DG57" s="30"/>
      <c r="DI57" s="30"/>
      <c r="DJ57" s="30"/>
      <c r="DK57" s="30"/>
      <c r="DL57" s="30"/>
      <c r="DM57" s="30"/>
      <c r="DN57" s="30"/>
      <c r="DO57" s="30"/>
      <c r="DP57" s="85"/>
      <c r="DQ57" s="85"/>
      <c r="DR57" s="70"/>
      <c r="DT57" s="81"/>
      <c r="DU57" s="30"/>
      <c r="DV57" s="30"/>
      <c r="DX57" s="30"/>
      <c r="DY57" s="30"/>
      <c r="DZ57" s="30"/>
      <c r="EA57" s="30"/>
      <c r="EB57" s="30"/>
      <c r="EC57" s="30"/>
      <c r="ED57" s="30"/>
      <c r="EE57" s="85"/>
      <c r="EF57" s="85"/>
      <c r="EG57" s="70"/>
      <c r="EI57" s="81"/>
      <c r="EJ57" s="30"/>
      <c r="EK57" s="30"/>
      <c r="EM57" s="30"/>
      <c r="EN57" s="30"/>
      <c r="EO57" s="30"/>
      <c r="EP57" s="30"/>
      <c r="EQ57" s="30"/>
      <c r="ER57" s="30"/>
      <c r="ES57" s="30"/>
      <c r="ET57" s="85"/>
      <c r="EU57" s="85"/>
      <c r="EV57" s="70"/>
    </row>
    <row r="58" spans="2:152">
      <c r="B58" s="11">
        <f t="shared" si="0"/>
        <v>0.17</v>
      </c>
      <c r="C58" s="28">
        <v>2.88</v>
      </c>
      <c r="D58" s="16"/>
      <c r="E58" s="8"/>
      <c r="F58" s="27">
        <f t="shared" si="1"/>
        <v>-1.9377203290246774</v>
      </c>
      <c r="G58" s="27">
        <f t="shared" si="2"/>
        <v>-1247.0889999999999</v>
      </c>
      <c r="H58" s="27">
        <f t="shared" si="3"/>
        <v>73.92719756488458</v>
      </c>
      <c r="I58" s="27">
        <f t="shared" si="4"/>
        <v>-16.869150205585058</v>
      </c>
      <c r="J58" s="27">
        <f t="shared" si="5"/>
        <v>-0.20510966497951308</v>
      </c>
      <c r="K58" s="27" t="e">
        <f t="shared" si="6"/>
        <v>#NUM!</v>
      </c>
      <c r="L58" s="27" t="e">
        <f t="shared" si="7"/>
        <v>#NUM!</v>
      </c>
      <c r="M58" s="17" t="e">
        <f t="shared" si="8"/>
        <v>#NUM!</v>
      </c>
      <c r="N58" s="17" t="e">
        <f t="shared" si="9"/>
        <v>#N/A</v>
      </c>
      <c r="O58" s="57" t="e">
        <f t="shared" si="10"/>
        <v>#N/A</v>
      </c>
      <c r="P58" s="17">
        <f t="shared" si="11"/>
        <v>0</v>
      </c>
      <c r="Q58" s="17">
        <f t="shared" si="12"/>
        <v>0</v>
      </c>
      <c r="S58" s="81"/>
      <c r="T58" s="30"/>
      <c r="U58" s="30"/>
      <c r="W58" s="30"/>
      <c r="X58" s="30"/>
      <c r="Y58" s="30"/>
      <c r="Z58" s="30"/>
      <c r="AA58" s="30"/>
      <c r="AB58" s="30"/>
      <c r="AC58" s="30"/>
      <c r="AD58" s="85"/>
      <c r="AE58" s="85"/>
      <c r="AF58" s="70"/>
      <c r="AH58" s="81"/>
      <c r="AI58" s="30"/>
      <c r="AJ58" s="30"/>
      <c r="AL58" s="30"/>
      <c r="AM58" s="30"/>
      <c r="AN58" s="30"/>
      <c r="AO58" s="30"/>
      <c r="AP58" s="30"/>
      <c r="AQ58" s="30"/>
      <c r="AR58" s="30"/>
      <c r="AS58" s="85"/>
      <c r="AT58" s="85"/>
      <c r="AU58" s="70"/>
      <c r="AW58" s="81"/>
      <c r="AX58" s="30"/>
      <c r="AY58" s="30"/>
      <c r="BA58" s="30"/>
      <c r="BB58" s="30"/>
      <c r="BC58" s="30"/>
      <c r="BD58" s="30"/>
      <c r="BE58" s="30"/>
      <c r="BF58" s="30"/>
      <c r="BG58" s="30"/>
      <c r="BH58" s="85"/>
      <c r="BI58" s="85"/>
      <c r="BJ58" s="70"/>
      <c r="BL58" s="81"/>
      <c r="BM58" s="30"/>
      <c r="BN58" s="30"/>
      <c r="BP58" s="30"/>
      <c r="BQ58" s="30"/>
      <c r="BR58" s="30"/>
      <c r="BS58" s="30"/>
      <c r="BT58" s="30"/>
      <c r="BU58" s="30"/>
      <c r="BV58" s="30"/>
      <c r="BW58" s="85"/>
      <c r="BX58" s="85"/>
      <c r="BY58" s="70"/>
      <c r="CA58" s="81"/>
      <c r="CB58" s="30"/>
      <c r="CC58" s="30"/>
      <c r="CE58" s="30"/>
      <c r="CF58" s="30"/>
      <c r="CG58" s="30"/>
      <c r="CH58" s="30"/>
      <c r="CI58" s="30"/>
      <c r="CJ58" s="30"/>
      <c r="CK58" s="30"/>
      <c r="CL58" s="85"/>
      <c r="CM58" s="85"/>
      <c r="CN58" s="70"/>
      <c r="CP58" s="81"/>
      <c r="CQ58" s="30"/>
      <c r="CR58" s="30"/>
      <c r="CT58" s="30"/>
      <c r="CU58" s="30"/>
      <c r="CV58" s="30"/>
      <c r="CW58" s="30"/>
      <c r="CX58" s="30"/>
      <c r="CY58" s="30"/>
      <c r="CZ58" s="30"/>
      <c r="DA58" s="85"/>
      <c r="DB58" s="85"/>
      <c r="DC58" s="70"/>
      <c r="DE58" s="81"/>
      <c r="DF58" s="30"/>
      <c r="DG58" s="30"/>
      <c r="DI58" s="30"/>
      <c r="DJ58" s="30"/>
      <c r="DK58" s="30"/>
      <c r="DL58" s="30"/>
      <c r="DM58" s="30"/>
      <c r="DN58" s="30"/>
      <c r="DO58" s="30"/>
      <c r="DP58" s="85"/>
      <c r="DQ58" s="85"/>
      <c r="DR58" s="70"/>
      <c r="DT58" s="81"/>
      <c r="DU58" s="30"/>
      <c r="DV58" s="30"/>
      <c r="DX58" s="30"/>
      <c r="DY58" s="30"/>
      <c r="DZ58" s="30"/>
      <c r="EA58" s="30"/>
      <c r="EB58" s="30"/>
      <c r="EC58" s="30"/>
      <c r="ED58" s="30"/>
      <c r="EE58" s="85"/>
      <c r="EF58" s="85"/>
      <c r="EG58" s="70"/>
      <c r="EI58" s="81"/>
      <c r="EJ58" s="30"/>
      <c r="EK58" s="30"/>
      <c r="EM58" s="30"/>
      <c r="EN58" s="30"/>
      <c r="EO58" s="30"/>
      <c r="EP58" s="30"/>
      <c r="EQ58" s="30"/>
      <c r="ER58" s="30"/>
      <c r="ES58" s="30"/>
      <c r="ET58" s="85"/>
      <c r="EU58" s="85"/>
      <c r="EV58" s="70"/>
    </row>
    <row r="59" spans="2:152">
      <c r="B59" s="11">
        <f t="shared" si="0"/>
        <v>0.17</v>
      </c>
      <c r="C59" s="28">
        <v>2.94</v>
      </c>
      <c r="D59" s="16"/>
      <c r="E59" s="8"/>
      <c r="F59" s="27">
        <f t="shared" si="1"/>
        <v>-2.0284675953967297</v>
      </c>
      <c r="G59" s="27">
        <f t="shared" si="2"/>
        <v>-1247.0889999999999</v>
      </c>
      <c r="H59" s="27">
        <f t="shared" si="3"/>
        <v>82.046241440012182</v>
      </c>
      <c r="I59" s="27">
        <f t="shared" si="4"/>
        <v>-15.199830950352609</v>
      </c>
      <c r="J59" s="27">
        <f t="shared" si="5"/>
        <v>-0.19774823332135583</v>
      </c>
      <c r="K59" s="27" t="e">
        <f t="shared" si="6"/>
        <v>#NUM!</v>
      </c>
      <c r="L59" s="27" t="e">
        <f t="shared" si="7"/>
        <v>#NUM!</v>
      </c>
      <c r="M59" s="17" t="e">
        <f t="shared" si="8"/>
        <v>#NUM!</v>
      </c>
      <c r="N59" s="17" t="e">
        <f t="shared" si="9"/>
        <v>#N/A</v>
      </c>
      <c r="O59" s="57" t="e">
        <f t="shared" si="10"/>
        <v>#N/A</v>
      </c>
      <c r="P59" s="17">
        <f t="shared" si="11"/>
        <v>0</v>
      </c>
      <c r="Q59" s="17">
        <f t="shared" si="12"/>
        <v>0</v>
      </c>
      <c r="S59" s="81"/>
      <c r="T59" s="30"/>
      <c r="U59" s="30"/>
      <c r="W59" s="30"/>
      <c r="X59" s="30"/>
      <c r="Y59" s="30"/>
      <c r="Z59" s="30"/>
      <c r="AA59" s="30"/>
      <c r="AB59" s="30"/>
      <c r="AC59" s="30"/>
      <c r="AD59" s="85"/>
      <c r="AE59" s="85"/>
      <c r="AF59" s="70"/>
      <c r="AH59" s="81"/>
      <c r="AI59" s="30"/>
      <c r="AJ59" s="30"/>
      <c r="AL59" s="30"/>
      <c r="AM59" s="30"/>
      <c r="AN59" s="30"/>
      <c r="AO59" s="30"/>
      <c r="AP59" s="30"/>
      <c r="AQ59" s="30"/>
      <c r="AR59" s="30"/>
      <c r="AS59" s="85"/>
      <c r="AT59" s="85"/>
      <c r="AU59" s="70"/>
      <c r="AW59" s="81"/>
      <c r="AX59" s="30"/>
      <c r="AY59" s="30"/>
      <c r="BA59" s="30"/>
      <c r="BB59" s="30"/>
      <c r="BC59" s="30"/>
      <c r="BD59" s="30"/>
      <c r="BE59" s="30"/>
      <c r="BF59" s="30"/>
      <c r="BG59" s="30"/>
      <c r="BH59" s="85"/>
      <c r="BI59" s="85"/>
      <c r="BJ59" s="70"/>
      <c r="BL59" s="81"/>
      <c r="BM59" s="30"/>
      <c r="BN59" s="30"/>
      <c r="BP59" s="30"/>
      <c r="BQ59" s="30"/>
      <c r="BR59" s="30"/>
      <c r="BS59" s="30"/>
      <c r="BT59" s="30"/>
      <c r="BU59" s="30"/>
      <c r="BV59" s="30"/>
      <c r="BW59" s="85"/>
      <c r="BX59" s="85"/>
      <c r="BY59" s="70"/>
      <c r="CA59" s="81"/>
      <c r="CB59" s="30"/>
      <c r="CC59" s="30"/>
      <c r="CE59" s="30"/>
      <c r="CF59" s="30"/>
      <c r="CG59" s="30"/>
      <c r="CH59" s="30"/>
      <c r="CI59" s="30"/>
      <c r="CJ59" s="30"/>
      <c r="CK59" s="30"/>
      <c r="CL59" s="85"/>
      <c r="CM59" s="85"/>
      <c r="CN59" s="70"/>
      <c r="CP59" s="81"/>
      <c r="CQ59" s="30"/>
      <c r="CR59" s="30"/>
      <c r="CT59" s="30"/>
      <c r="CU59" s="30"/>
      <c r="CV59" s="30"/>
      <c r="CW59" s="30"/>
      <c r="CX59" s="30"/>
      <c r="CY59" s="30"/>
      <c r="CZ59" s="30"/>
      <c r="DA59" s="85"/>
      <c r="DB59" s="85"/>
      <c r="DC59" s="70"/>
      <c r="DE59" s="81"/>
      <c r="DF59" s="30"/>
      <c r="DG59" s="30"/>
      <c r="DI59" s="30"/>
      <c r="DJ59" s="30"/>
      <c r="DK59" s="30"/>
      <c r="DL59" s="30"/>
      <c r="DM59" s="30"/>
      <c r="DN59" s="30"/>
      <c r="DO59" s="30"/>
      <c r="DP59" s="85"/>
      <c r="DQ59" s="85"/>
      <c r="DR59" s="70"/>
      <c r="DT59" s="81"/>
      <c r="DU59" s="30"/>
      <c r="DV59" s="30"/>
      <c r="DX59" s="30"/>
      <c r="DY59" s="30"/>
      <c r="DZ59" s="30"/>
      <c r="EA59" s="30"/>
      <c r="EB59" s="30"/>
      <c r="EC59" s="30"/>
      <c r="ED59" s="30"/>
      <c r="EE59" s="85"/>
      <c r="EF59" s="85"/>
      <c r="EG59" s="70"/>
      <c r="EI59" s="81"/>
      <c r="EJ59" s="30"/>
      <c r="EK59" s="30"/>
      <c r="EM59" s="30"/>
      <c r="EN59" s="30"/>
      <c r="EO59" s="30"/>
      <c r="EP59" s="30"/>
      <c r="EQ59" s="30"/>
      <c r="ER59" s="30"/>
      <c r="ES59" s="30"/>
      <c r="ET59" s="85"/>
      <c r="EU59" s="85"/>
      <c r="EV59" s="70"/>
    </row>
    <row r="60" spans="2:152">
      <c r="B60" s="11">
        <f t="shared" si="0"/>
        <v>0.17</v>
      </c>
      <c r="C60" s="28">
        <v>3</v>
      </c>
      <c r="D60" s="16"/>
      <c r="E60" s="8"/>
      <c r="F60" s="27">
        <f t="shared" si="1"/>
        <v>-2.1250000000000004</v>
      </c>
      <c r="G60" s="27">
        <f t="shared" si="2"/>
        <v>-1247.0889999999999</v>
      </c>
      <c r="H60" s="27">
        <f t="shared" si="3"/>
        <v>90.16528531513984</v>
      </c>
      <c r="I60" s="27">
        <f t="shared" si="4"/>
        <v>-13.831143500974411</v>
      </c>
      <c r="J60" s="27">
        <f t="shared" si="5"/>
        <v>-0.19047619047619044</v>
      </c>
      <c r="K60" s="27" t="e">
        <f t="shared" si="6"/>
        <v>#NUM!</v>
      </c>
      <c r="L60" s="27" t="e">
        <f t="shared" si="7"/>
        <v>#NUM!</v>
      </c>
      <c r="M60" s="17" t="e">
        <f t="shared" si="8"/>
        <v>#NUM!</v>
      </c>
      <c r="N60" s="17" t="e">
        <f t="shared" si="9"/>
        <v>#N/A</v>
      </c>
      <c r="O60" s="57" t="e">
        <f t="shared" si="10"/>
        <v>#N/A</v>
      </c>
      <c r="P60" s="17">
        <f t="shared" si="11"/>
        <v>0</v>
      </c>
      <c r="Q60" s="17">
        <f t="shared" si="12"/>
        <v>0</v>
      </c>
      <c r="S60" s="81"/>
      <c r="T60" s="30"/>
      <c r="U60" s="30"/>
      <c r="W60" s="30"/>
      <c r="X60" s="30"/>
      <c r="Y60" s="30"/>
      <c r="Z60" s="30"/>
      <c r="AA60" s="30"/>
      <c r="AB60" s="30"/>
      <c r="AC60" s="30"/>
      <c r="AD60" s="85"/>
      <c r="AE60" s="85"/>
      <c r="AF60" s="70"/>
      <c r="AH60" s="81"/>
      <c r="AI60" s="30"/>
      <c r="AJ60" s="30"/>
      <c r="AL60" s="30"/>
      <c r="AM60" s="30"/>
      <c r="AN60" s="30"/>
      <c r="AO60" s="30"/>
      <c r="AP60" s="30"/>
      <c r="AQ60" s="30"/>
      <c r="AR60" s="30"/>
      <c r="AS60" s="85"/>
      <c r="AT60" s="85"/>
      <c r="AU60" s="70"/>
      <c r="AW60" s="81"/>
      <c r="AX60" s="30"/>
      <c r="AY60" s="30"/>
      <c r="BA60" s="30"/>
      <c r="BB60" s="30"/>
      <c r="BC60" s="30"/>
      <c r="BD60" s="30"/>
      <c r="BE60" s="30"/>
      <c r="BF60" s="30"/>
      <c r="BG60" s="30"/>
      <c r="BH60" s="85"/>
      <c r="BI60" s="85"/>
      <c r="BJ60" s="70"/>
      <c r="BL60" s="81"/>
      <c r="BM60" s="30"/>
      <c r="BN60" s="30"/>
      <c r="BP60" s="30"/>
      <c r="BQ60" s="30"/>
      <c r="BR60" s="30"/>
      <c r="BS60" s="30"/>
      <c r="BT60" s="30"/>
      <c r="BU60" s="30"/>
      <c r="BV60" s="30"/>
      <c r="BW60" s="85"/>
      <c r="BX60" s="85"/>
      <c r="BY60" s="70"/>
      <c r="CA60" s="81"/>
      <c r="CB60" s="30"/>
      <c r="CC60" s="30"/>
      <c r="CE60" s="30"/>
      <c r="CF60" s="30"/>
      <c r="CG60" s="30"/>
      <c r="CH60" s="30"/>
      <c r="CI60" s="30"/>
      <c r="CJ60" s="30"/>
      <c r="CK60" s="30"/>
      <c r="CL60" s="85"/>
      <c r="CM60" s="85"/>
      <c r="CN60" s="70"/>
      <c r="CP60" s="81"/>
      <c r="CQ60" s="30"/>
      <c r="CR60" s="30"/>
      <c r="CT60" s="30"/>
      <c r="CU60" s="30"/>
      <c r="CV60" s="30"/>
      <c r="CW60" s="30"/>
      <c r="CX60" s="30"/>
      <c r="CY60" s="30"/>
      <c r="CZ60" s="30"/>
      <c r="DA60" s="85"/>
      <c r="DB60" s="85"/>
      <c r="DC60" s="70"/>
      <c r="DE60" s="81"/>
      <c r="DF60" s="30"/>
      <c r="DG60" s="30"/>
      <c r="DI60" s="30"/>
      <c r="DJ60" s="30"/>
      <c r="DK60" s="30"/>
      <c r="DL60" s="30"/>
      <c r="DM60" s="30"/>
      <c r="DN60" s="30"/>
      <c r="DO60" s="30"/>
      <c r="DP60" s="85"/>
      <c r="DQ60" s="85"/>
      <c r="DR60" s="70"/>
      <c r="DT60" s="81"/>
      <c r="DU60" s="30"/>
      <c r="DV60" s="30"/>
      <c r="DX60" s="30"/>
      <c r="DY60" s="30"/>
      <c r="DZ60" s="30"/>
      <c r="EA60" s="30"/>
      <c r="EB60" s="30"/>
      <c r="EC60" s="30"/>
      <c r="ED60" s="30"/>
      <c r="EE60" s="85"/>
      <c r="EF60" s="85"/>
      <c r="EG60" s="70"/>
      <c r="EI60" s="81"/>
      <c r="EJ60" s="30"/>
      <c r="EK60" s="30"/>
      <c r="EM60" s="30"/>
      <c r="EN60" s="30"/>
      <c r="EO60" s="30"/>
      <c r="EP60" s="30"/>
      <c r="EQ60" s="30"/>
      <c r="ER60" s="30"/>
      <c r="ES60" s="30"/>
      <c r="ET60" s="85"/>
      <c r="EU60" s="85"/>
      <c r="EV60" s="70"/>
    </row>
    <row r="61" spans="2:152">
      <c r="B61" s="11">
        <f t="shared" si="0"/>
        <v>0.17</v>
      </c>
      <c r="C61" s="28">
        <v>3.06</v>
      </c>
      <c r="D61" s="16"/>
      <c r="E61" s="8"/>
      <c r="F61" s="27">
        <f t="shared" si="1"/>
        <v>-2.2278889606197563</v>
      </c>
      <c r="G61" s="27">
        <f t="shared" si="2"/>
        <v>-1247.0889999999999</v>
      </c>
      <c r="H61" s="27">
        <f t="shared" si="3"/>
        <v>98.284329190267556</v>
      </c>
      <c r="I61" s="27">
        <f t="shared" si="4"/>
        <v>-12.688584337649331</v>
      </c>
      <c r="J61" s="27">
        <f t="shared" si="5"/>
        <v>-0.18329191811619919</v>
      </c>
      <c r="K61" s="27" t="e">
        <f t="shared" si="6"/>
        <v>#NUM!</v>
      </c>
      <c r="L61" s="27" t="e">
        <f t="shared" si="7"/>
        <v>#NUM!</v>
      </c>
      <c r="M61" s="17" t="e">
        <f t="shared" si="8"/>
        <v>#NUM!</v>
      </c>
      <c r="N61" s="17" t="e">
        <f t="shared" si="9"/>
        <v>#N/A</v>
      </c>
      <c r="O61" s="57" t="e">
        <f t="shared" si="10"/>
        <v>#N/A</v>
      </c>
      <c r="P61" s="17">
        <f t="shared" si="11"/>
        <v>0</v>
      </c>
      <c r="Q61" s="17">
        <f t="shared" si="12"/>
        <v>0</v>
      </c>
      <c r="S61" s="81"/>
      <c r="T61" s="30"/>
      <c r="U61" s="30"/>
      <c r="W61" s="30"/>
      <c r="X61" s="30"/>
      <c r="Y61" s="30"/>
      <c r="Z61" s="30"/>
      <c r="AA61" s="30"/>
      <c r="AB61" s="30"/>
      <c r="AC61" s="30"/>
      <c r="AD61" s="85"/>
      <c r="AE61" s="85"/>
      <c r="AF61" s="70"/>
      <c r="AH61" s="81"/>
      <c r="AI61" s="30"/>
      <c r="AJ61" s="30"/>
      <c r="AL61" s="30"/>
      <c r="AM61" s="30"/>
      <c r="AN61" s="30"/>
      <c r="AO61" s="30"/>
      <c r="AP61" s="30"/>
      <c r="AQ61" s="30"/>
      <c r="AR61" s="30"/>
      <c r="AS61" s="85"/>
      <c r="AT61" s="85"/>
      <c r="AU61" s="70"/>
      <c r="AW61" s="81"/>
      <c r="AX61" s="30"/>
      <c r="AY61" s="30"/>
      <c r="BA61" s="30"/>
      <c r="BB61" s="30"/>
      <c r="BC61" s="30"/>
      <c r="BD61" s="30"/>
      <c r="BE61" s="30"/>
      <c r="BF61" s="30"/>
      <c r="BG61" s="30"/>
      <c r="BH61" s="85"/>
      <c r="BI61" s="85"/>
      <c r="BJ61" s="70"/>
      <c r="BL61" s="81"/>
      <c r="BM61" s="30"/>
      <c r="BN61" s="30"/>
      <c r="BP61" s="30"/>
      <c r="BQ61" s="30"/>
      <c r="BR61" s="30"/>
      <c r="BS61" s="30"/>
      <c r="BT61" s="30"/>
      <c r="BU61" s="30"/>
      <c r="BV61" s="30"/>
      <c r="BW61" s="85"/>
      <c r="BX61" s="85"/>
      <c r="BY61" s="70"/>
      <c r="CA61" s="81"/>
      <c r="CB61" s="30"/>
      <c r="CC61" s="30"/>
      <c r="CE61" s="30"/>
      <c r="CF61" s="30"/>
      <c r="CG61" s="30"/>
      <c r="CH61" s="30"/>
      <c r="CI61" s="30"/>
      <c r="CJ61" s="30"/>
      <c r="CK61" s="30"/>
      <c r="CL61" s="85"/>
      <c r="CM61" s="85"/>
      <c r="CN61" s="70"/>
      <c r="CP61" s="81"/>
      <c r="CQ61" s="30"/>
      <c r="CR61" s="30"/>
      <c r="CT61" s="30"/>
      <c r="CU61" s="30"/>
      <c r="CV61" s="30"/>
      <c r="CW61" s="30"/>
      <c r="CX61" s="30"/>
      <c r="CY61" s="30"/>
      <c r="CZ61" s="30"/>
      <c r="DA61" s="85"/>
      <c r="DB61" s="85"/>
      <c r="DC61" s="70"/>
      <c r="DE61" s="81"/>
      <c r="DF61" s="30"/>
      <c r="DG61" s="30"/>
      <c r="DI61" s="30"/>
      <c r="DJ61" s="30"/>
      <c r="DK61" s="30"/>
      <c r="DL61" s="30"/>
      <c r="DM61" s="30"/>
      <c r="DN61" s="30"/>
      <c r="DO61" s="30"/>
      <c r="DP61" s="85"/>
      <c r="DQ61" s="85"/>
      <c r="DR61" s="70"/>
      <c r="DT61" s="81"/>
      <c r="DU61" s="30"/>
      <c r="DV61" s="30"/>
      <c r="DX61" s="30"/>
      <c r="DY61" s="30"/>
      <c r="DZ61" s="30"/>
      <c r="EA61" s="30"/>
      <c r="EB61" s="30"/>
      <c r="EC61" s="30"/>
      <c r="ED61" s="30"/>
      <c r="EE61" s="85"/>
      <c r="EF61" s="85"/>
      <c r="EG61" s="70"/>
      <c r="EI61" s="81"/>
      <c r="EJ61" s="30"/>
      <c r="EK61" s="30"/>
      <c r="EM61" s="30"/>
      <c r="EN61" s="30"/>
      <c r="EO61" s="30"/>
      <c r="EP61" s="30"/>
      <c r="EQ61" s="30"/>
      <c r="ER61" s="30"/>
      <c r="ES61" s="30"/>
      <c r="ET61" s="85"/>
      <c r="EU61" s="85"/>
      <c r="EV61" s="70"/>
    </row>
    <row r="62" spans="2:152">
      <c r="B62" s="11">
        <f t="shared" si="0"/>
        <v>0.17</v>
      </c>
      <c r="C62" s="28">
        <v>3.12</v>
      </c>
      <c r="D62" s="16"/>
      <c r="E62" s="8"/>
      <c r="F62" s="27">
        <f t="shared" si="1"/>
        <v>-2.3377837116154874</v>
      </c>
      <c r="G62" s="27">
        <f t="shared" si="2"/>
        <v>-1247.0889999999999</v>
      </c>
      <c r="H62" s="27">
        <f t="shared" si="3"/>
        <v>106.4033730653951</v>
      </c>
      <c r="I62" s="27">
        <f t="shared" si="4"/>
        <v>-11.7203897214193</v>
      </c>
      <c r="J62" s="27">
        <f t="shared" si="5"/>
        <v>-0.17619383674429542</v>
      </c>
      <c r="K62" s="27" t="e">
        <f t="shared" si="6"/>
        <v>#NUM!</v>
      </c>
      <c r="L62" s="27" t="e">
        <f t="shared" si="7"/>
        <v>#NUM!</v>
      </c>
      <c r="M62" s="17" t="e">
        <f t="shared" si="8"/>
        <v>#NUM!</v>
      </c>
      <c r="N62" s="17" t="e">
        <f t="shared" si="9"/>
        <v>#N/A</v>
      </c>
      <c r="O62" s="57" t="e">
        <f t="shared" si="10"/>
        <v>#N/A</v>
      </c>
      <c r="P62" s="17">
        <f t="shared" si="11"/>
        <v>0</v>
      </c>
      <c r="Q62" s="17">
        <f t="shared" si="12"/>
        <v>0</v>
      </c>
      <c r="S62" s="81"/>
      <c r="T62" s="30"/>
      <c r="U62" s="30"/>
      <c r="W62" s="30"/>
      <c r="X62" s="30"/>
      <c r="Y62" s="30"/>
      <c r="Z62" s="30"/>
      <c r="AA62" s="30"/>
      <c r="AB62" s="30"/>
      <c r="AC62" s="30"/>
      <c r="AD62" s="85"/>
      <c r="AE62" s="85"/>
      <c r="AF62" s="70"/>
      <c r="AH62" s="81"/>
      <c r="AI62" s="30"/>
      <c r="AJ62" s="30"/>
      <c r="AL62" s="30"/>
      <c r="AM62" s="30"/>
      <c r="AN62" s="30"/>
      <c r="AO62" s="30"/>
      <c r="AP62" s="30"/>
      <c r="AQ62" s="30"/>
      <c r="AR62" s="30"/>
      <c r="AS62" s="85"/>
      <c r="AT62" s="85"/>
      <c r="AU62" s="70"/>
      <c r="AW62" s="81"/>
      <c r="AX62" s="30"/>
      <c r="AY62" s="30"/>
      <c r="BA62" s="30"/>
      <c r="BB62" s="30"/>
      <c r="BC62" s="30"/>
      <c r="BD62" s="30"/>
      <c r="BE62" s="30"/>
      <c r="BF62" s="30"/>
      <c r="BG62" s="30"/>
      <c r="BH62" s="85"/>
      <c r="BI62" s="85"/>
      <c r="BJ62" s="70"/>
      <c r="BL62" s="81"/>
      <c r="BM62" s="30"/>
      <c r="BN62" s="30"/>
      <c r="BP62" s="30"/>
      <c r="BQ62" s="30"/>
      <c r="BR62" s="30"/>
      <c r="BS62" s="30"/>
      <c r="BT62" s="30"/>
      <c r="BU62" s="30"/>
      <c r="BV62" s="30"/>
      <c r="BW62" s="85"/>
      <c r="BX62" s="85"/>
      <c r="BY62" s="70"/>
      <c r="CA62" s="81"/>
      <c r="CB62" s="30"/>
      <c r="CC62" s="30"/>
      <c r="CE62" s="30"/>
      <c r="CF62" s="30"/>
      <c r="CG62" s="30"/>
      <c r="CH62" s="30"/>
      <c r="CI62" s="30"/>
      <c r="CJ62" s="30"/>
      <c r="CK62" s="30"/>
      <c r="CL62" s="85"/>
      <c r="CM62" s="85"/>
      <c r="CN62" s="70"/>
      <c r="CP62" s="81"/>
      <c r="CQ62" s="30"/>
      <c r="CR62" s="30"/>
      <c r="CT62" s="30"/>
      <c r="CU62" s="30"/>
      <c r="CV62" s="30"/>
      <c r="CW62" s="30"/>
      <c r="CX62" s="30"/>
      <c r="CY62" s="30"/>
      <c r="CZ62" s="30"/>
      <c r="DA62" s="85"/>
      <c r="DB62" s="85"/>
      <c r="DC62" s="70"/>
      <c r="DE62" s="81"/>
      <c r="DF62" s="30"/>
      <c r="DG62" s="30"/>
      <c r="DI62" s="30"/>
      <c r="DJ62" s="30"/>
      <c r="DK62" s="30"/>
      <c r="DL62" s="30"/>
      <c r="DM62" s="30"/>
      <c r="DN62" s="30"/>
      <c r="DO62" s="30"/>
      <c r="DP62" s="85"/>
      <c r="DQ62" s="85"/>
      <c r="DR62" s="70"/>
      <c r="DT62" s="81"/>
      <c r="DU62" s="30"/>
      <c r="DV62" s="30"/>
      <c r="DX62" s="30"/>
      <c r="DY62" s="30"/>
      <c r="DZ62" s="30"/>
      <c r="EA62" s="30"/>
      <c r="EB62" s="30"/>
      <c r="EC62" s="30"/>
      <c r="ED62" s="30"/>
      <c r="EE62" s="85"/>
      <c r="EF62" s="85"/>
      <c r="EG62" s="70"/>
      <c r="EI62" s="81"/>
      <c r="EJ62" s="30"/>
      <c r="EK62" s="30"/>
      <c r="EM62" s="30"/>
      <c r="EN62" s="30"/>
      <c r="EO62" s="30"/>
      <c r="EP62" s="30"/>
      <c r="EQ62" s="30"/>
      <c r="ER62" s="30"/>
      <c r="ES62" s="30"/>
      <c r="ET62" s="85"/>
      <c r="EU62" s="85"/>
      <c r="EV62" s="70"/>
    </row>
    <row r="63" spans="2:152">
      <c r="B63" s="11">
        <f t="shared" si="0"/>
        <v>0.17</v>
      </c>
      <c r="C63" s="28">
        <v>3.18</v>
      </c>
      <c r="D63" s="16"/>
      <c r="E63" s="8"/>
      <c r="F63" s="27">
        <f t="shared" si="1"/>
        <v>-2.455425017277125</v>
      </c>
      <c r="G63" s="27">
        <f t="shared" si="2"/>
        <v>-1247.0889999999997</v>
      </c>
      <c r="H63" s="27">
        <f t="shared" si="3"/>
        <v>114.52241694052293</v>
      </c>
      <c r="I63" s="27">
        <f t="shared" si="4"/>
        <v>-10.889475033064258</v>
      </c>
      <c r="J63" s="27">
        <f t="shared" si="5"/>
        <v>-0.16918040453641997</v>
      </c>
      <c r="K63" s="27" t="e">
        <f t="shared" si="6"/>
        <v>#NUM!</v>
      </c>
      <c r="L63" s="27" t="e">
        <f t="shared" si="7"/>
        <v>#NUM!</v>
      </c>
      <c r="M63" s="17" t="e">
        <f t="shared" si="8"/>
        <v>#NUM!</v>
      </c>
      <c r="N63" s="17" t="e">
        <f t="shared" si="9"/>
        <v>#N/A</v>
      </c>
      <c r="O63" s="57" t="e">
        <f t="shared" si="10"/>
        <v>#N/A</v>
      </c>
      <c r="P63" s="17">
        <f t="shared" si="11"/>
        <v>0</v>
      </c>
      <c r="Q63" s="17">
        <f t="shared" si="12"/>
        <v>0</v>
      </c>
      <c r="S63" s="81"/>
      <c r="T63" s="30"/>
      <c r="U63" s="30"/>
      <c r="W63" s="30"/>
      <c r="X63" s="30"/>
      <c r="Y63" s="30"/>
      <c r="Z63" s="30"/>
      <c r="AA63" s="30"/>
      <c r="AB63" s="30"/>
      <c r="AC63" s="30"/>
      <c r="AD63" s="85"/>
      <c r="AE63" s="85"/>
      <c r="AF63" s="70"/>
      <c r="AH63" s="81"/>
      <c r="AI63" s="30"/>
      <c r="AJ63" s="30"/>
      <c r="AL63" s="30"/>
      <c r="AM63" s="30"/>
      <c r="AN63" s="30"/>
      <c r="AO63" s="30"/>
      <c r="AP63" s="30"/>
      <c r="AQ63" s="30"/>
      <c r="AR63" s="30"/>
      <c r="AS63" s="85"/>
      <c r="AT63" s="85"/>
      <c r="AU63" s="70"/>
      <c r="AW63" s="81"/>
      <c r="AX63" s="30"/>
      <c r="AY63" s="30"/>
      <c r="BA63" s="30"/>
      <c r="BB63" s="30"/>
      <c r="BC63" s="30"/>
      <c r="BD63" s="30"/>
      <c r="BE63" s="30"/>
      <c r="BF63" s="30"/>
      <c r="BG63" s="30"/>
      <c r="BH63" s="85"/>
      <c r="BI63" s="85"/>
      <c r="BJ63" s="70"/>
      <c r="BL63" s="81"/>
      <c r="BM63" s="30"/>
      <c r="BN63" s="30"/>
      <c r="BP63" s="30"/>
      <c r="BQ63" s="30"/>
      <c r="BR63" s="30"/>
      <c r="BS63" s="30"/>
      <c r="BT63" s="30"/>
      <c r="BU63" s="30"/>
      <c r="BV63" s="30"/>
      <c r="BW63" s="85"/>
      <c r="BX63" s="85"/>
      <c r="BY63" s="70"/>
      <c r="CA63" s="81"/>
      <c r="CB63" s="30"/>
      <c r="CC63" s="30"/>
      <c r="CE63" s="30"/>
      <c r="CF63" s="30"/>
      <c r="CG63" s="30"/>
      <c r="CH63" s="30"/>
      <c r="CI63" s="30"/>
      <c r="CJ63" s="30"/>
      <c r="CK63" s="30"/>
      <c r="CL63" s="85"/>
      <c r="CM63" s="85"/>
      <c r="CN63" s="70"/>
      <c r="CP63" s="81"/>
      <c r="CQ63" s="30"/>
      <c r="CR63" s="30"/>
      <c r="CT63" s="30"/>
      <c r="CU63" s="30"/>
      <c r="CV63" s="30"/>
      <c r="CW63" s="30"/>
      <c r="CX63" s="30"/>
      <c r="CY63" s="30"/>
      <c r="CZ63" s="30"/>
      <c r="DA63" s="85"/>
      <c r="DB63" s="85"/>
      <c r="DC63" s="70"/>
      <c r="DE63" s="81"/>
      <c r="DF63" s="30"/>
      <c r="DG63" s="30"/>
      <c r="DI63" s="30"/>
      <c r="DJ63" s="30"/>
      <c r="DK63" s="30"/>
      <c r="DL63" s="30"/>
      <c r="DM63" s="30"/>
      <c r="DN63" s="30"/>
      <c r="DO63" s="30"/>
      <c r="DP63" s="85"/>
      <c r="DQ63" s="85"/>
      <c r="DR63" s="70"/>
      <c r="DT63" s="81"/>
      <c r="DU63" s="30"/>
      <c r="DV63" s="30"/>
      <c r="DX63" s="30"/>
      <c r="DY63" s="30"/>
      <c r="DZ63" s="30"/>
      <c r="EA63" s="30"/>
      <c r="EB63" s="30"/>
      <c r="EC63" s="30"/>
      <c r="ED63" s="30"/>
      <c r="EE63" s="85"/>
      <c r="EF63" s="85"/>
      <c r="EG63" s="70"/>
      <c r="EI63" s="81"/>
      <c r="EJ63" s="30"/>
      <c r="EK63" s="30"/>
      <c r="EM63" s="30"/>
      <c r="EN63" s="30"/>
      <c r="EO63" s="30"/>
      <c r="EP63" s="30"/>
      <c r="EQ63" s="30"/>
      <c r="ER63" s="30"/>
      <c r="ES63" s="30"/>
      <c r="ET63" s="85"/>
      <c r="EU63" s="85"/>
      <c r="EV63" s="70"/>
    </row>
    <row r="64" spans="2:152">
      <c r="B64" s="11">
        <f t="shared" si="0"/>
        <v>0.17</v>
      </c>
      <c r="C64" s="28">
        <v>3.24</v>
      </c>
      <c r="D64" s="16"/>
      <c r="E64" s="8"/>
      <c r="F64" s="27">
        <f t="shared" si="1"/>
        <v>-2.5816618911174798</v>
      </c>
      <c r="G64" s="27">
        <f t="shared" si="2"/>
        <v>-1247.0889999999999</v>
      </c>
      <c r="H64" s="27">
        <f t="shared" si="3"/>
        <v>122.64146081565048</v>
      </c>
      <c r="I64" s="27">
        <f t="shared" si="4"/>
        <v>-10.168575877244091</v>
      </c>
      <c r="J64" s="27">
        <f t="shared" si="5"/>
        <v>-0.16225011622501154</v>
      </c>
      <c r="K64" s="27" t="e">
        <f t="shared" si="6"/>
        <v>#NUM!</v>
      </c>
      <c r="L64" s="27" t="e">
        <f t="shared" si="7"/>
        <v>#NUM!</v>
      </c>
      <c r="M64" s="17" t="e">
        <f t="shared" si="8"/>
        <v>#NUM!</v>
      </c>
      <c r="N64" s="17" t="e">
        <f t="shared" si="9"/>
        <v>#N/A</v>
      </c>
      <c r="O64" s="57" t="e">
        <f t="shared" si="10"/>
        <v>#N/A</v>
      </c>
      <c r="P64" s="17">
        <f t="shared" si="11"/>
        <v>0</v>
      </c>
      <c r="Q64" s="17">
        <f t="shared" si="12"/>
        <v>0</v>
      </c>
      <c r="S64" s="81"/>
      <c r="T64" s="30"/>
      <c r="U64" s="30"/>
      <c r="W64" s="30"/>
      <c r="X64" s="30"/>
      <c r="Y64" s="30"/>
      <c r="Z64" s="30"/>
      <c r="AA64" s="30"/>
      <c r="AB64" s="30"/>
      <c r="AC64" s="30"/>
      <c r="AD64" s="85"/>
      <c r="AE64" s="85"/>
      <c r="AF64" s="70"/>
      <c r="AH64" s="81"/>
      <c r="AI64" s="30"/>
      <c r="AJ64" s="30"/>
      <c r="AL64" s="30"/>
      <c r="AM64" s="30"/>
      <c r="AN64" s="30"/>
      <c r="AO64" s="30"/>
      <c r="AP64" s="30"/>
      <c r="AQ64" s="30"/>
      <c r="AR64" s="30"/>
      <c r="AS64" s="85"/>
      <c r="AT64" s="85"/>
      <c r="AU64" s="70"/>
      <c r="AW64" s="81"/>
      <c r="AX64" s="30"/>
      <c r="AY64" s="30"/>
      <c r="BA64" s="30"/>
      <c r="BB64" s="30"/>
      <c r="BC64" s="30"/>
      <c r="BD64" s="30"/>
      <c r="BE64" s="30"/>
      <c r="BF64" s="30"/>
      <c r="BG64" s="30"/>
      <c r="BH64" s="85"/>
      <c r="BI64" s="85"/>
      <c r="BJ64" s="70"/>
      <c r="BL64" s="81"/>
      <c r="BM64" s="30"/>
      <c r="BN64" s="30"/>
      <c r="BP64" s="30"/>
      <c r="BQ64" s="30"/>
      <c r="BR64" s="30"/>
      <c r="BS64" s="30"/>
      <c r="BT64" s="30"/>
      <c r="BU64" s="30"/>
      <c r="BV64" s="30"/>
      <c r="BW64" s="85"/>
      <c r="BX64" s="85"/>
      <c r="BY64" s="70"/>
      <c r="CA64" s="81"/>
      <c r="CB64" s="30"/>
      <c r="CC64" s="30"/>
      <c r="CE64" s="30"/>
      <c r="CF64" s="30"/>
      <c r="CG64" s="30"/>
      <c r="CH64" s="30"/>
      <c r="CI64" s="30"/>
      <c r="CJ64" s="30"/>
      <c r="CK64" s="30"/>
      <c r="CL64" s="85"/>
      <c r="CM64" s="85"/>
      <c r="CN64" s="70"/>
      <c r="CP64" s="81"/>
      <c r="CQ64" s="30"/>
      <c r="CR64" s="30"/>
      <c r="CT64" s="30"/>
      <c r="CU64" s="30"/>
      <c r="CV64" s="30"/>
      <c r="CW64" s="30"/>
      <c r="CX64" s="30"/>
      <c r="CY64" s="30"/>
      <c r="CZ64" s="30"/>
      <c r="DA64" s="85"/>
      <c r="DB64" s="85"/>
      <c r="DC64" s="70"/>
      <c r="DE64" s="81"/>
      <c r="DF64" s="30"/>
      <c r="DG64" s="30"/>
      <c r="DI64" s="30"/>
      <c r="DJ64" s="30"/>
      <c r="DK64" s="30"/>
      <c r="DL64" s="30"/>
      <c r="DM64" s="30"/>
      <c r="DN64" s="30"/>
      <c r="DO64" s="30"/>
      <c r="DP64" s="85"/>
      <c r="DQ64" s="85"/>
      <c r="DR64" s="70"/>
      <c r="DT64" s="81"/>
      <c r="DU64" s="30"/>
      <c r="DV64" s="30"/>
      <c r="DX64" s="30"/>
      <c r="DY64" s="30"/>
      <c r="DZ64" s="30"/>
      <c r="EA64" s="30"/>
      <c r="EB64" s="30"/>
      <c r="EC64" s="30"/>
      <c r="ED64" s="30"/>
      <c r="EE64" s="85"/>
      <c r="EF64" s="85"/>
      <c r="EG64" s="70"/>
      <c r="EI64" s="81"/>
      <c r="EJ64" s="30"/>
      <c r="EK64" s="30"/>
      <c r="EM64" s="30"/>
      <c r="EN64" s="30"/>
      <c r="EO64" s="30"/>
      <c r="EP64" s="30"/>
      <c r="EQ64" s="30"/>
      <c r="ER64" s="30"/>
      <c r="ES64" s="30"/>
      <c r="ET64" s="85"/>
      <c r="EU64" s="85"/>
      <c r="EV64" s="70"/>
    </row>
    <row r="65" spans="2:152">
      <c r="B65" s="11">
        <f t="shared" si="0"/>
        <v>0.17</v>
      </c>
      <c r="C65" s="28">
        <v>3.3</v>
      </c>
      <c r="D65" s="16"/>
      <c r="E65" s="8"/>
      <c r="F65" s="27">
        <f t="shared" si="1"/>
        <v>-2.7174721189591078</v>
      </c>
      <c r="G65" s="27">
        <f t="shared" si="2"/>
        <v>-1247.0889999999997</v>
      </c>
      <c r="H65" s="27">
        <f t="shared" si="3"/>
        <v>130.76050469077813</v>
      </c>
      <c r="I65" s="27">
        <f t="shared" si="4"/>
        <v>-9.5371993473802377</v>
      </c>
      <c r="J65" s="27">
        <f t="shared" si="5"/>
        <v>-0.15540150202195266</v>
      </c>
      <c r="K65" s="27" t="e">
        <f t="shared" si="6"/>
        <v>#NUM!</v>
      </c>
      <c r="L65" s="27" t="e">
        <f t="shared" si="7"/>
        <v>#NUM!</v>
      </c>
      <c r="M65" s="17" t="e">
        <f t="shared" si="8"/>
        <v>#NUM!</v>
      </c>
      <c r="N65" s="17" t="e">
        <f t="shared" si="9"/>
        <v>#N/A</v>
      </c>
      <c r="O65" s="57" t="e">
        <f t="shared" si="10"/>
        <v>#N/A</v>
      </c>
      <c r="P65" s="17">
        <f t="shared" si="11"/>
        <v>0</v>
      </c>
      <c r="Q65" s="17">
        <f t="shared" si="12"/>
        <v>0</v>
      </c>
      <c r="S65" s="81"/>
      <c r="T65" s="30"/>
      <c r="U65" s="30"/>
      <c r="W65" s="30"/>
      <c r="X65" s="30"/>
      <c r="Y65" s="30"/>
      <c r="Z65" s="30"/>
      <c r="AA65" s="30"/>
      <c r="AB65" s="30"/>
      <c r="AC65" s="30"/>
      <c r="AD65" s="85"/>
      <c r="AE65" s="85"/>
      <c r="AF65" s="70"/>
      <c r="AH65" s="81"/>
      <c r="AI65" s="30"/>
      <c r="AJ65" s="30"/>
      <c r="AL65" s="30"/>
      <c r="AM65" s="30"/>
      <c r="AN65" s="30"/>
      <c r="AO65" s="30"/>
      <c r="AP65" s="30"/>
      <c r="AQ65" s="30"/>
      <c r="AR65" s="30"/>
      <c r="AS65" s="85"/>
      <c r="AT65" s="85"/>
      <c r="AU65" s="70"/>
      <c r="AW65" s="81"/>
      <c r="AX65" s="30"/>
      <c r="AY65" s="30"/>
      <c r="BA65" s="30"/>
      <c r="BB65" s="30"/>
      <c r="BC65" s="30"/>
      <c r="BD65" s="30"/>
      <c r="BE65" s="30"/>
      <c r="BF65" s="30"/>
      <c r="BG65" s="30"/>
      <c r="BH65" s="85"/>
      <c r="BI65" s="85"/>
      <c r="BJ65" s="70"/>
      <c r="BL65" s="81"/>
      <c r="BM65" s="30"/>
      <c r="BN65" s="30"/>
      <c r="BP65" s="30"/>
      <c r="BQ65" s="30"/>
      <c r="BR65" s="30"/>
      <c r="BS65" s="30"/>
      <c r="BT65" s="30"/>
      <c r="BU65" s="30"/>
      <c r="BV65" s="30"/>
      <c r="BW65" s="85"/>
      <c r="BX65" s="85"/>
      <c r="BY65" s="70"/>
      <c r="CA65" s="81"/>
      <c r="CB65" s="30"/>
      <c r="CC65" s="30"/>
      <c r="CE65" s="30"/>
      <c r="CF65" s="30"/>
      <c r="CG65" s="30"/>
      <c r="CH65" s="30"/>
      <c r="CI65" s="30"/>
      <c r="CJ65" s="30"/>
      <c r="CK65" s="30"/>
      <c r="CL65" s="85"/>
      <c r="CM65" s="85"/>
      <c r="CN65" s="70"/>
      <c r="CP65" s="81"/>
      <c r="CQ65" s="30"/>
      <c r="CR65" s="30"/>
      <c r="CT65" s="30"/>
      <c r="CU65" s="30"/>
      <c r="CV65" s="30"/>
      <c r="CW65" s="30"/>
      <c r="CX65" s="30"/>
      <c r="CY65" s="30"/>
      <c r="CZ65" s="30"/>
      <c r="DA65" s="85"/>
      <c r="DB65" s="85"/>
      <c r="DC65" s="70"/>
      <c r="DE65" s="81"/>
      <c r="DF65" s="30"/>
      <c r="DG65" s="30"/>
      <c r="DI65" s="30"/>
      <c r="DJ65" s="30"/>
      <c r="DK65" s="30"/>
      <c r="DL65" s="30"/>
      <c r="DM65" s="30"/>
      <c r="DN65" s="30"/>
      <c r="DO65" s="30"/>
      <c r="DP65" s="85"/>
      <c r="DQ65" s="85"/>
      <c r="DR65" s="70"/>
      <c r="DT65" s="81"/>
      <c r="DU65" s="30"/>
      <c r="DV65" s="30"/>
      <c r="DX65" s="30"/>
      <c r="DY65" s="30"/>
      <c r="DZ65" s="30"/>
      <c r="EA65" s="30"/>
      <c r="EB65" s="30"/>
      <c r="EC65" s="30"/>
      <c r="ED65" s="30"/>
      <c r="EE65" s="85"/>
      <c r="EF65" s="85"/>
      <c r="EG65" s="70"/>
      <c r="EI65" s="81"/>
      <c r="EJ65" s="30"/>
      <c r="EK65" s="30"/>
      <c r="EM65" s="30"/>
      <c r="EN65" s="30"/>
      <c r="EO65" s="30"/>
      <c r="EP65" s="30"/>
      <c r="EQ65" s="30"/>
      <c r="ER65" s="30"/>
      <c r="ES65" s="30"/>
      <c r="ET65" s="85"/>
      <c r="EU65" s="85"/>
      <c r="EV65" s="70"/>
    </row>
    <row r="66" spans="2:152">
      <c r="B66" s="11">
        <f t="shared" si="0"/>
        <v>0.17</v>
      </c>
      <c r="C66" s="28">
        <v>3.36</v>
      </c>
      <c r="D66" s="16"/>
      <c r="E66" s="8"/>
      <c r="F66" s="27">
        <f t="shared" si="1"/>
        <v>-2.8639876352395666</v>
      </c>
      <c r="G66" s="27">
        <f t="shared" si="2"/>
        <v>-1247.0889999999999</v>
      </c>
      <c r="H66" s="27">
        <f t="shared" si="3"/>
        <v>138.87954856590562</v>
      </c>
      <c r="I66" s="27">
        <f t="shared" si="4"/>
        <v>-8.97964468402769</v>
      </c>
      <c r="J66" s="27">
        <f t="shared" si="5"/>
        <v>-0.14863312657937056</v>
      </c>
      <c r="K66" s="27" t="e">
        <f t="shared" si="6"/>
        <v>#NUM!</v>
      </c>
      <c r="L66" s="27" t="e">
        <f t="shared" si="7"/>
        <v>#NUM!</v>
      </c>
      <c r="M66" s="17" t="e">
        <f t="shared" si="8"/>
        <v>#NUM!</v>
      </c>
      <c r="N66" s="17" t="e">
        <f t="shared" si="9"/>
        <v>#N/A</v>
      </c>
      <c r="O66" s="57" t="e">
        <f t="shared" si="10"/>
        <v>#N/A</v>
      </c>
      <c r="P66" s="17">
        <f t="shared" si="11"/>
        <v>0</v>
      </c>
      <c r="Q66" s="17">
        <f t="shared" si="12"/>
        <v>0</v>
      </c>
      <c r="S66" s="81"/>
      <c r="T66" s="30"/>
      <c r="U66" s="30"/>
      <c r="W66" s="30"/>
      <c r="X66" s="30"/>
      <c r="Y66" s="30"/>
      <c r="Z66" s="30"/>
      <c r="AA66" s="30"/>
      <c r="AB66" s="30"/>
      <c r="AC66" s="30"/>
      <c r="AD66" s="85"/>
      <c r="AE66" s="85"/>
      <c r="AF66" s="70"/>
      <c r="AH66" s="81"/>
      <c r="AI66" s="30"/>
      <c r="AJ66" s="30"/>
      <c r="AL66" s="30"/>
      <c r="AM66" s="30"/>
      <c r="AN66" s="30"/>
      <c r="AO66" s="30"/>
      <c r="AP66" s="30"/>
      <c r="AQ66" s="30"/>
      <c r="AR66" s="30"/>
      <c r="AS66" s="85"/>
      <c r="AT66" s="85"/>
      <c r="AU66" s="70"/>
      <c r="AW66" s="81"/>
      <c r="AX66" s="30"/>
      <c r="AY66" s="30"/>
      <c r="BA66" s="30"/>
      <c r="BB66" s="30"/>
      <c r="BC66" s="30"/>
      <c r="BD66" s="30"/>
      <c r="BE66" s="30"/>
      <c r="BF66" s="30"/>
      <c r="BG66" s="30"/>
      <c r="BH66" s="85"/>
      <c r="BI66" s="85"/>
      <c r="BJ66" s="70"/>
      <c r="BL66" s="81"/>
      <c r="BM66" s="30"/>
      <c r="BN66" s="30"/>
      <c r="BP66" s="30"/>
      <c r="BQ66" s="30"/>
      <c r="BR66" s="30"/>
      <c r="BS66" s="30"/>
      <c r="BT66" s="30"/>
      <c r="BU66" s="30"/>
      <c r="BV66" s="30"/>
      <c r="BW66" s="85"/>
      <c r="BX66" s="85"/>
      <c r="BY66" s="70"/>
      <c r="CA66" s="81"/>
      <c r="CB66" s="30"/>
      <c r="CC66" s="30"/>
      <c r="CE66" s="30"/>
      <c r="CF66" s="30"/>
      <c r="CG66" s="30"/>
      <c r="CH66" s="30"/>
      <c r="CI66" s="30"/>
      <c r="CJ66" s="30"/>
      <c r="CK66" s="30"/>
      <c r="CL66" s="85"/>
      <c r="CM66" s="85"/>
      <c r="CN66" s="70"/>
      <c r="CP66" s="81"/>
      <c r="CQ66" s="30"/>
      <c r="CR66" s="30"/>
      <c r="CT66" s="30"/>
      <c r="CU66" s="30"/>
      <c r="CV66" s="30"/>
      <c r="CW66" s="30"/>
      <c r="CX66" s="30"/>
      <c r="CY66" s="30"/>
      <c r="CZ66" s="30"/>
      <c r="DA66" s="85"/>
      <c r="DB66" s="85"/>
      <c r="DC66" s="70"/>
      <c r="DE66" s="81"/>
      <c r="DF66" s="30"/>
      <c r="DG66" s="30"/>
      <c r="DI66" s="30"/>
      <c r="DJ66" s="30"/>
      <c r="DK66" s="30"/>
      <c r="DL66" s="30"/>
      <c r="DM66" s="30"/>
      <c r="DN66" s="30"/>
      <c r="DO66" s="30"/>
      <c r="DP66" s="85"/>
      <c r="DQ66" s="85"/>
      <c r="DR66" s="70"/>
      <c r="DT66" s="81"/>
      <c r="DU66" s="30"/>
      <c r="DV66" s="30"/>
      <c r="DX66" s="30"/>
      <c r="DY66" s="30"/>
      <c r="DZ66" s="30"/>
      <c r="EA66" s="30"/>
      <c r="EB66" s="30"/>
      <c r="EC66" s="30"/>
      <c r="ED66" s="30"/>
      <c r="EE66" s="85"/>
      <c r="EF66" s="85"/>
      <c r="EG66" s="70"/>
      <c r="EI66" s="81"/>
      <c r="EJ66" s="30"/>
      <c r="EK66" s="30"/>
      <c r="EM66" s="30"/>
      <c r="EN66" s="30"/>
      <c r="EO66" s="30"/>
      <c r="EP66" s="30"/>
      <c r="EQ66" s="30"/>
      <c r="ER66" s="30"/>
      <c r="ES66" s="30"/>
      <c r="ET66" s="85"/>
      <c r="EU66" s="85"/>
      <c r="EV66" s="70"/>
    </row>
    <row r="67" spans="2:152">
      <c r="B67" s="11">
        <f t="shared" si="0"/>
        <v>0.17</v>
      </c>
      <c r="C67" s="28">
        <v>3.42</v>
      </c>
      <c r="D67" s="16"/>
      <c r="E67" s="8"/>
      <c r="F67" s="27">
        <f t="shared" si="1"/>
        <v>-3.0225261464199527</v>
      </c>
      <c r="G67" s="27">
        <f t="shared" si="2"/>
        <v>-1247.0890000000002</v>
      </c>
      <c r="H67" s="27">
        <f t="shared" si="3"/>
        <v>146.99859244103328</v>
      </c>
      <c r="I67" s="27">
        <f t="shared" si="4"/>
        <v>-8.4836798726508551</v>
      </c>
      <c r="J67" s="27">
        <f t="shared" si="5"/>
        <v>-0.14194358798675338</v>
      </c>
      <c r="K67" s="27" t="e">
        <f t="shared" si="6"/>
        <v>#NUM!</v>
      </c>
      <c r="L67" s="27" t="e">
        <f t="shared" si="7"/>
        <v>#NUM!</v>
      </c>
      <c r="M67" s="17" t="e">
        <f t="shared" si="8"/>
        <v>#NUM!</v>
      </c>
      <c r="N67" s="17" t="e">
        <f t="shared" si="9"/>
        <v>#N/A</v>
      </c>
      <c r="O67" s="57" t="e">
        <f t="shared" si="10"/>
        <v>#N/A</v>
      </c>
      <c r="P67" s="17">
        <f t="shared" si="11"/>
        <v>0</v>
      </c>
      <c r="Q67" s="17">
        <f t="shared" si="12"/>
        <v>0</v>
      </c>
      <c r="S67" s="81"/>
      <c r="T67" s="30"/>
      <c r="U67" s="30"/>
      <c r="W67" s="30"/>
      <c r="X67" s="30"/>
      <c r="Y67" s="30"/>
      <c r="Z67" s="30"/>
      <c r="AA67" s="30"/>
      <c r="AB67" s="30"/>
      <c r="AC67" s="30"/>
      <c r="AD67" s="85"/>
      <c r="AE67" s="85"/>
      <c r="AF67" s="70"/>
      <c r="AH67" s="81"/>
      <c r="AI67" s="30"/>
      <c r="AJ67" s="30"/>
      <c r="AL67" s="30"/>
      <c r="AM67" s="30"/>
      <c r="AN67" s="30"/>
      <c r="AO67" s="30"/>
      <c r="AP67" s="30"/>
      <c r="AQ67" s="30"/>
      <c r="AR67" s="30"/>
      <c r="AS67" s="85"/>
      <c r="AT67" s="85"/>
      <c r="AU67" s="70"/>
      <c r="AW67" s="81"/>
      <c r="AX67" s="30"/>
      <c r="AY67" s="30"/>
      <c r="BA67" s="30"/>
      <c r="BB67" s="30"/>
      <c r="BC67" s="30"/>
      <c r="BD67" s="30"/>
      <c r="BE67" s="30"/>
      <c r="BF67" s="30"/>
      <c r="BG67" s="30"/>
      <c r="BH67" s="85"/>
      <c r="BI67" s="85"/>
      <c r="BJ67" s="70"/>
      <c r="BL67" s="81"/>
      <c r="BM67" s="30"/>
      <c r="BN67" s="30"/>
      <c r="BP67" s="30"/>
      <c r="BQ67" s="30"/>
      <c r="BR67" s="30"/>
      <c r="BS67" s="30"/>
      <c r="BT67" s="30"/>
      <c r="BU67" s="30"/>
      <c r="BV67" s="30"/>
      <c r="BW67" s="85"/>
      <c r="BX67" s="85"/>
      <c r="BY67" s="70"/>
      <c r="CA67" s="81"/>
      <c r="CB67" s="30"/>
      <c r="CC67" s="30"/>
      <c r="CE67" s="30"/>
      <c r="CF67" s="30"/>
      <c r="CG67" s="30"/>
      <c r="CH67" s="30"/>
      <c r="CI67" s="30"/>
      <c r="CJ67" s="30"/>
      <c r="CK67" s="30"/>
      <c r="CL67" s="85"/>
      <c r="CM67" s="85"/>
      <c r="CN67" s="70"/>
      <c r="CP67" s="81"/>
      <c r="CQ67" s="30"/>
      <c r="CR67" s="30"/>
      <c r="CT67" s="30"/>
      <c r="CU67" s="30"/>
      <c r="CV67" s="30"/>
      <c r="CW67" s="30"/>
      <c r="CX67" s="30"/>
      <c r="CY67" s="30"/>
      <c r="CZ67" s="30"/>
      <c r="DA67" s="85"/>
      <c r="DB67" s="85"/>
      <c r="DC67" s="70"/>
      <c r="DE67" s="81"/>
      <c r="DF67" s="30"/>
      <c r="DG67" s="30"/>
      <c r="DI67" s="30"/>
      <c r="DJ67" s="30"/>
      <c r="DK67" s="30"/>
      <c r="DL67" s="30"/>
      <c r="DM67" s="30"/>
      <c r="DN67" s="30"/>
      <c r="DO67" s="30"/>
      <c r="DP67" s="85"/>
      <c r="DQ67" s="85"/>
      <c r="DR67" s="70"/>
      <c r="DT67" s="81"/>
      <c r="DU67" s="30"/>
      <c r="DV67" s="30"/>
      <c r="DX67" s="30"/>
      <c r="DY67" s="30"/>
      <c r="DZ67" s="30"/>
      <c r="EA67" s="30"/>
      <c r="EB67" s="30"/>
      <c r="EC67" s="30"/>
      <c r="ED67" s="30"/>
      <c r="EE67" s="85"/>
      <c r="EF67" s="85"/>
      <c r="EG67" s="70"/>
      <c r="EI67" s="81"/>
      <c r="EJ67" s="30"/>
      <c r="EK67" s="30"/>
      <c r="EM67" s="30"/>
      <c r="EN67" s="30"/>
      <c r="EO67" s="30"/>
      <c r="EP67" s="30"/>
      <c r="EQ67" s="30"/>
      <c r="ER67" s="30"/>
      <c r="ES67" s="30"/>
      <c r="ET67" s="85"/>
      <c r="EU67" s="85"/>
      <c r="EV67" s="70"/>
    </row>
    <row r="68" spans="2:152">
      <c r="B68" s="11">
        <f t="shared" si="0"/>
        <v>0.17</v>
      </c>
      <c r="C68" s="28">
        <v>3.48</v>
      </c>
      <c r="D68" s="16"/>
      <c r="E68" s="8"/>
      <c r="F68" s="27">
        <f t="shared" si="1"/>
        <v>-3.1946308724832244</v>
      </c>
      <c r="G68" s="27">
        <f t="shared" si="2"/>
        <v>-1247.0889999999999</v>
      </c>
      <c r="H68" s="27">
        <f t="shared" si="3"/>
        <v>155.117636316161</v>
      </c>
      <c r="I68" s="27">
        <f t="shared" si="4"/>
        <v>-8.0396338521957702</v>
      </c>
      <c r="J68" s="27">
        <f t="shared" si="5"/>
        <v>-0.13533151680290634</v>
      </c>
      <c r="K68" s="27" t="e">
        <f t="shared" si="6"/>
        <v>#NUM!</v>
      </c>
      <c r="L68" s="27" t="e">
        <f t="shared" si="7"/>
        <v>#NUM!</v>
      </c>
      <c r="M68" s="17" t="e">
        <f t="shared" si="8"/>
        <v>#NUM!</v>
      </c>
      <c r="N68" s="17" t="e">
        <f t="shared" si="9"/>
        <v>#N/A</v>
      </c>
      <c r="O68" s="57" t="e">
        <f t="shared" si="10"/>
        <v>#N/A</v>
      </c>
      <c r="P68" s="17">
        <f t="shared" si="11"/>
        <v>0</v>
      </c>
      <c r="Q68" s="17">
        <f t="shared" si="12"/>
        <v>0</v>
      </c>
      <c r="S68" s="81"/>
      <c r="T68" s="30"/>
      <c r="U68" s="30"/>
      <c r="W68" s="30"/>
      <c r="X68" s="30"/>
      <c r="Y68" s="30"/>
      <c r="Z68" s="30"/>
      <c r="AA68" s="30"/>
      <c r="AB68" s="30"/>
      <c r="AC68" s="30"/>
      <c r="AD68" s="85"/>
      <c r="AE68" s="85"/>
      <c r="AF68" s="70"/>
      <c r="AH68" s="81"/>
      <c r="AI68" s="30"/>
      <c r="AJ68" s="30"/>
      <c r="AL68" s="30"/>
      <c r="AM68" s="30"/>
      <c r="AN68" s="30"/>
      <c r="AO68" s="30"/>
      <c r="AP68" s="30"/>
      <c r="AQ68" s="30"/>
      <c r="AR68" s="30"/>
      <c r="AS68" s="85"/>
      <c r="AT68" s="85"/>
      <c r="AU68" s="70"/>
      <c r="AW68" s="81"/>
      <c r="AX68" s="30"/>
      <c r="AY68" s="30"/>
      <c r="BA68" s="30"/>
      <c r="BB68" s="30"/>
      <c r="BC68" s="30"/>
      <c r="BD68" s="30"/>
      <c r="BE68" s="30"/>
      <c r="BF68" s="30"/>
      <c r="BG68" s="30"/>
      <c r="BH68" s="85"/>
      <c r="BI68" s="85"/>
      <c r="BJ68" s="70"/>
      <c r="BL68" s="81"/>
      <c r="BM68" s="30"/>
      <c r="BN68" s="30"/>
      <c r="BP68" s="30"/>
      <c r="BQ68" s="30"/>
      <c r="BR68" s="30"/>
      <c r="BS68" s="30"/>
      <c r="BT68" s="30"/>
      <c r="BU68" s="30"/>
      <c r="BV68" s="30"/>
      <c r="BW68" s="85"/>
      <c r="BX68" s="85"/>
      <c r="BY68" s="70"/>
      <c r="CA68" s="81"/>
      <c r="CB68" s="30"/>
      <c r="CC68" s="30"/>
      <c r="CE68" s="30"/>
      <c r="CF68" s="30"/>
      <c r="CG68" s="30"/>
      <c r="CH68" s="30"/>
      <c r="CI68" s="30"/>
      <c r="CJ68" s="30"/>
      <c r="CK68" s="30"/>
      <c r="CL68" s="85"/>
      <c r="CM68" s="85"/>
      <c r="CN68" s="70"/>
      <c r="CP68" s="81"/>
      <c r="CQ68" s="30"/>
      <c r="CR68" s="30"/>
      <c r="CT68" s="30"/>
      <c r="CU68" s="30"/>
      <c r="CV68" s="30"/>
      <c r="CW68" s="30"/>
      <c r="CX68" s="30"/>
      <c r="CY68" s="30"/>
      <c r="CZ68" s="30"/>
      <c r="DA68" s="85"/>
      <c r="DB68" s="85"/>
      <c r="DC68" s="70"/>
      <c r="DE68" s="81"/>
      <c r="DF68" s="30"/>
      <c r="DG68" s="30"/>
      <c r="DI68" s="30"/>
      <c r="DJ68" s="30"/>
      <c r="DK68" s="30"/>
      <c r="DL68" s="30"/>
      <c r="DM68" s="30"/>
      <c r="DN68" s="30"/>
      <c r="DO68" s="30"/>
      <c r="DP68" s="85"/>
      <c r="DQ68" s="85"/>
      <c r="DR68" s="70"/>
      <c r="DT68" s="81"/>
      <c r="DU68" s="30"/>
      <c r="DV68" s="30"/>
      <c r="DX68" s="30"/>
      <c r="DY68" s="30"/>
      <c r="DZ68" s="30"/>
      <c r="EA68" s="30"/>
      <c r="EB68" s="30"/>
      <c r="EC68" s="30"/>
      <c r="ED68" s="30"/>
      <c r="EE68" s="85"/>
      <c r="EF68" s="85"/>
      <c r="EG68" s="70"/>
      <c r="EI68" s="81"/>
      <c r="EJ68" s="30"/>
      <c r="EK68" s="30"/>
      <c r="EM68" s="30"/>
      <c r="EN68" s="30"/>
      <c r="EO68" s="30"/>
      <c r="EP68" s="30"/>
      <c r="EQ68" s="30"/>
      <c r="ER68" s="30"/>
      <c r="ES68" s="30"/>
      <c r="ET68" s="85"/>
      <c r="EU68" s="85"/>
      <c r="EV68" s="70"/>
    </row>
    <row r="69" spans="2:152">
      <c r="B69" s="11">
        <f t="shared" si="0"/>
        <v>0.17</v>
      </c>
      <c r="C69" s="28">
        <v>3.54</v>
      </c>
      <c r="D69" s="16"/>
      <c r="E69" s="8"/>
      <c r="F69" s="27">
        <f t="shared" si="1"/>
        <v>-3.3821209465381252</v>
      </c>
      <c r="G69" s="27">
        <f t="shared" si="2"/>
        <v>-1247.0889999999997</v>
      </c>
      <c r="H69" s="27">
        <f t="shared" si="3"/>
        <v>163.23668019128866</v>
      </c>
      <c r="I69" s="27">
        <f t="shared" si="4"/>
        <v>-7.6397596333042328</v>
      </c>
      <c r="J69" s="27">
        <f t="shared" si="5"/>
        <v>-0.12879557512134551</v>
      </c>
      <c r="K69" s="27" t="e">
        <f t="shared" si="6"/>
        <v>#NUM!</v>
      </c>
      <c r="L69" s="27" t="e">
        <f t="shared" si="7"/>
        <v>#NUM!</v>
      </c>
      <c r="M69" s="17" t="e">
        <f t="shared" si="8"/>
        <v>#NUM!</v>
      </c>
      <c r="N69" s="17" t="e">
        <f t="shared" si="9"/>
        <v>#N/A</v>
      </c>
      <c r="O69" s="57" t="e">
        <f t="shared" si="10"/>
        <v>#N/A</v>
      </c>
      <c r="P69" s="17">
        <f t="shared" si="11"/>
        <v>0</v>
      </c>
      <c r="Q69" s="17">
        <f t="shared" si="12"/>
        <v>0</v>
      </c>
      <c r="S69" s="81"/>
      <c r="T69" s="30"/>
      <c r="U69" s="30"/>
      <c r="W69" s="30"/>
      <c r="X69" s="30"/>
      <c r="Y69" s="30"/>
      <c r="Z69" s="30"/>
      <c r="AA69" s="30"/>
      <c r="AB69" s="30"/>
      <c r="AC69" s="30"/>
      <c r="AD69" s="85"/>
      <c r="AE69" s="85"/>
      <c r="AF69" s="70"/>
      <c r="AH69" s="81"/>
      <c r="AI69" s="30"/>
      <c r="AJ69" s="30"/>
      <c r="AL69" s="30"/>
      <c r="AM69" s="30"/>
      <c r="AN69" s="30"/>
      <c r="AO69" s="30"/>
      <c r="AP69" s="30"/>
      <c r="AQ69" s="30"/>
      <c r="AR69" s="30"/>
      <c r="AS69" s="85"/>
      <c r="AT69" s="85"/>
      <c r="AU69" s="70"/>
      <c r="AW69" s="81"/>
      <c r="AX69" s="30"/>
      <c r="AY69" s="30"/>
      <c r="BA69" s="30"/>
      <c r="BB69" s="30"/>
      <c r="BC69" s="30"/>
      <c r="BD69" s="30"/>
      <c r="BE69" s="30"/>
      <c r="BF69" s="30"/>
      <c r="BG69" s="30"/>
      <c r="BH69" s="85"/>
      <c r="BI69" s="85"/>
      <c r="BJ69" s="70"/>
      <c r="BL69" s="81"/>
      <c r="BM69" s="30"/>
      <c r="BN69" s="30"/>
      <c r="BP69" s="30"/>
      <c r="BQ69" s="30"/>
      <c r="BR69" s="30"/>
      <c r="BS69" s="30"/>
      <c r="BT69" s="30"/>
      <c r="BU69" s="30"/>
      <c r="BV69" s="30"/>
      <c r="BW69" s="85"/>
      <c r="BX69" s="85"/>
      <c r="BY69" s="70"/>
      <c r="CA69" s="81"/>
      <c r="CB69" s="30"/>
      <c r="CC69" s="30"/>
      <c r="CE69" s="30"/>
      <c r="CF69" s="30"/>
      <c r="CG69" s="30"/>
      <c r="CH69" s="30"/>
      <c r="CI69" s="30"/>
      <c r="CJ69" s="30"/>
      <c r="CK69" s="30"/>
      <c r="CL69" s="85"/>
      <c r="CM69" s="85"/>
      <c r="CN69" s="70"/>
      <c r="CP69" s="81"/>
      <c r="CQ69" s="30"/>
      <c r="CR69" s="30"/>
      <c r="CT69" s="30"/>
      <c r="CU69" s="30"/>
      <c r="CV69" s="30"/>
      <c r="CW69" s="30"/>
      <c r="CX69" s="30"/>
      <c r="CY69" s="30"/>
      <c r="CZ69" s="30"/>
      <c r="DA69" s="85"/>
      <c r="DB69" s="85"/>
      <c r="DC69" s="70"/>
      <c r="DE69" s="81"/>
      <c r="DF69" s="30"/>
      <c r="DG69" s="30"/>
      <c r="DI69" s="30"/>
      <c r="DJ69" s="30"/>
      <c r="DK69" s="30"/>
      <c r="DL69" s="30"/>
      <c r="DM69" s="30"/>
      <c r="DN69" s="30"/>
      <c r="DO69" s="30"/>
      <c r="DP69" s="85"/>
      <c r="DQ69" s="85"/>
      <c r="DR69" s="70"/>
      <c r="DT69" s="81"/>
      <c r="DU69" s="30"/>
      <c r="DV69" s="30"/>
      <c r="DX69" s="30"/>
      <c r="DY69" s="30"/>
      <c r="DZ69" s="30"/>
      <c r="EA69" s="30"/>
      <c r="EB69" s="30"/>
      <c r="EC69" s="30"/>
      <c r="ED69" s="30"/>
      <c r="EE69" s="85"/>
      <c r="EF69" s="85"/>
      <c r="EG69" s="70"/>
      <c r="EI69" s="81"/>
      <c r="EJ69" s="30"/>
      <c r="EK69" s="30"/>
      <c r="EM69" s="30"/>
      <c r="EN69" s="30"/>
      <c r="EO69" s="30"/>
      <c r="EP69" s="30"/>
      <c r="EQ69" s="30"/>
      <c r="ER69" s="30"/>
      <c r="ES69" s="30"/>
      <c r="ET69" s="85"/>
      <c r="EU69" s="85"/>
      <c r="EV69" s="70"/>
    </row>
    <row r="70" spans="2:152">
      <c r="B70" s="11">
        <f t="shared" si="0"/>
        <v>0.17</v>
      </c>
      <c r="C70" s="28">
        <v>3.6</v>
      </c>
      <c r="D70" s="16"/>
      <c r="E70" s="8"/>
      <c r="F70" s="27">
        <f t="shared" si="1"/>
        <v>-3.5871559633027528</v>
      </c>
      <c r="G70" s="27">
        <f t="shared" si="2"/>
        <v>-1247.0889999999999</v>
      </c>
      <c r="H70" s="27">
        <f t="shared" si="3"/>
        <v>171.3557240664162</v>
      </c>
      <c r="I70" s="27">
        <f t="shared" si="4"/>
        <v>-7.2777784739577038</v>
      </c>
      <c r="J70" s="27">
        <f t="shared" si="5"/>
        <v>-0.12233445566778899</v>
      </c>
      <c r="K70" s="27" t="e">
        <f t="shared" si="6"/>
        <v>#NUM!</v>
      </c>
      <c r="L70" s="27" t="e">
        <f t="shared" si="7"/>
        <v>#NUM!</v>
      </c>
      <c r="M70" s="17" t="e">
        <f t="shared" si="8"/>
        <v>#NUM!</v>
      </c>
      <c r="N70" s="17" t="e">
        <f t="shared" si="9"/>
        <v>#N/A</v>
      </c>
      <c r="O70" s="57" t="e">
        <f t="shared" si="10"/>
        <v>#N/A</v>
      </c>
      <c r="P70" s="17">
        <f t="shared" si="11"/>
        <v>0</v>
      </c>
      <c r="Q70" s="17">
        <f t="shared" si="12"/>
        <v>0</v>
      </c>
      <c r="S70" s="81"/>
      <c r="T70" s="30"/>
      <c r="U70" s="30"/>
      <c r="W70" s="30"/>
      <c r="X70" s="30"/>
      <c r="Y70" s="30"/>
      <c r="Z70" s="30"/>
      <c r="AA70" s="30"/>
      <c r="AB70" s="30"/>
      <c r="AC70" s="30"/>
      <c r="AD70" s="85"/>
      <c r="AE70" s="85"/>
      <c r="AF70" s="70"/>
      <c r="AH70" s="81"/>
      <c r="AI70" s="30"/>
      <c r="AJ70" s="30"/>
      <c r="AL70" s="30"/>
      <c r="AM70" s="30"/>
      <c r="AN70" s="30"/>
      <c r="AO70" s="30"/>
      <c r="AP70" s="30"/>
      <c r="AQ70" s="30"/>
      <c r="AR70" s="30"/>
      <c r="AS70" s="85"/>
      <c r="AT70" s="85"/>
      <c r="AU70" s="70"/>
      <c r="AW70" s="81"/>
      <c r="AX70" s="30"/>
      <c r="AY70" s="30"/>
      <c r="BA70" s="30"/>
      <c r="BB70" s="30"/>
      <c r="BC70" s="30"/>
      <c r="BD70" s="30"/>
      <c r="BE70" s="30"/>
      <c r="BF70" s="30"/>
      <c r="BG70" s="30"/>
      <c r="BH70" s="85"/>
      <c r="BI70" s="85"/>
      <c r="BJ70" s="70"/>
      <c r="BL70" s="81"/>
      <c r="BM70" s="30"/>
      <c r="BN70" s="30"/>
      <c r="BP70" s="30"/>
      <c r="BQ70" s="30"/>
      <c r="BR70" s="30"/>
      <c r="BS70" s="30"/>
      <c r="BT70" s="30"/>
      <c r="BU70" s="30"/>
      <c r="BV70" s="30"/>
      <c r="BW70" s="85"/>
      <c r="BX70" s="85"/>
      <c r="BY70" s="70"/>
      <c r="CA70" s="81"/>
      <c r="CB70" s="30"/>
      <c r="CC70" s="30"/>
      <c r="CE70" s="30"/>
      <c r="CF70" s="30"/>
      <c r="CG70" s="30"/>
      <c r="CH70" s="30"/>
      <c r="CI70" s="30"/>
      <c r="CJ70" s="30"/>
      <c r="CK70" s="30"/>
      <c r="CL70" s="85"/>
      <c r="CM70" s="85"/>
      <c r="CN70" s="70"/>
      <c r="CP70" s="81"/>
      <c r="CQ70" s="30"/>
      <c r="CR70" s="30"/>
      <c r="CT70" s="30"/>
      <c r="CU70" s="30"/>
      <c r="CV70" s="30"/>
      <c r="CW70" s="30"/>
      <c r="CX70" s="30"/>
      <c r="CY70" s="30"/>
      <c r="CZ70" s="30"/>
      <c r="DA70" s="85"/>
      <c r="DB70" s="85"/>
      <c r="DC70" s="70"/>
      <c r="DE70" s="81"/>
      <c r="DF70" s="30"/>
      <c r="DG70" s="30"/>
      <c r="DI70" s="30"/>
      <c r="DJ70" s="30"/>
      <c r="DK70" s="30"/>
      <c r="DL70" s="30"/>
      <c r="DM70" s="30"/>
      <c r="DN70" s="30"/>
      <c r="DO70" s="30"/>
      <c r="DP70" s="85"/>
      <c r="DQ70" s="85"/>
      <c r="DR70" s="70"/>
      <c r="DT70" s="81"/>
      <c r="DU70" s="30"/>
      <c r="DV70" s="30"/>
      <c r="DX70" s="30"/>
      <c r="DY70" s="30"/>
      <c r="DZ70" s="30"/>
      <c r="EA70" s="30"/>
      <c r="EB70" s="30"/>
      <c r="EC70" s="30"/>
      <c r="ED70" s="30"/>
      <c r="EE70" s="85"/>
      <c r="EF70" s="85"/>
      <c r="EG70" s="70"/>
      <c r="EI70" s="81"/>
      <c r="EJ70" s="30"/>
      <c r="EK70" s="30"/>
      <c r="EM70" s="30"/>
      <c r="EN70" s="30"/>
      <c r="EO70" s="30"/>
      <c r="EP70" s="30"/>
      <c r="EQ70" s="30"/>
      <c r="ER70" s="30"/>
      <c r="ES70" s="30"/>
      <c r="ET70" s="85"/>
      <c r="EU70" s="85"/>
      <c r="EV70" s="70"/>
    </row>
    <row r="71" spans="2:152">
      <c r="B71" s="11">
        <f t="shared" si="0"/>
        <v>0.17</v>
      </c>
      <c r="C71" s="28">
        <v>3.66</v>
      </c>
      <c r="D71" s="16"/>
      <c r="E71" s="8"/>
      <c r="F71" s="27">
        <f t="shared" si="1"/>
        <v>-3.8123195380173271</v>
      </c>
      <c r="G71" s="27">
        <f t="shared" si="2"/>
        <v>-1247.0889999999999</v>
      </c>
      <c r="H71" s="27">
        <f t="shared" si="3"/>
        <v>179.47476794154392</v>
      </c>
      <c r="I71" s="27">
        <f t="shared" si="4"/>
        <v>-6.9485477780708695</v>
      </c>
      <c r="J71" s="27">
        <f t="shared" si="5"/>
        <v>-0.11594688092846772</v>
      </c>
      <c r="K71" s="27" t="e">
        <f t="shared" si="6"/>
        <v>#NUM!</v>
      </c>
      <c r="L71" s="27" t="e">
        <f t="shared" si="7"/>
        <v>#NUM!</v>
      </c>
      <c r="M71" s="17" t="e">
        <f t="shared" si="8"/>
        <v>#NUM!</v>
      </c>
      <c r="N71" s="17" t="e">
        <f t="shared" si="9"/>
        <v>#N/A</v>
      </c>
      <c r="O71" s="57" t="e">
        <f t="shared" si="10"/>
        <v>#N/A</v>
      </c>
      <c r="P71" s="17">
        <f t="shared" si="11"/>
        <v>0</v>
      </c>
      <c r="Q71" s="17">
        <f t="shared" si="12"/>
        <v>0</v>
      </c>
      <c r="S71" s="81"/>
      <c r="T71" s="30"/>
      <c r="U71" s="30"/>
      <c r="W71" s="30"/>
      <c r="X71" s="30"/>
      <c r="Y71" s="30"/>
      <c r="Z71" s="30"/>
      <c r="AA71" s="30"/>
      <c r="AB71" s="30"/>
      <c r="AC71" s="30"/>
      <c r="AD71" s="85"/>
      <c r="AE71" s="85"/>
      <c r="AF71" s="70"/>
      <c r="AH71" s="81"/>
      <c r="AI71" s="30"/>
      <c r="AJ71" s="30"/>
      <c r="AL71" s="30"/>
      <c r="AM71" s="30"/>
      <c r="AN71" s="30"/>
      <c r="AO71" s="30"/>
      <c r="AP71" s="30"/>
      <c r="AQ71" s="30"/>
      <c r="AR71" s="30"/>
      <c r="AS71" s="85"/>
      <c r="AT71" s="85"/>
      <c r="AU71" s="70"/>
      <c r="AW71" s="81"/>
      <c r="AX71" s="30"/>
      <c r="AY71" s="30"/>
      <c r="BA71" s="30"/>
      <c r="BB71" s="30"/>
      <c r="BC71" s="30"/>
      <c r="BD71" s="30"/>
      <c r="BE71" s="30"/>
      <c r="BF71" s="30"/>
      <c r="BG71" s="30"/>
      <c r="BH71" s="85"/>
      <c r="BI71" s="85"/>
      <c r="BJ71" s="70"/>
      <c r="BL71" s="81"/>
      <c r="BM71" s="30"/>
      <c r="BN71" s="30"/>
      <c r="BP71" s="30"/>
      <c r="BQ71" s="30"/>
      <c r="BR71" s="30"/>
      <c r="BS71" s="30"/>
      <c r="BT71" s="30"/>
      <c r="BU71" s="30"/>
      <c r="BV71" s="30"/>
      <c r="BW71" s="85"/>
      <c r="BX71" s="85"/>
      <c r="BY71" s="70"/>
      <c r="CA71" s="81"/>
      <c r="CB71" s="30"/>
      <c r="CC71" s="30"/>
      <c r="CE71" s="30"/>
      <c r="CF71" s="30"/>
      <c r="CG71" s="30"/>
      <c r="CH71" s="30"/>
      <c r="CI71" s="30"/>
      <c r="CJ71" s="30"/>
      <c r="CK71" s="30"/>
      <c r="CL71" s="85"/>
      <c r="CM71" s="85"/>
      <c r="CN71" s="70"/>
      <c r="CP71" s="81"/>
      <c r="CQ71" s="30"/>
      <c r="CR71" s="30"/>
      <c r="CT71" s="30"/>
      <c r="CU71" s="30"/>
      <c r="CV71" s="30"/>
      <c r="CW71" s="30"/>
      <c r="CX71" s="30"/>
      <c r="CY71" s="30"/>
      <c r="CZ71" s="30"/>
      <c r="DA71" s="85"/>
      <c r="DB71" s="85"/>
      <c r="DC71" s="70"/>
      <c r="DE71" s="81"/>
      <c r="DF71" s="30"/>
      <c r="DG71" s="30"/>
      <c r="DI71" s="30"/>
      <c r="DJ71" s="30"/>
      <c r="DK71" s="30"/>
      <c r="DL71" s="30"/>
      <c r="DM71" s="30"/>
      <c r="DN71" s="30"/>
      <c r="DO71" s="30"/>
      <c r="DP71" s="85"/>
      <c r="DQ71" s="85"/>
      <c r="DR71" s="70"/>
      <c r="DT71" s="81"/>
      <c r="DU71" s="30"/>
      <c r="DV71" s="30"/>
      <c r="DX71" s="30"/>
      <c r="DY71" s="30"/>
      <c r="DZ71" s="30"/>
      <c r="EA71" s="30"/>
      <c r="EB71" s="30"/>
      <c r="EC71" s="30"/>
      <c r="ED71" s="30"/>
      <c r="EE71" s="85"/>
      <c r="EF71" s="85"/>
      <c r="EG71" s="70"/>
      <c r="EI71" s="81"/>
      <c r="EJ71" s="30"/>
      <c r="EK71" s="30"/>
      <c r="EM71" s="30"/>
      <c r="EN71" s="30"/>
      <c r="EO71" s="30"/>
      <c r="EP71" s="30"/>
      <c r="EQ71" s="30"/>
      <c r="ER71" s="30"/>
      <c r="ES71" s="30"/>
      <c r="ET71" s="85"/>
      <c r="EU71" s="85"/>
      <c r="EV71" s="70"/>
    </row>
    <row r="72" spans="2:152">
      <c r="B72" s="11">
        <f t="shared" si="0"/>
        <v>0.17</v>
      </c>
      <c r="C72" s="28">
        <v>3.72</v>
      </c>
      <c r="D72" s="16"/>
      <c r="E72" s="8"/>
      <c r="F72" s="27">
        <f t="shared" si="1"/>
        <v>-4.0607287449392739</v>
      </c>
      <c r="G72" s="27">
        <f t="shared" si="2"/>
        <v>-1247.0889999999999</v>
      </c>
      <c r="H72" s="27">
        <f t="shared" si="3"/>
        <v>187.59381181667146</v>
      </c>
      <c r="I72" s="27">
        <f t="shared" si="4"/>
        <v>-6.6478152340053427</v>
      </c>
      <c r="J72" s="27">
        <f t="shared" si="5"/>
        <v>-0.10963160230803368</v>
      </c>
      <c r="K72" s="27" t="e">
        <f t="shared" si="6"/>
        <v>#NUM!</v>
      </c>
      <c r="L72" s="27" t="e">
        <f t="shared" si="7"/>
        <v>#NUM!</v>
      </c>
      <c r="M72" s="17" t="e">
        <f t="shared" si="8"/>
        <v>#NUM!</v>
      </c>
      <c r="N72" s="17" t="e">
        <f t="shared" si="9"/>
        <v>#N/A</v>
      </c>
      <c r="O72" s="57" t="e">
        <f t="shared" si="10"/>
        <v>#N/A</v>
      </c>
      <c r="P72" s="17">
        <f t="shared" si="11"/>
        <v>0</v>
      </c>
      <c r="Q72" s="17">
        <f t="shared" si="12"/>
        <v>0</v>
      </c>
      <c r="S72" s="81"/>
      <c r="T72" s="30"/>
      <c r="U72" s="30"/>
      <c r="W72" s="30"/>
      <c r="X72" s="30"/>
      <c r="Y72" s="30"/>
      <c r="Z72" s="30"/>
      <c r="AA72" s="30"/>
      <c r="AB72" s="30"/>
      <c r="AC72" s="30"/>
      <c r="AD72" s="85"/>
      <c r="AE72" s="85"/>
      <c r="AF72" s="70"/>
      <c r="AH72" s="81"/>
      <c r="AI72" s="30"/>
      <c r="AJ72" s="30"/>
      <c r="AL72" s="30"/>
      <c r="AM72" s="30"/>
      <c r="AN72" s="30"/>
      <c r="AO72" s="30"/>
      <c r="AP72" s="30"/>
      <c r="AQ72" s="30"/>
      <c r="AR72" s="30"/>
      <c r="AS72" s="85"/>
      <c r="AT72" s="85"/>
      <c r="AU72" s="70"/>
      <c r="AW72" s="81"/>
      <c r="AX72" s="30"/>
      <c r="AY72" s="30"/>
      <c r="BA72" s="30"/>
      <c r="BB72" s="30"/>
      <c r="BC72" s="30"/>
      <c r="BD72" s="30"/>
      <c r="BE72" s="30"/>
      <c r="BF72" s="30"/>
      <c r="BG72" s="30"/>
      <c r="BH72" s="85"/>
      <c r="BI72" s="85"/>
      <c r="BJ72" s="70"/>
      <c r="BL72" s="81"/>
      <c r="BM72" s="30"/>
      <c r="BN72" s="30"/>
      <c r="BP72" s="30"/>
      <c r="BQ72" s="30"/>
      <c r="BR72" s="30"/>
      <c r="BS72" s="30"/>
      <c r="BT72" s="30"/>
      <c r="BU72" s="30"/>
      <c r="BV72" s="30"/>
      <c r="BW72" s="85"/>
      <c r="BX72" s="85"/>
      <c r="BY72" s="70"/>
      <c r="CA72" s="81"/>
      <c r="CB72" s="30"/>
      <c r="CC72" s="30"/>
      <c r="CE72" s="30"/>
      <c r="CF72" s="30"/>
      <c r="CG72" s="30"/>
      <c r="CH72" s="30"/>
      <c r="CI72" s="30"/>
      <c r="CJ72" s="30"/>
      <c r="CK72" s="30"/>
      <c r="CL72" s="85"/>
      <c r="CM72" s="85"/>
      <c r="CN72" s="70"/>
      <c r="CP72" s="81"/>
      <c r="CQ72" s="30"/>
      <c r="CR72" s="30"/>
      <c r="CT72" s="30"/>
      <c r="CU72" s="30"/>
      <c r="CV72" s="30"/>
      <c r="CW72" s="30"/>
      <c r="CX72" s="30"/>
      <c r="CY72" s="30"/>
      <c r="CZ72" s="30"/>
      <c r="DA72" s="85"/>
      <c r="DB72" s="85"/>
      <c r="DC72" s="70"/>
      <c r="DE72" s="81"/>
      <c r="DF72" s="30"/>
      <c r="DG72" s="30"/>
      <c r="DI72" s="30"/>
      <c r="DJ72" s="30"/>
      <c r="DK72" s="30"/>
      <c r="DL72" s="30"/>
      <c r="DM72" s="30"/>
      <c r="DN72" s="30"/>
      <c r="DO72" s="30"/>
      <c r="DP72" s="85"/>
      <c r="DQ72" s="85"/>
      <c r="DR72" s="70"/>
      <c r="DT72" s="81"/>
      <c r="DU72" s="30"/>
      <c r="DV72" s="30"/>
      <c r="DX72" s="30"/>
      <c r="DY72" s="30"/>
      <c r="DZ72" s="30"/>
      <c r="EA72" s="30"/>
      <c r="EB72" s="30"/>
      <c r="EC72" s="30"/>
      <c r="ED72" s="30"/>
      <c r="EE72" s="85"/>
      <c r="EF72" s="85"/>
      <c r="EG72" s="70"/>
      <c r="EI72" s="81"/>
      <c r="EJ72" s="30"/>
      <c r="EK72" s="30"/>
      <c r="EM72" s="30"/>
      <c r="EN72" s="30"/>
      <c r="EO72" s="30"/>
      <c r="EP72" s="30"/>
      <c r="EQ72" s="30"/>
      <c r="ER72" s="30"/>
      <c r="ES72" s="30"/>
      <c r="ET72" s="85"/>
      <c r="EU72" s="85"/>
      <c r="EV72" s="70"/>
    </row>
    <row r="73" spans="2:152">
      <c r="B73" s="11">
        <f t="shared" si="0"/>
        <v>0.17</v>
      </c>
      <c r="C73" s="28">
        <v>3.78</v>
      </c>
      <c r="D73" s="16"/>
      <c r="E73" s="8"/>
      <c r="F73" s="27">
        <f t="shared" si="1"/>
        <v>-4.3361792956243326</v>
      </c>
      <c r="G73" s="27">
        <f t="shared" si="2"/>
        <v>-1247.0889999999997</v>
      </c>
      <c r="H73" s="27">
        <f t="shared" si="3"/>
        <v>195.71285569179918</v>
      </c>
      <c r="I73" s="27">
        <f t="shared" si="4"/>
        <v>-6.3720341496823583</v>
      </c>
      <c r="J73" s="27">
        <f t="shared" si="5"/>
        <v>-0.10338739931589983</v>
      </c>
      <c r="K73" s="27" t="e">
        <f t="shared" si="6"/>
        <v>#NUM!</v>
      </c>
      <c r="L73" s="27" t="e">
        <f t="shared" si="7"/>
        <v>#NUM!</v>
      </c>
      <c r="M73" s="17" t="e">
        <f t="shared" si="8"/>
        <v>#NUM!</v>
      </c>
      <c r="N73" s="17" t="e">
        <f t="shared" si="9"/>
        <v>#N/A</v>
      </c>
      <c r="O73" s="57" t="e">
        <f t="shared" si="10"/>
        <v>#N/A</v>
      </c>
      <c r="P73" s="17">
        <f t="shared" si="11"/>
        <v>0</v>
      </c>
      <c r="Q73" s="17">
        <f t="shared" si="12"/>
        <v>0</v>
      </c>
      <c r="S73" s="81"/>
      <c r="T73" s="30"/>
      <c r="U73" s="30"/>
      <c r="W73" s="30"/>
      <c r="X73" s="30"/>
      <c r="Y73" s="30"/>
      <c r="Z73" s="30"/>
      <c r="AA73" s="30"/>
      <c r="AB73" s="30"/>
      <c r="AC73" s="30"/>
      <c r="AD73" s="85"/>
      <c r="AE73" s="85"/>
      <c r="AF73" s="70"/>
      <c r="AH73" s="81"/>
      <c r="AI73" s="30"/>
      <c r="AJ73" s="30"/>
      <c r="AL73" s="30"/>
      <c r="AM73" s="30"/>
      <c r="AN73" s="30"/>
      <c r="AO73" s="30"/>
      <c r="AP73" s="30"/>
      <c r="AQ73" s="30"/>
      <c r="AR73" s="30"/>
      <c r="AS73" s="85"/>
      <c r="AT73" s="85"/>
      <c r="AU73" s="70"/>
      <c r="AW73" s="81"/>
      <c r="AX73" s="30"/>
      <c r="AY73" s="30"/>
      <c r="BA73" s="30"/>
      <c r="BB73" s="30"/>
      <c r="BC73" s="30"/>
      <c r="BD73" s="30"/>
      <c r="BE73" s="30"/>
      <c r="BF73" s="30"/>
      <c r="BG73" s="30"/>
      <c r="BH73" s="85"/>
      <c r="BI73" s="85"/>
      <c r="BJ73" s="70"/>
      <c r="BL73" s="81"/>
      <c r="BM73" s="30"/>
      <c r="BN73" s="30"/>
      <c r="BP73" s="30"/>
      <c r="BQ73" s="30"/>
      <c r="BR73" s="30"/>
      <c r="BS73" s="30"/>
      <c r="BT73" s="30"/>
      <c r="BU73" s="30"/>
      <c r="BV73" s="30"/>
      <c r="BW73" s="85"/>
      <c r="BX73" s="85"/>
      <c r="BY73" s="70"/>
      <c r="CA73" s="81"/>
      <c r="CB73" s="30"/>
      <c r="CC73" s="30"/>
      <c r="CE73" s="30"/>
      <c r="CF73" s="30"/>
      <c r="CG73" s="30"/>
      <c r="CH73" s="30"/>
      <c r="CI73" s="30"/>
      <c r="CJ73" s="30"/>
      <c r="CK73" s="30"/>
      <c r="CL73" s="85"/>
      <c r="CM73" s="85"/>
      <c r="CN73" s="70"/>
      <c r="CP73" s="81"/>
      <c r="CQ73" s="30"/>
      <c r="CR73" s="30"/>
      <c r="CT73" s="30"/>
      <c r="CU73" s="30"/>
      <c r="CV73" s="30"/>
      <c r="CW73" s="30"/>
      <c r="CX73" s="30"/>
      <c r="CY73" s="30"/>
      <c r="CZ73" s="30"/>
      <c r="DA73" s="85"/>
      <c r="DB73" s="85"/>
      <c r="DC73" s="70"/>
      <c r="DE73" s="81"/>
      <c r="DF73" s="30"/>
      <c r="DG73" s="30"/>
      <c r="DI73" s="30"/>
      <c r="DJ73" s="30"/>
      <c r="DK73" s="30"/>
      <c r="DL73" s="30"/>
      <c r="DM73" s="30"/>
      <c r="DN73" s="30"/>
      <c r="DO73" s="30"/>
      <c r="DP73" s="85"/>
      <c r="DQ73" s="85"/>
      <c r="DR73" s="70"/>
      <c r="DT73" s="81"/>
      <c r="DU73" s="30"/>
      <c r="DV73" s="30"/>
      <c r="DX73" s="30"/>
      <c r="DY73" s="30"/>
      <c r="DZ73" s="30"/>
      <c r="EA73" s="30"/>
      <c r="EB73" s="30"/>
      <c r="EC73" s="30"/>
      <c r="ED73" s="30"/>
      <c r="EE73" s="85"/>
      <c r="EF73" s="85"/>
      <c r="EG73" s="70"/>
      <c r="EI73" s="81"/>
      <c r="EJ73" s="30"/>
      <c r="EK73" s="30"/>
      <c r="EM73" s="30"/>
      <c r="EN73" s="30"/>
      <c r="EO73" s="30"/>
      <c r="EP73" s="30"/>
      <c r="EQ73" s="30"/>
      <c r="ER73" s="30"/>
      <c r="ES73" s="30"/>
      <c r="ET73" s="85"/>
      <c r="EU73" s="85"/>
      <c r="EV73" s="70"/>
    </row>
    <row r="74" spans="2:152">
      <c r="B74" s="11">
        <f t="shared" si="0"/>
        <v>0.17</v>
      </c>
      <c r="C74" s="28">
        <v>3.84</v>
      </c>
      <c r="D74" s="16"/>
      <c r="E74" s="8"/>
      <c r="F74" s="27">
        <f t="shared" si="1"/>
        <v>-4.6433408577878135</v>
      </c>
      <c r="G74" s="27">
        <f t="shared" si="2"/>
        <v>-1247.0889999999999</v>
      </c>
      <c r="H74" s="27">
        <f t="shared" si="3"/>
        <v>203.83189956692684</v>
      </c>
      <c r="I74" s="27">
        <f t="shared" si="4"/>
        <v>-6.1182229211896573</v>
      </c>
      <c r="J74" s="27">
        <f t="shared" si="5"/>
        <v>-9.7213078779899015E-2</v>
      </c>
      <c r="K74" s="27" t="e">
        <f t="shared" si="6"/>
        <v>#NUM!</v>
      </c>
      <c r="L74" s="27" t="e">
        <f t="shared" si="7"/>
        <v>#NUM!</v>
      </c>
      <c r="M74" s="17" t="e">
        <f t="shared" si="8"/>
        <v>#NUM!</v>
      </c>
      <c r="N74" s="17" t="e">
        <f t="shared" si="9"/>
        <v>#N/A</v>
      </c>
      <c r="O74" s="57" t="e">
        <f t="shared" si="10"/>
        <v>#N/A</v>
      </c>
      <c r="P74" s="17">
        <f t="shared" si="11"/>
        <v>0</v>
      </c>
      <c r="Q74" s="17">
        <f t="shared" si="12"/>
        <v>0</v>
      </c>
      <c r="S74" s="81"/>
      <c r="T74" s="30"/>
      <c r="U74" s="30"/>
      <c r="W74" s="30"/>
      <c r="X74" s="30"/>
      <c r="Y74" s="30"/>
      <c r="Z74" s="30"/>
      <c r="AA74" s="30"/>
      <c r="AB74" s="30"/>
      <c r="AC74" s="30"/>
      <c r="AD74" s="85"/>
      <c r="AE74" s="85"/>
      <c r="AF74" s="70"/>
      <c r="AH74" s="81"/>
      <c r="AI74" s="30"/>
      <c r="AJ74" s="30"/>
      <c r="AL74" s="30"/>
      <c r="AM74" s="30"/>
      <c r="AN74" s="30"/>
      <c r="AO74" s="30"/>
      <c r="AP74" s="30"/>
      <c r="AQ74" s="30"/>
      <c r="AR74" s="30"/>
      <c r="AS74" s="85"/>
      <c r="AT74" s="85"/>
      <c r="AU74" s="70"/>
      <c r="AW74" s="81"/>
      <c r="AX74" s="30"/>
      <c r="AY74" s="30"/>
      <c r="BA74" s="30"/>
      <c r="BB74" s="30"/>
      <c r="BC74" s="30"/>
      <c r="BD74" s="30"/>
      <c r="BE74" s="30"/>
      <c r="BF74" s="30"/>
      <c r="BG74" s="30"/>
      <c r="BH74" s="85"/>
      <c r="BI74" s="85"/>
      <c r="BJ74" s="70"/>
      <c r="BL74" s="81"/>
      <c r="BM74" s="30"/>
      <c r="BN74" s="30"/>
      <c r="BP74" s="30"/>
      <c r="BQ74" s="30"/>
      <c r="BR74" s="30"/>
      <c r="BS74" s="30"/>
      <c r="BT74" s="30"/>
      <c r="BU74" s="30"/>
      <c r="BV74" s="30"/>
      <c r="BW74" s="85"/>
      <c r="BX74" s="85"/>
      <c r="BY74" s="70"/>
      <c r="CA74" s="81"/>
      <c r="CB74" s="30"/>
      <c r="CC74" s="30"/>
      <c r="CE74" s="30"/>
      <c r="CF74" s="30"/>
      <c r="CG74" s="30"/>
      <c r="CH74" s="30"/>
      <c r="CI74" s="30"/>
      <c r="CJ74" s="30"/>
      <c r="CK74" s="30"/>
      <c r="CL74" s="85"/>
      <c r="CM74" s="85"/>
      <c r="CN74" s="70"/>
      <c r="CP74" s="81"/>
      <c r="CQ74" s="30"/>
      <c r="CR74" s="30"/>
      <c r="CT74" s="30"/>
      <c r="CU74" s="30"/>
      <c r="CV74" s="30"/>
      <c r="CW74" s="30"/>
      <c r="CX74" s="30"/>
      <c r="CY74" s="30"/>
      <c r="CZ74" s="30"/>
      <c r="DA74" s="85"/>
      <c r="DB74" s="85"/>
      <c r="DC74" s="70"/>
      <c r="DE74" s="81"/>
      <c r="DF74" s="30"/>
      <c r="DG74" s="30"/>
      <c r="DI74" s="30"/>
      <c r="DJ74" s="30"/>
      <c r="DK74" s="30"/>
      <c r="DL74" s="30"/>
      <c r="DM74" s="30"/>
      <c r="DN74" s="30"/>
      <c r="DO74" s="30"/>
      <c r="DP74" s="85"/>
      <c r="DQ74" s="85"/>
      <c r="DR74" s="70"/>
      <c r="DT74" s="81"/>
      <c r="DU74" s="30"/>
      <c r="DV74" s="30"/>
      <c r="DX74" s="30"/>
      <c r="DY74" s="30"/>
      <c r="DZ74" s="30"/>
      <c r="EA74" s="30"/>
      <c r="EB74" s="30"/>
      <c r="EC74" s="30"/>
      <c r="ED74" s="30"/>
      <c r="EE74" s="85"/>
      <c r="EF74" s="85"/>
      <c r="EG74" s="70"/>
      <c r="EI74" s="81"/>
      <c r="EJ74" s="30"/>
      <c r="EK74" s="30"/>
      <c r="EM74" s="30"/>
      <c r="EN74" s="30"/>
      <c r="EO74" s="30"/>
      <c r="EP74" s="30"/>
      <c r="EQ74" s="30"/>
      <c r="ER74" s="30"/>
      <c r="ES74" s="30"/>
      <c r="ET74" s="85"/>
      <c r="EU74" s="85"/>
      <c r="EV74" s="70"/>
    </row>
    <row r="75" spans="2:152">
      <c r="B75" s="11">
        <f t="shared" si="0"/>
        <v>0.17</v>
      </c>
      <c r="C75" s="28">
        <v>3.9</v>
      </c>
      <c r="D75" s="16"/>
      <c r="E75" s="8"/>
      <c r="F75" s="27">
        <f t="shared" si="1"/>
        <v>-4.9880239520958112</v>
      </c>
      <c r="G75" s="27">
        <f t="shared" si="2"/>
        <v>-1247.0889999999999</v>
      </c>
      <c r="H75" s="27">
        <f t="shared" si="3"/>
        <v>211.95094344205438</v>
      </c>
      <c r="I75" s="27">
        <f t="shared" si="4"/>
        <v>-5.8838568007645771</v>
      </c>
      <c r="J75" s="27">
        <f t="shared" si="5"/>
        <v>-9.1107474086197446E-2</v>
      </c>
      <c r="K75" s="27" t="e">
        <f t="shared" si="6"/>
        <v>#NUM!</v>
      </c>
      <c r="L75" s="27" t="e">
        <f t="shared" si="7"/>
        <v>#NUM!</v>
      </c>
      <c r="M75" s="17" t="e">
        <f t="shared" si="8"/>
        <v>#NUM!</v>
      </c>
      <c r="N75" s="17" t="e">
        <f t="shared" si="9"/>
        <v>#N/A</v>
      </c>
      <c r="O75" s="57" t="e">
        <f t="shared" si="10"/>
        <v>#N/A</v>
      </c>
      <c r="P75" s="17">
        <f t="shared" si="11"/>
        <v>0</v>
      </c>
      <c r="Q75" s="17">
        <f t="shared" si="12"/>
        <v>0</v>
      </c>
      <c r="S75" s="81"/>
      <c r="T75" s="30"/>
      <c r="U75" s="30"/>
      <c r="W75" s="30"/>
      <c r="X75" s="30"/>
      <c r="Y75" s="30"/>
      <c r="Z75" s="30"/>
      <c r="AA75" s="30"/>
      <c r="AB75" s="30"/>
      <c r="AC75" s="30"/>
      <c r="AD75" s="85"/>
      <c r="AE75" s="85"/>
      <c r="AF75" s="70"/>
      <c r="AH75" s="81"/>
      <c r="AI75" s="30"/>
      <c r="AJ75" s="30"/>
      <c r="AL75" s="30"/>
      <c r="AM75" s="30"/>
      <c r="AN75" s="30"/>
      <c r="AO75" s="30"/>
      <c r="AP75" s="30"/>
      <c r="AQ75" s="30"/>
      <c r="AR75" s="30"/>
      <c r="AS75" s="85"/>
      <c r="AT75" s="85"/>
      <c r="AU75" s="70"/>
      <c r="AW75" s="81"/>
      <c r="AX75" s="30"/>
      <c r="AY75" s="30"/>
      <c r="BA75" s="30"/>
      <c r="BB75" s="30"/>
      <c r="BC75" s="30"/>
      <c r="BD75" s="30"/>
      <c r="BE75" s="30"/>
      <c r="BF75" s="30"/>
      <c r="BG75" s="30"/>
      <c r="BH75" s="85"/>
      <c r="BI75" s="85"/>
      <c r="BJ75" s="70"/>
      <c r="BL75" s="81"/>
      <c r="BM75" s="30"/>
      <c r="BN75" s="30"/>
      <c r="BP75" s="30"/>
      <c r="BQ75" s="30"/>
      <c r="BR75" s="30"/>
      <c r="BS75" s="30"/>
      <c r="BT75" s="30"/>
      <c r="BU75" s="30"/>
      <c r="BV75" s="30"/>
      <c r="BW75" s="85"/>
      <c r="BX75" s="85"/>
      <c r="BY75" s="70"/>
      <c r="CA75" s="81"/>
      <c r="CB75" s="30"/>
      <c r="CC75" s="30"/>
      <c r="CE75" s="30"/>
      <c r="CF75" s="30"/>
      <c r="CG75" s="30"/>
      <c r="CH75" s="30"/>
      <c r="CI75" s="30"/>
      <c r="CJ75" s="30"/>
      <c r="CK75" s="30"/>
      <c r="CL75" s="85"/>
      <c r="CM75" s="85"/>
      <c r="CN75" s="70"/>
      <c r="CP75" s="81"/>
      <c r="CQ75" s="30"/>
      <c r="CR75" s="30"/>
      <c r="CT75" s="30"/>
      <c r="CU75" s="30"/>
      <c r="CV75" s="30"/>
      <c r="CW75" s="30"/>
      <c r="CX75" s="30"/>
      <c r="CY75" s="30"/>
      <c r="CZ75" s="30"/>
      <c r="DA75" s="85"/>
      <c r="DB75" s="85"/>
      <c r="DC75" s="70"/>
      <c r="DE75" s="81"/>
      <c r="DF75" s="30"/>
      <c r="DG75" s="30"/>
      <c r="DI75" s="30"/>
      <c r="DJ75" s="30"/>
      <c r="DK75" s="30"/>
      <c r="DL75" s="30"/>
      <c r="DM75" s="30"/>
      <c r="DN75" s="30"/>
      <c r="DO75" s="30"/>
      <c r="DP75" s="85"/>
      <c r="DQ75" s="85"/>
      <c r="DR75" s="70"/>
      <c r="DT75" s="81"/>
      <c r="DU75" s="30"/>
      <c r="DV75" s="30"/>
      <c r="DX75" s="30"/>
      <c r="DY75" s="30"/>
      <c r="DZ75" s="30"/>
      <c r="EA75" s="30"/>
      <c r="EB75" s="30"/>
      <c r="EC75" s="30"/>
      <c r="ED75" s="30"/>
      <c r="EE75" s="85"/>
      <c r="EF75" s="85"/>
      <c r="EG75" s="70"/>
      <c r="EI75" s="81"/>
      <c r="EJ75" s="30"/>
      <c r="EK75" s="30"/>
      <c r="EM75" s="30"/>
      <c r="EN75" s="30"/>
      <c r="EO75" s="30"/>
      <c r="EP75" s="30"/>
      <c r="EQ75" s="30"/>
      <c r="ER75" s="30"/>
      <c r="ES75" s="30"/>
      <c r="ET75" s="85"/>
      <c r="EU75" s="85"/>
      <c r="EV75" s="70"/>
    </row>
    <row r="76" spans="2:152">
      <c r="B76" s="11">
        <f t="shared" ref="B76:B110" si="13">$C$8</f>
        <v>0.17</v>
      </c>
      <c r="C76" s="28">
        <v>3.96</v>
      </c>
      <c r="D76" s="16"/>
      <c r="E76" s="8"/>
      <c r="F76" s="27">
        <f t="shared" ref="F76:F110" si="14">(((1+C76)*B76)/(((1+C76)*B76)-1))</f>
        <v>-5.3775510204081653</v>
      </c>
      <c r="G76" s="27">
        <f t="shared" ref="G76:G110" si="15">(B76*(C76*$E$11+$C$4))-($C$2*(($C$6+(C76+1)*B76-1)))</f>
        <v>-1247.0889999999999</v>
      </c>
      <c r="H76" s="27">
        <f t="shared" ref="H76:H110" si="16">(B76*(C76*$E$11+$C$4))-($D$11*(($C$6+(C76+1)*B76-1)))</f>
        <v>220.0699873171821</v>
      </c>
      <c r="I76" s="27">
        <f t="shared" ref="I76:I110" si="17">(G76/H76)</f>
        <v>-5.6667836228054016</v>
      </c>
      <c r="J76" s="27">
        <f t="shared" ref="J76:J110" si="18">((C76+1)*B76-1)/((C76+1)*B76+$C$6-1)</f>
        <v>-8.506944444444442E-2</v>
      </c>
      <c r="K76" s="27" t="e">
        <f t="shared" ref="K76:K110" si="19">I76^J76</f>
        <v>#NUM!</v>
      </c>
      <c r="L76" s="27" t="e">
        <f t="shared" ref="L76:L110" si="20">(K76-1)*F76</f>
        <v>#NUM!</v>
      </c>
      <c r="M76" s="17" t="e">
        <f t="shared" ref="M76:M110" si="21">L76/(C76*(1+L76)+1)</f>
        <v>#NUM!</v>
      </c>
      <c r="N76" s="17" t="e">
        <f t="shared" ref="N76:N110" si="22">IFERROR(M76,NA())</f>
        <v>#N/A</v>
      </c>
      <c r="O76" s="57" t="e">
        <f t="shared" ref="O76:O110" si="23">IF(I76&lt;0,NA(),IF($C$2=0,NA(),IF(N76&lt;0,NA(),IF(ISERROR(N76),NA(),N76))))</f>
        <v>#N/A</v>
      </c>
      <c r="P76" s="17">
        <f t="shared" ref="P76:P110" si="24">IF(ISERROR(O76),0,IF(L76&lt;0,0,O76))</f>
        <v>0</v>
      </c>
      <c r="Q76" s="17">
        <f t="shared" ref="Q76:Q110" si="25">IF($P$8=P76,C76,0)</f>
        <v>0</v>
      </c>
      <c r="S76" s="81"/>
      <c r="T76" s="30"/>
      <c r="U76" s="30"/>
      <c r="W76" s="30"/>
      <c r="X76" s="30"/>
      <c r="Y76" s="30"/>
      <c r="Z76" s="30"/>
      <c r="AA76" s="30"/>
      <c r="AB76" s="30"/>
      <c r="AC76" s="30"/>
      <c r="AD76" s="85"/>
      <c r="AE76" s="85"/>
      <c r="AF76" s="70"/>
      <c r="AH76" s="81"/>
      <c r="AI76" s="30"/>
      <c r="AJ76" s="30"/>
      <c r="AL76" s="30"/>
      <c r="AM76" s="30"/>
      <c r="AN76" s="30"/>
      <c r="AO76" s="30"/>
      <c r="AP76" s="30"/>
      <c r="AQ76" s="30"/>
      <c r="AR76" s="30"/>
      <c r="AS76" s="85"/>
      <c r="AT76" s="85"/>
      <c r="AU76" s="70"/>
      <c r="AW76" s="81"/>
      <c r="AX76" s="30"/>
      <c r="AY76" s="30"/>
      <c r="BA76" s="30"/>
      <c r="BB76" s="30"/>
      <c r="BC76" s="30"/>
      <c r="BD76" s="30"/>
      <c r="BE76" s="30"/>
      <c r="BF76" s="30"/>
      <c r="BG76" s="30"/>
      <c r="BH76" s="85"/>
      <c r="BI76" s="85"/>
      <c r="BJ76" s="70"/>
      <c r="BL76" s="81"/>
      <c r="BM76" s="30"/>
      <c r="BN76" s="30"/>
      <c r="BP76" s="30"/>
      <c r="BQ76" s="30"/>
      <c r="BR76" s="30"/>
      <c r="BS76" s="30"/>
      <c r="BT76" s="30"/>
      <c r="BU76" s="30"/>
      <c r="BV76" s="30"/>
      <c r="BW76" s="85"/>
      <c r="BX76" s="85"/>
      <c r="BY76" s="70"/>
      <c r="CA76" s="81"/>
      <c r="CB76" s="30"/>
      <c r="CC76" s="30"/>
      <c r="CE76" s="30"/>
      <c r="CF76" s="30"/>
      <c r="CG76" s="30"/>
      <c r="CH76" s="30"/>
      <c r="CI76" s="30"/>
      <c r="CJ76" s="30"/>
      <c r="CK76" s="30"/>
      <c r="CL76" s="85"/>
      <c r="CM76" s="85"/>
      <c r="CN76" s="70"/>
      <c r="CP76" s="81"/>
      <c r="CQ76" s="30"/>
      <c r="CR76" s="30"/>
      <c r="CT76" s="30"/>
      <c r="CU76" s="30"/>
      <c r="CV76" s="30"/>
      <c r="CW76" s="30"/>
      <c r="CX76" s="30"/>
      <c r="CY76" s="30"/>
      <c r="CZ76" s="30"/>
      <c r="DA76" s="85"/>
      <c r="DB76" s="85"/>
      <c r="DC76" s="70"/>
      <c r="DE76" s="81"/>
      <c r="DF76" s="30"/>
      <c r="DG76" s="30"/>
      <c r="DI76" s="30"/>
      <c r="DJ76" s="30"/>
      <c r="DK76" s="30"/>
      <c r="DL76" s="30"/>
      <c r="DM76" s="30"/>
      <c r="DN76" s="30"/>
      <c r="DO76" s="30"/>
      <c r="DP76" s="85"/>
      <c r="DQ76" s="85"/>
      <c r="DR76" s="70"/>
      <c r="DT76" s="81"/>
      <c r="DU76" s="30"/>
      <c r="DV76" s="30"/>
      <c r="DX76" s="30"/>
      <c r="DY76" s="30"/>
      <c r="DZ76" s="30"/>
      <c r="EA76" s="30"/>
      <c r="EB76" s="30"/>
      <c r="EC76" s="30"/>
      <c r="ED76" s="30"/>
      <c r="EE76" s="85"/>
      <c r="EF76" s="85"/>
      <c r="EG76" s="70"/>
      <c r="EI76" s="81"/>
      <c r="EJ76" s="30"/>
      <c r="EK76" s="30"/>
      <c r="EM76" s="30"/>
      <c r="EN76" s="30"/>
      <c r="EO76" s="30"/>
      <c r="EP76" s="30"/>
      <c r="EQ76" s="30"/>
      <c r="ER76" s="30"/>
      <c r="ES76" s="30"/>
      <c r="ET76" s="85"/>
      <c r="EU76" s="85"/>
      <c r="EV76" s="70"/>
    </row>
    <row r="77" spans="2:152">
      <c r="B77" s="11">
        <f t="shared" si="13"/>
        <v>0.17</v>
      </c>
      <c r="C77" s="28">
        <v>4.0199999999999996</v>
      </c>
      <c r="D77" s="16"/>
      <c r="E77" s="8"/>
      <c r="F77" s="27">
        <f t="shared" si="14"/>
        <v>-5.8212824010914019</v>
      </c>
      <c r="G77" s="27">
        <f t="shared" si="15"/>
        <v>-1247.0889999999997</v>
      </c>
      <c r="H77" s="27">
        <f t="shared" si="16"/>
        <v>228.18903119230964</v>
      </c>
      <c r="I77" s="27">
        <f t="shared" si="17"/>
        <v>-5.4651575208669749</v>
      </c>
      <c r="J77" s="27">
        <f t="shared" si="18"/>
        <v>-7.9097874177187916E-2</v>
      </c>
      <c r="K77" s="27" t="e">
        <f t="shared" si="19"/>
        <v>#NUM!</v>
      </c>
      <c r="L77" s="27" t="e">
        <f t="shared" si="20"/>
        <v>#NUM!</v>
      </c>
      <c r="M77" s="17" t="e">
        <f t="shared" si="21"/>
        <v>#NUM!</v>
      </c>
      <c r="N77" s="17" t="e">
        <f t="shared" si="22"/>
        <v>#N/A</v>
      </c>
      <c r="O77" s="57" t="e">
        <f t="shared" si="23"/>
        <v>#N/A</v>
      </c>
      <c r="P77" s="17">
        <f t="shared" si="24"/>
        <v>0</v>
      </c>
      <c r="Q77" s="17">
        <f t="shared" si="25"/>
        <v>0</v>
      </c>
      <c r="S77" s="81"/>
      <c r="T77" s="30"/>
      <c r="U77" s="30"/>
      <c r="W77" s="30"/>
      <c r="X77" s="30"/>
      <c r="Y77" s="30"/>
      <c r="Z77" s="30"/>
      <c r="AA77" s="30"/>
      <c r="AB77" s="30"/>
      <c r="AC77" s="30"/>
      <c r="AD77" s="85"/>
      <c r="AE77" s="85"/>
      <c r="AF77" s="70"/>
      <c r="AH77" s="81"/>
      <c r="AI77" s="30"/>
      <c r="AJ77" s="30"/>
      <c r="AL77" s="30"/>
      <c r="AM77" s="30"/>
      <c r="AN77" s="30"/>
      <c r="AO77" s="30"/>
      <c r="AP77" s="30"/>
      <c r="AQ77" s="30"/>
      <c r="AR77" s="30"/>
      <c r="AS77" s="85"/>
      <c r="AT77" s="85"/>
      <c r="AU77" s="70"/>
      <c r="AW77" s="81"/>
      <c r="AX77" s="30"/>
      <c r="AY77" s="30"/>
      <c r="BA77" s="30"/>
      <c r="BB77" s="30"/>
      <c r="BC77" s="30"/>
      <c r="BD77" s="30"/>
      <c r="BE77" s="30"/>
      <c r="BF77" s="30"/>
      <c r="BG77" s="30"/>
      <c r="BH77" s="85"/>
      <c r="BI77" s="85"/>
      <c r="BJ77" s="70"/>
      <c r="BL77" s="81"/>
      <c r="BM77" s="30"/>
      <c r="BN77" s="30"/>
      <c r="BP77" s="30"/>
      <c r="BQ77" s="30"/>
      <c r="BR77" s="30"/>
      <c r="BS77" s="30"/>
      <c r="BT77" s="30"/>
      <c r="BU77" s="30"/>
      <c r="BV77" s="30"/>
      <c r="BW77" s="85"/>
      <c r="BX77" s="85"/>
      <c r="BY77" s="70"/>
      <c r="CA77" s="81"/>
      <c r="CB77" s="30"/>
      <c r="CC77" s="30"/>
      <c r="CE77" s="30"/>
      <c r="CF77" s="30"/>
      <c r="CG77" s="30"/>
      <c r="CH77" s="30"/>
      <c r="CI77" s="30"/>
      <c r="CJ77" s="30"/>
      <c r="CK77" s="30"/>
      <c r="CL77" s="85"/>
      <c r="CM77" s="85"/>
      <c r="CN77" s="70"/>
      <c r="CP77" s="81"/>
      <c r="CQ77" s="30"/>
      <c r="CR77" s="30"/>
      <c r="CT77" s="30"/>
      <c r="CU77" s="30"/>
      <c r="CV77" s="30"/>
      <c r="CW77" s="30"/>
      <c r="CX77" s="30"/>
      <c r="CY77" s="30"/>
      <c r="CZ77" s="30"/>
      <c r="DA77" s="85"/>
      <c r="DB77" s="85"/>
      <c r="DC77" s="70"/>
      <c r="DE77" s="81"/>
      <c r="DF77" s="30"/>
      <c r="DG77" s="30"/>
      <c r="DI77" s="30"/>
      <c r="DJ77" s="30"/>
      <c r="DK77" s="30"/>
      <c r="DL77" s="30"/>
      <c r="DM77" s="30"/>
      <c r="DN77" s="30"/>
      <c r="DO77" s="30"/>
      <c r="DP77" s="85"/>
      <c r="DQ77" s="85"/>
      <c r="DR77" s="70"/>
      <c r="DT77" s="81"/>
      <c r="DU77" s="30"/>
      <c r="DV77" s="30"/>
      <c r="DX77" s="30"/>
      <c r="DY77" s="30"/>
      <c r="DZ77" s="30"/>
      <c r="EA77" s="30"/>
      <c r="EB77" s="30"/>
      <c r="EC77" s="30"/>
      <c r="ED77" s="30"/>
      <c r="EE77" s="85"/>
      <c r="EF77" s="85"/>
      <c r="EG77" s="70"/>
      <c r="EI77" s="81"/>
      <c r="EJ77" s="30"/>
      <c r="EK77" s="30"/>
      <c r="EM77" s="30"/>
      <c r="EN77" s="30"/>
      <c r="EO77" s="30"/>
      <c r="EP77" s="30"/>
      <c r="EQ77" s="30"/>
      <c r="ER77" s="30"/>
      <c r="ES77" s="30"/>
      <c r="ET77" s="85"/>
      <c r="EU77" s="85"/>
      <c r="EV77" s="70"/>
    </row>
    <row r="78" spans="2:152">
      <c r="B78" s="11">
        <f t="shared" si="13"/>
        <v>0.17</v>
      </c>
      <c r="C78" s="28">
        <v>4.08</v>
      </c>
      <c r="D78" s="16"/>
      <c r="E78" s="8"/>
      <c r="F78" s="27">
        <f t="shared" si="14"/>
        <v>-6.3313782991202361</v>
      </c>
      <c r="G78" s="27">
        <f t="shared" si="15"/>
        <v>-1247.0889999999997</v>
      </c>
      <c r="H78" s="27">
        <f t="shared" si="16"/>
        <v>236.30807506743747</v>
      </c>
      <c r="I78" s="27">
        <f t="shared" si="17"/>
        <v>-5.2773863087163067</v>
      </c>
      <c r="J78" s="27">
        <f t="shared" si="18"/>
        <v>-7.3191672032625013E-2</v>
      </c>
      <c r="K78" s="27" t="e">
        <f t="shared" si="19"/>
        <v>#NUM!</v>
      </c>
      <c r="L78" s="27" t="e">
        <f t="shared" si="20"/>
        <v>#NUM!</v>
      </c>
      <c r="M78" s="17" t="e">
        <f t="shared" si="21"/>
        <v>#NUM!</v>
      </c>
      <c r="N78" s="17" t="e">
        <f t="shared" si="22"/>
        <v>#N/A</v>
      </c>
      <c r="O78" s="57" t="e">
        <f t="shared" si="23"/>
        <v>#N/A</v>
      </c>
      <c r="P78" s="17">
        <f t="shared" si="24"/>
        <v>0</v>
      </c>
      <c r="Q78" s="17">
        <f t="shared" si="25"/>
        <v>0</v>
      </c>
      <c r="S78" s="81"/>
      <c r="T78" s="30"/>
      <c r="U78" s="30"/>
      <c r="W78" s="30"/>
      <c r="X78" s="30"/>
      <c r="Y78" s="30"/>
      <c r="Z78" s="30"/>
      <c r="AA78" s="30"/>
      <c r="AB78" s="30"/>
      <c r="AC78" s="30"/>
      <c r="AD78" s="85"/>
      <c r="AE78" s="85"/>
      <c r="AF78" s="70"/>
      <c r="AH78" s="81"/>
      <c r="AI78" s="30"/>
      <c r="AJ78" s="30"/>
      <c r="AL78" s="30"/>
      <c r="AM78" s="30"/>
      <c r="AN78" s="30"/>
      <c r="AO78" s="30"/>
      <c r="AP78" s="30"/>
      <c r="AQ78" s="30"/>
      <c r="AR78" s="30"/>
      <c r="AS78" s="85"/>
      <c r="AT78" s="85"/>
      <c r="AU78" s="70"/>
      <c r="AW78" s="81"/>
      <c r="AX78" s="30"/>
      <c r="AY78" s="30"/>
      <c r="BA78" s="30"/>
      <c r="BB78" s="30"/>
      <c r="BC78" s="30"/>
      <c r="BD78" s="30"/>
      <c r="BE78" s="30"/>
      <c r="BF78" s="30"/>
      <c r="BG78" s="30"/>
      <c r="BH78" s="85"/>
      <c r="BI78" s="85"/>
      <c r="BJ78" s="70"/>
      <c r="BL78" s="81"/>
      <c r="BM78" s="30"/>
      <c r="BN78" s="30"/>
      <c r="BP78" s="30"/>
      <c r="BQ78" s="30"/>
      <c r="BR78" s="30"/>
      <c r="BS78" s="30"/>
      <c r="BT78" s="30"/>
      <c r="BU78" s="30"/>
      <c r="BV78" s="30"/>
      <c r="BW78" s="85"/>
      <c r="BX78" s="85"/>
      <c r="BY78" s="70"/>
      <c r="CA78" s="81"/>
      <c r="CB78" s="30"/>
      <c r="CC78" s="30"/>
      <c r="CE78" s="30"/>
      <c r="CF78" s="30"/>
      <c r="CG78" s="30"/>
      <c r="CH78" s="30"/>
      <c r="CI78" s="30"/>
      <c r="CJ78" s="30"/>
      <c r="CK78" s="30"/>
      <c r="CL78" s="85"/>
      <c r="CM78" s="85"/>
      <c r="CN78" s="70"/>
      <c r="CP78" s="81"/>
      <c r="CQ78" s="30"/>
      <c r="CR78" s="30"/>
      <c r="CT78" s="30"/>
      <c r="CU78" s="30"/>
      <c r="CV78" s="30"/>
      <c r="CW78" s="30"/>
      <c r="CX78" s="30"/>
      <c r="CY78" s="30"/>
      <c r="CZ78" s="30"/>
      <c r="DA78" s="85"/>
      <c r="DB78" s="85"/>
      <c r="DC78" s="70"/>
      <c r="DE78" s="81"/>
      <c r="DF78" s="30"/>
      <c r="DG78" s="30"/>
      <c r="DI78" s="30"/>
      <c r="DJ78" s="30"/>
      <c r="DK78" s="30"/>
      <c r="DL78" s="30"/>
      <c r="DM78" s="30"/>
      <c r="DN78" s="30"/>
      <c r="DO78" s="30"/>
      <c r="DP78" s="85"/>
      <c r="DQ78" s="85"/>
      <c r="DR78" s="70"/>
      <c r="DT78" s="81"/>
      <c r="DU78" s="30"/>
      <c r="DV78" s="30"/>
      <c r="DX78" s="30"/>
      <c r="DY78" s="30"/>
      <c r="DZ78" s="30"/>
      <c r="EA78" s="30"/>
      <c r="EB78" s="30"/>
      <c r="EC78" s="30"/>
      <c r="ED78" s="30"/>
      <c r="EE78" s="85"/>
      <c r="EF78" s="85"/>
      <c r="EG78" s="70"/>
      <c r="EI78" s="81"/>
      <c r="EJ78" s="30"/>
      <c r="EK78" s="30"/>
      <c r="EM78" s="30"/>
      <c r="EN78" s="30"/>
      <c r="EO78" s="30"/>
      <c r="EP78" s="30"/>
      <c r="EQ78" s="30"/>
      <c r="ER78" s="30"/>
      <c r="ES78" s="30"/>
      <c r="ET78" s="85"/>
      <c r="EU78" s="85"/>
      <c r="EV78" s="70"/>
    </row>
    <row r="79" spans="2:152">
      <c r="B79" s="11">
        <f t="shared" si="13"/>
        <v>0.17</v>
      </c>
      <c r="C79" s="28">
        <v>4.1399999999999997</v>
      </c>
      <c r="D79" s="16"/>
      <c r="E79" s="8"/>
      <c r="F79" s="27">
        <f t="shared" si="14"/>
        <v>-6.9239302694136304</v>
      </c>
      <c r="G79" s="27">
        <f t="shared" si="15"/>
        <v>-1247.0890000000002</v>
      </c>
      <c r="H79" s="27">
        <f t="shared" si="16"/>
        <v>244.42711894256479</v>
      </c>
      <c r="I79" s="27">
        <f t="shared" si="17"/>
        <v>-5.1020893483306153</v>
      </c>
      <c r="J79" s="27">
        <f t="shared" si="18"/>
        <v>-6.7349770519799318E-2</v>
      </c>
      <c r="K79" s="27" t="e">
        <f t="shared" si="19"/>
        <v>#NUM!</v>
      </c>
      <c r="L79" s="27" t="e">
        <f t="shared" si="20"/>
        <v>#NUM!</v>
      </c>
      <c r="M79" s="17" t="e">
        <f t="shared" si="21"/>
        <v>#NUM!</v>
      </c>
      <c r="N79" s="17" t="e">
        <f t="shared" si="22"/>
        <v>#N/A</v>
      </c>
      <c r="O79" s="57" t="e">
        <f t="shared" si="23"/>
        <v>#N/A</v>
      </c>
      <c r="P79" s="17">
        <f t="shared" si="24"/>
        <v>0</v>
      </c>
      <c r="Q79" s="17">
        <f t="shared" si="25"/>
        <v>0</v>
      </c>
      <c r="S79" s="81"/>
      <c r="T79" s="30"/>
      <c r="U79" s="30"/>
      <c r="W79" s="30"/>
      <c r="X79" s="30"/>
      <c r="Y79" s="30"/>
      <c r="Z79" s="30"/>
      <c r="AA79" s="30"/>
      <c r="AB79" s="30"/>
      <c r="AC79" s="30"/>
      <c r="AD79" s="85"/>
      <c r="AE79" s="85"/>
      <c r="AF79" s="70"/>
      <c r="AH79" s="81"/>
      <c r="AI79" s="30"/>
      <c r="AJ79" s="30"/>
      <c r="AL79" s="30"/>
      <c r="AM79" s="30"/>
      <c r="AN79" s="30"/>
      <c r="AO79" s="30"/>
      <c r="AP79" s="30"/>
      <c r="AQ79" s="30"/>
      <c r="AR79" s="30"/>
      <c r="AS79" s="85"/>
      <c r="AT79" s="85"/>
      <c r="AU79" s="70"/>
      <c r="AW79" s="81"/>
      <c r="AX79" s="30"/>
      <c r="AY79" s="30"/>
      <c r="BA79" s="30"/>
      <c r="BB79" s="30"/>
      <c r="BC79" s="30"/>
      <c r="BD79" s="30"/>
      <c r="BE79" s="30"/>
      <c r="BF79" s="30"/>
      <c r="BG79" s="30"/>
      <c r="BH79" s="85"/>
      <c r="BI79" s="85"/>
      <c r="BJ79" s="70"/>
      <c r="BL79" s="81"/>
      <c r="BM79" s="30"/>
      <c r="BN79" s="30"/>
      <c r="BP79" s="30"/>
      <c r="BQ79" s="30"/>
      <c r="BR79" s="30"/>
      <c r="BS79" s="30"/>
      <c r="BT79" s="30"/>
      <c r="BU79" s="30"/>
      <c r="BV79" s="30"/>
      <c r="BW79" s="85"/>
      <c r="BX79" s="85"/>
      <c r="BY79" s="70"/>
      <c r="CA79" s="81"/>
      <c r="CB79" s="30"/>
      <c r="CC79" s="30"/>
      <c r="CE79" s="30"/>
      <c r="CF79" s="30"/>
      <c r="CG79" s="30"/>
      <c r="CH79" s="30"/>
      <c r="CI79" s="30"/>
      <c r="CJ79" s="30"/>
      <c r="CK79" s="30"/>
      <c r="CL79" s="85"/>
      <c r="CM79" s="85"/>
      <c r="CN79" s="70"/>
      <c r="CP79" s="81"/>
      <c r="CQ79" s="30"/>
      <c r="CR79" s="30"/>
      <c r="CT79" s="30"/>
      <c r="CU79" s="30"/>
      <c r="CV79" s="30"/>
      <c r="CW79" s="30"/>
      <c r="CX79" s="30"/>
      <c r="CY79" s="30"/>
      <c r="CZ79" s="30"/>
      <c r="DA79" s="85"/>
      <c r="DB79" s="85"/>
      <c r="DC79" s="70"/>
      <c r="DE79" s="81"/>
      <c r="DF79" s="30"/>
      <c r="DG79" s="30"/>
      <c r="DI79" s="30"/>
      <c r="DJ79" s="30"/>
      <c r="DK79" s="30"/>
      <c r="DL79" s="30"/>
      <c r="DM79" s="30"/>
      <c r="DN79" s="30"/>
      <c r="DO79" s="30"/>
      <c r="DP79" s="85"/>
      <c r="DQ79" s="85"/>
      <c r="DR79" s="70"/>
      <c r="DT79" s="81"/>
      <c r="DU79" s="30"/>
      <c r="DV79" s="30"/>
      <c r="DX79" s="30"/>
      <c r="DY79" s="30"/>
      <c r="DZ79" s="30"/>
      <c r="EA79" s="30"/>
      <c r="EB79" s="30"/>
      <c r="EC79" s="30"/>
      <c r="ED79" s="30"/>
      <c r="EE79" s="85"/>
      <c r="EF79" s="85"/>
      <c r="EG79" s="70"/>
      <c r="EI79" s="81"/>
      <c r="EJ79" s="30"/>
      <c r="EK79" s="30"/>
      <c r="EM79" s="30"/>
      <c r="EN79" s="30"/>
      <c r="EO79" s="30"/>
      <c r="EP79" s="30"/>
      <c r="EQ79" s="30"/>
      <c r="ER79" s="30"/>
      <c r="ES79" s="30"/>
      <c r="ET79" s="85"/>
      <c r="EU79" s="85"/>
      <c r="EV79" s="70"/>
    </row>
    <row r="80" spans="2:152">
      <c r="B80" s="11">
        <f t="shared" si="13"/>
        <v>0.17</v>
      </c>
      <c r="C80" s="28">
        <v>4.2</v>
      </c>
      <c r="D80" s="16"/>
      <c r="E80" s="8"/>
      <c r="F80" s="27">
        <f t="shared" si="14"/>
        <v>-7.6206896551724226</v>
      </c>
      <c r="G80" s="27">
        <f t="shared" si="15"/>
        <v>-1247.0890000000004</v>
      </c>
      <c r="H80" s="27">
        <f t="shared" si="16"/>
        <v>252.54616281769245</v>
      </c>
      <c r="I80" s="27">
        <f t="shared" si="17"/>
        <v>-4.9380635448428754</v>
      </c>
      <c r="J80" s="27">
        <f t="shared" si="18"/>
        <v>-6.1571125265392705E-2</v>
      </c>
      <c r="K80" s="27" t="e">
        <f t="shared" si="19"/>
        <v>#NUM!</v>
      </c>
      <c r="L80" s="27" t="e">
        <f t="shared" si="20"/>
        <v>#NUM!</v>
      </c>
      <c r="M80" s="17" t="e">
        <f t="shared" si="21"/>
        <v>#NUM!</v>
      </c>
      <c r="N80" s="17" t="e">
        <f t="shared" si="22"/>
        <v>#N/A</v>
      </c>
      <c r="O80" s="57" t="e">
        <f t="shared" si="23"/>
        <v>#N/A</v>
      </c>
      <c r="P80" s="17">
        <f t="shared" si="24"/>
        <v>0</v>
      </c>
      <c r="Q80" s="17">
        <f t="shared" si="25"/>
        <v>0</v>
      </c>
      <c r="S80" s="81"/>
      <c r="T80" s="30"/>
      <c r="U80" s="30"/>
      <c r="W80" s="30"/>
      <c r="X80" s="30"/>
      <c r="Y80" s="30"/>
      <c r="Z80" s="30"/>
      <c r="AA80" s="30"/>
      <c r="AB80" s="30"/>
      <c r="AC80" s="30"/>
      <c r="AD80" s="85"/>
      <c r="AE80" s="85"/>
      <c r="AF80" s="70"/>
      <c r="AH80" s="81"/>
      <c r="AI80" s="30"/>
      <c r="AJ80" s="30"/>
      <c r="AL80" s="30"/>
      <c r="AM80" s="30"/>
      <c r="AN80" s="30"/>
      <c r="AO80" s="30"/>
      <c r="AP80" s="30"/>
      <c r="AQ80" s="30"/>
      <c r="AR80" s="30"/>
      <c r="AS80" s="85"/>
      <c r="AT80" s="85"/>
      <c r="AU80" s="70"/>
      <c r="AW80" s="81"/>
      <c r="AX80" s="30"/>
      <c r="AY80" s="30"/>
      <c r="BA80" s="30"/>
      <c r="BB80" s="30"/>
      <c r="BC80" s="30"/>
      <c r="BD80" s="30"/>
      <c r="BE80" s="30"/>
      <c r="BF80" s="30"/>
      <c r="BG80" s="30"/>
      <c r="BH80" s="85"/>
      <c r="BI80" s="85"/>
      <c r="BJ80" s="70"/>
      <c r="BL80" s="81"/>
      <c r="BM80" s="30"/>
      <c r="BN80" s="30"/>
      <c r="BP80" s="30"/>
      <c r="BQ80" s="30"/>
      <c r="BR80" s="30"/>
      <c r="BS80" s="30"/>
      <c r="BT80" s="30"/>
      <c r="BU80" s="30"/>
      <c r="BV80" s="30"/>
      <c r="BW80" s="85"/>
      <c r="BX80" s="85"/>
      <c r="BY80" s="70"/>
      <c r="CA80" s="81"/>
      <c r="CB80" s="30"/>
      <c r="CC80" s="30"/>
      <c r="CE80" s="30"/>
      <c r="CF80" s="30"/>
      <c r="CG80" s="30"/>
      <c r="CH80" s="30"/>
      <c r="CI80" s="30"/>
      <c r="CJ80" s="30"/>
      <c r="CK80" s="30"/>
      <c r="CL80" s="85"/>
      <c r="CM80" s="85"/>
      <c r="CN80" s="70"/>
      <c r="CP80" s="81"/>
      <c r="CQ80" s="30"/>
      <c r="CR80" s="30"/>
      <c r="CT80" s="30"/>
      <c r="CU80" s="30"/>
      <c r="CV80" s="30"/>
      <c r="CW80" s="30"/>
      <c r="CX80" s="30"/>
      <c r="CY80" s="30"/>
      <c r="CZ80" s="30"/>
      <c r="DA80" s="85"/>
      <c r="DB80" s="85"/>
      <c r="DC80" s="70"/>
      <c r="DE80" s="81"/>
      <c r="DF80" s="30"/>
      <c r="DG80" s="30"/>
      <c r="DI80" s="30"/>
      <c r="DJ80" s="30"/>
      <c r="DK80" s="30"/>
      <c r="DL80" s="30"/>
      <c r="DM80" s="30"/>
      <c r="DN80" s="30"/>
      <c r="DO80" s="30"/>
      <c r="DP80" s="85"/>
      <c r="DQ80" s="85"/>
      <c r="DR80" s="70"/>
      <c r="DT80" s="81"/>
      <c r="DU80" s="30"/>
      <c r="DV80" s="30"/>
      <c r="DX80" s="30"/>
      <c r="DY80" s="30"/>
      <c r="DZ80" s="30"/>
      <c r="EA80" s="30"/>
      <c r="EB80" s="30"/>
      <c r="EC80" s="30"/>
      <c r="ED80" s="30"/>
      <c r="EE80" s="85"/>
      <c r="EF80" s="85"/>
      <c r="EG80" s="70"/>
      <c r="EI80" s="81"/>
      <c r="EJ80" s="30"/>
      <c r="EK80" s="30"/>
      <c r="EM80" s="30"/>
      <c r="EN80" s="30"/>
      <c r="EO80" s="30"/>
      <c r="EP80" s="30"/>
      <c r="EQ80" s="30"/>
      <c r="ER80" s="30"/>
      <c r="ES80" s="30"/>
      <c r="ET80" s="85"/>
      <c r="EU80" s="85"/>
      <c r="EV80" s="70"/>
    </row>
    <row r="81" spans="2:152">
      <c r="B81" s="11">
        <f t="shared" si="13"/>
        <v>0.17</v>
      </c>
      <c r="C81" s="28">
        <v>4.26</v>
      </c>
      <c r="D81" s="16"/>
      <c r="E81" s="8"/>
      <c r="F81" s="27">
        <f t="shared" si="14"/>
        <v>-8.4517958412098295</v>
      </c>
      <c r="G81" s="27">
        <f t="shared" si="15"/>
        <v>-1247.0889999999999</v>
      </c>
      <c r="H81" s="27">
        <f t="shared" si="16"/>
        <v>260.66520669282011</v>
      </c>
      <c r="I81" s="27">
        <f t="shared" si="17"/>
        <v>-4.784255696502016</v>
      </c>
      <c r="J81" s="27">
        <f t="shared" si="18"/>
        <v>-5.5854714391299756E-2</v>
      </c>
      <c r="K81" s="27" t="e">
        <f t="shared" si="19"/>
        <v>#NUM!</v>
      </c>
      <c r="L81" s="27" t="e">
        <f t="shared" si="20"/>
        <v>#NUM!</v>
      </c>
      <c r="M81" s="17" t="e">
        <f t="shared" si="21"/>
        <v>#NUM!</v>
      </c>
      <c r="N81" s="17" t="e">
        <f t="shared" si="22"/>
        <v>#N/A</v>
      </c>
      <c r="O81" s="57" t="e">
        <f t="shared" si="23"/>
        <v>#N/A</v>
      </c>
      <c r="P81" s="17">
        <f t="shared" si="24"/>
        <v>0</v>
      </c>
      <c r="Q81" s="17">
        <f t="shared" si="25"/>
        <v>0</v>
      </c>
      <c r="S81" s="81"/>
      <c r="T81" s="30"/>
      <c r="U81" s="30"/>
      <c r="W81" s="30"/>
      <c r="X81" s="30"/>
      <c r="Y81" s="30"/>
      <c r="Z81" s="30"/>
      <c r="AA81" s="30"/>
      <c r="AB81" s="30"/>
      <c r="AC81" s="30"/>
      <c r="AD81" s="85"/>
      <c r="AE81" s="85"/>
      <c r="AF81" s="70"/>
      <c r="AH81" s="81"/>
      <c r="AI81" s="30"/>
      <c r="AJ81" s="30"/>
      <c r="AL81" s="30"/>
      <c r="AM81" s="30"/>
      <c r="AN81" s="30"/>
      <c r="AO81" s="30"/>
      <c r="AP81" s="30"/>
      <c r="AQ81" s="30"/>
      <c r="AR81" s="30"/>
      <c r="AS81" s="85"/>
      <c r="AT81" s="85"/>
      <c r="AU81" s="70"/>
      <c r="AW81" s="81"/>
      <c r="AX81" s="30"/>
      <c r="AY81" s="30"/>
      <c r="BA81" s="30"/>
      <c r="BB81" s="30"/>
      <c r="BC81" s="30"/>
      <c r="BD81" s="30"/>
      <c r="BE81" s="30"/>
      <c r="BF81" s="30"/>
      <c r="BG81" s="30"/>
      <c r="BH81" s="85"/>
      <c r="BI81" s="85"/>
      <c r="BJ81" s="70"/>
      <c r="BL81" s="81"/>
      <c r="BM81" s="30"/>
      <c r="BN81" s="30"/>
      <c r="BP81" s="30"/>
      <c r="BQ81" s="30"/>
      <c r="BR81" s="30"/>
      <c r="BS81" s="30"/>
      <c r="BT81" s="30"/>
      <c r="BU81" s="30"/>
      <c r="BV81" s="30"/>
      <c r="BW81" s="85"/>
      <c r="BX81" s="85"/>
      <c r="BY81" s="70"/>
      <c r="CA81" s="81"/>
      <c r="CB81" s="30"/>
      <c r="CC81" s="30"/>
      <c r="CE81" s="30"/>
      <c r="CF81" s="30"/>
      <c r="CG81" s="30"/>
      <c r="CH81" s="30"/>
      <c r="CI81" s="30"/>
      <c r="CJ81" s="30"/>
      <c r="CK81" s="30"/>
      <c r="CL81" s="85"/>
      <c r="CM81" s="85"/>
      <c r="CN81" s="70"/>
      <c r="CP81" s="81"/>
      <c r="CQ81" s="30"/>
      <c r="CR81" s="30"/>
      <c r="CT81" s="30"/>
      <c r="CU81" s="30"/>
      <c r="CV81" s="30"/>
      <c r="CW81" s="30"/>
      <c r="CX81" s="30"/>
      <c r="CY81" s="30"/>
      <c r="CZ81" s="30"/>
      <c r="DA81" s="85"/>
      <c r="DB81" s="85"/>
      <c r="DC81" s="70"/>
      <c r="DE81" s="81"/>
      <c r="DF81" s="30"/>
      <c r="DG81" s="30"/>
      <c r="DI81" s="30"/>
      <c r="DJ81" s="30"/>
      <c r="DK81" s="30"/>
      <c r="DL81" s="30"/>
      <c r="DM81" s="30"/>
      <c r="DN81" s="30"/>
      <c r="DO81" s="30"/>
      <c r="DP81" s="85"/>
      <c r="DQ81" s="85"/>
      <c r="DR81" s="70"/>
      <c r="DT81" s="81"/>
      <c r="DU81" s="30"/>
      <c r="DV81" s="30"/>
      <c r="DX81" s="30"/>
      <c r="DY81" s="30"/>
      <c r="DZ81" s="30"/>
      <c r="EA81" s="30"/>
      <c r="EB81" s="30"/>
      <c r="EC81" s="30"/>
      <c r="ED81" s="30"/>
      <c r="EE81" s="85"/>
      <c r="EF81" s="85"/>
      <c r="EG81" s="70"/>
      <c r="EI81" s="81"/>
      <c r="EJ81" s="30"/>
      <c r="EK81" s="30"/>
      <c r="EM81" s="30"/>
      <c r="EN81" s="30"/>
      <c r="EO81" s="30"/>
      <c r="EP81" s="30"/>
      <c r="EQ81" s="30"/>
      <c r="ER81" s="30"/>
      <c r="ES81" s="30"/>
      <c r="ET81" s="85"/>
      <c r="EU81" s="85"/>
      <c r="EV81" s="70"/>
    </row>
    <row r="82" spans="2:152">
      <c r="B82" s="11">
        <f t="shared" si="13"/>
        <v>0.17</v>
      </c>
      <c r="C82" s="28">
        <v>4.32</v>
      </c>
      <c r="D82" s="16"/>
      <c r="E82" s="8"/>
      <c r="F82" s="27">
        <f t="shared" si="14"/>
        <v>-9.4602510460251139</v>
      </c>
      <c r="G82" s="27">
        <f t="shared" si="15"/>
        <v>-1247.0889999999997</v>
      </c>
      <c r="H82" s="27">
        <f t="shared" si="16"/>
        <v>268.78425056794799</v>
      </c>
      <c r="I82" s="27">
        <f t="shared" si="17"/>
        <v>-4.6397398559062477</v>
      </c>
      <c r="J82" s="27">
        <f t="shared" si="18"/>
        <v>-5.0199537912203274E-2</v>
      </c>
      <c r="K82" s="27" t="e">
        <f t="shared" si="19"/>
        <v>#NUM!</v>
      </c>
      <c r="L82" s="27" t="e">
        <f t="shared" si="20"/>
        <v>#NUM!</v>
      </c>
      <c r="M82" s="17" t="e">
        <f t="shared" si="21"/>
        <v>#NUM!</v>
      </c>
      <c r="N82" s="17" t="e">
        <f t="shared" si="22"/>
        <v>#N/A</v>
      </c>
      <c r="O82" s="57" t="e">
        <f t="shared" si="23"/>
        <v>#N/A</v>
      </c>
      <c r="P82" s="17">
        <f t="shared" si="24"/>
        <v>0</v>
      </c>
      <c r="Q82" s="17">
        <f t="shared" si="25"/>
        <v>0</v>
      </c>
      <c r="S82" s="81"/>
      <c r="T82" s="30"/>
      <c r="U82" s="30"/>
      <c r="W82" s="30"/>
      <c r="X82" s="30"/>
      <c r="Y82" s="30"/>
      <c r="Z82" s="30"/>
      <c r="AA82" s="30"/>
      <c r="AB82" s="30"/>
      <c r="AC82" s="30"/>
      <c r="AD82" s="85"/>
      <c r="AE82" s="85"/>
      <c r="AF82" s="70"/>
      <c r="AH82" s="81"/>
      <c r="AI82" s="30"/>
      <c r="AJ82" s="30"/>
      <c r="AL82" s="30"/>
      <c r="AM82" s="30"/>
      <c r="AN82" s="30"/>
      <c r="AO82" s="30"/>
      <c r="AP82" s="30"/>
      <c r="AQ82" s="30"/>
      <c r="AR82" s="30"/>
      <c r="AS82" s="85"/>
      <c r="AT82" s="85"/>
      <c r="AU82" s="70"/>
      <c r="AW82" s="81"/>
      <c r="AX82" s="30"/>
      <c r="AY82" s="30"/>
      <c r="BA82" s="30"/>
      <c r="BB82" s="30"/>
      <c r="BC82" s="30"/>
      <c r="BD82" s="30"/>
      <c r="BE82" s="30"/>
      <c r="BF82" s="30"/>
      <c r="BG82" s="30"/>
      <c r="BH82" s="85"/>
      <c r="BI82" s="85"/>
      <c r="BJ82" s="70"/>
      <c r="BL82" s="81"/>
      <c r="BM82" s="30"/>
      <c r="BN82" s="30"/>
      <c r="BP82" s="30"/>
      <c r="BQ82" s="30"/>
      <c r="BR82" s="30"/>
      <c r="BS82" s="30"/>
      <c r="BT82" s="30"/>
      <c r="BU82" s="30"/>
      <c r="BV82" s="30"/>
      <c r="BW82" s="85"/>
      <c r="BX82" s="85"/>
      <c r="BY82" s="70"/>
      <c r="CA82" s="81"/>
      <c r="CB82" s="30"/>
      <c r="CC82" s="30"/>
      <c r="CE82" s="30"/>
      <c r="CF82" s="30"/>
      <c r="CG82" s="30"/>
      <c r="CH82" s="30"/>
      <c r="CI82" s="30"/>
      <c r="CJ82" s="30"/>
      <c r="CK82" s="30"/>
      <c r="CL82" s="85"/>
      <c r="CM82" s="85"/>
      <c r="CN82" s="70"/>
      <c r="CP82" s="81"/>
      <c r="CQ82" s="30"/>
      <c r="CR82" s="30"/>
      <c r="CT82" s="30"/>
      <c r="CU82" s="30"/>
      <c r="CV82" s="30"/>
      <c r="CW82" s="30"/>
      <c r="CX82" s="30"/>
      <c r="CY82" s="30"/>
      <c r="CZ82" s="30"/>
      <c r="DA82" s="85"/>
      <c r="DB82" s="85"/>
      <c r="DC82" s="70"/>
      <c r="DE82" s="81"/>
      <c r="DF82" s="30"/>
      <c r="DG82" s="30"/>
      <c r="DI82" s="30"/>
      <c r="DJ82" s="30"/>
      <c r="DK82" s="30"/>
      <c r="DL82" s="30"/>
      <c r="DM82" s="30"/>
      <c r="DN82" s="30"/>
      <c r="DO82" s="30"/>
      <c r="DP82" s="85"/>
      <c r="DQ82" s="85"/>
      <c r="DR82" s="70"/>
      <c r="DT82" s="81"/>
      <c r="DU82" s="30"/>
      <c r="DV82" s="30"/>
      <c r="DX82" s="30"/>
      <c r="DY82" s="30"/>
      <c r="DZ82" s="30"/>
      <c r="EA82" s="30"/>
      <c r="EB82" s="30"/>
      <c r="EC82" s="30"/>
      <c r="ED82" s="30"/>
      <c r="EE82" s="85"/>
      <c r="EF82" s="85"/>
      <c r="EG82" s="70"/>
      <c r="EI82" s="81"/>
      <c r="EJ82" s="30"/>
      <c r="EK82" s="30"/>
      <c r="EM82" s="30"/>
      <c r="EN82" s="30"/>
      <c r="EO82" s="30"/>
      <c r="EP82" s="30"/>
      <c r="EQ82" s="30"/>
      <c r="ER82" s="30"/>
      <c r="ES82" s="30"/>
      <c r="ET82" s="85"/>
      <c r="EU82" s="85"/>
      <c r="EV82" s="70"/>
    </row>
    <row r="83" spans="2:152">
      <c r="B83" s="11">
        <f t="shared" si="13"/>
        <v>0.17</v>
      </c>
      <c r="C83" s="28">
        <v>4.38</v>
      </c>
      <c r="D83" s="16"/>
      <c r="E83" s="8"/>
      <c r="F83" s="27">
        <f t="shared" si="14"/>
        <v>-10.709601873536311</v>
      </c>
      <c r="G83" s="27">
        <f t="shared" si="15"/>
        <v>-1247.0890000000004</v>
      </c>
      <c r="H83" s="27">
        <f t="shared" si="16"/>
        <v>276.90329444307542</v>
      </c>
      <c r="I83" s="27">
        <f t="shared" si="17"/>
        <v>-4.5036986739656557</v>
      </c>
      <c r="J83" s="27">
        <f t="shared" si="18"/>
        <v>-4.4604617152407773E-2</v>
      </c>
      <c r="K83" s="27" t="e">
        <f t="shared" si="19"/>
        <v>#NUM!</v>
      </c>
      <c r="L83" s="27" t="e">
        <f t="shared" si="20"/>
        <v>#NUM!</v>
      </c>
      <c r="M83" s="17" t="e">
        <f t="shared" si="21"/>
        <v>#NUM!</v>
      </c>
      <c r="N83" s="17" t="e">
        <f t="shared" si="22"/>
        <v>#N/A</v>
      </c>
      <c r="O83" s="57" t="e">
        <f t="shared" si="23"/>
        <v>#N/A</v>
      </c>
      <c r="P83" s="17">
        <f t="shared" si="24"/>
        <v>0</v>
      </c>
      <c r="Q83" s="17">
        <f t="shared" si="25"/>
        <v>0</v>
      </c>
      <c r="S83" s="81"/>
      <c r="T83" s="30"/>
      <c r="U83" s="30"/>
      <c r="W83" s="30"/>
      <c r="X83" s="30"/>
      <c r="Y83" s="30"/>
      <c r="Z83" s="30"/>
      <c r="AA83" s="30"/>
      <c r="AB83" s="30"/>
      <c r="AC83" s="30"/>
      <c r="AD83" s="85"/>
      <c r="AE83" s="85"/>
      <c r="AF83" s="70"/>
      <c r="AH83" s="81"/>
      <c r="AI83" s="30"/>
      <c r="AJ83" s="30"/>
      <c r="AL83" s="30"/>
      <c r="AM83" s="30"/>
      <c r="AN83" s="30"/>
      <c r="AO83" s="30"/>
      <c r="AP83" s="30"/>
      <c r="AQ83" s="30"/>
      <c r="AR83" s="30"/>
      <c r="AS83" s="85"/>
      <c r="AT83" s="85"/>
      <c r="AU83" s="70"/>
      <c r="AW83" s="81"/>
      <c r="AX83" s="30"/>
      <c r="AY83" s="30"/>
      <c r="BA83" s="30"/>
      <c r="BB83" s="30"/>
      <c r="BC83" s="30"/>
      <c r="BD83" s="30"/>
      <c r="BE83" s="30"/>
      <c r="BF83" s="30"/>
      <c r="BG83" s="30"/>
      <c r="BH83" s="85"/>
      <c r="BI83" s="85"/>
      <c r="BJ83" s="70"/>
      <c r="BL83" s="81"/>
      <c r="BM83" s="30"/>
      <c r="BN83" s="30"/>
      <c r="BP83" s="30"/>
      <c r="BQ83" s="30"/>
      <c r="BR83" s="30"/>
      <c r="BS83" s="30"/>
      <c r="BT83" s="30"/>
      <c r="BU83" s="30"/>
      <c r="BV83" s="30"/>
      <c r="BW83" s="85"/>
      <c r="BX83" s="85"/>
      <c r="BY83" s="70"/>
      <c r="CA83" s="81"/>
      <c r="CB83" s="30"/>
      <c r="CC83" s="30"/>
      <c r="CE83" s="30"/>
      <c r="CF83" s="30"/>
      <c r="CG83" s="30"/>
      <c r="CH83" s="30"/>
      <c r="CI83" s="30"/>
      <c r="CJ83" s="30"/>
      <c r="CK83" s="30"/>
      <c r="CL83" s="85"/>
      <c r="CM83" s="85"/>
      <c r="CN83" s="70"/>
      <c r="CP83" s="81"/>
      <c r="CQ83" s="30"/>
      <c r="CR83" s="30"/>
      <c r="CT83" s="30"/>
      <c r="CU83" s="30"/>
      <c r="CV83" s="30"/>
      <c r="CW83" s="30"/>
      <c r="CX83" s="30"/>
      <c r="CY83" s="30"/>
      <c r="CZ83" s="30"/>
      <c r="DA83" s="85"/>
      <c r="DB83" s="85"/>
      <c r="DC83" s="70"/>
      <c r="DE83" s="81"/>
      <c r="DF83" s="30"/>
      <c r="DG83" s="30"/>
      <c r="DI83" s="30"/>
      <c r="DJ83" s="30"/>
      <c r="DK83" s="30"/>
      <c r="DL83" s="30"/>
      <c r="DM83" s="30"/>
      <c r="DN83" s="30"/>
      <c r="DO83" s="30"/>
      <c r="DP83" s="85"/>
      <c r="DQ83" s="85"/>
      <c r="DR83" s="70"/>
      <c r="DT83" s="81"/>
      <c r="DU83" s="30"/>
      <c r="DV83" s="30"/>
      <c r="DX83" s="30"/>
      <c r="DY83" s="30"/>
      <c r="DZ83" s="30"/>
      <c r="EA83" s="30"/>
      <c r="EB83" s="30"/>
      <c r="EC83" s="30"/>
      <c r="ED83" s="30"/>
      <c r="EE83" s="85"/>
      <c r="EF83" s="85"/>
      <c r="EG83" s="70"/>
      <c r="EI83" s="81"/>
      <c r="EJ83" s="30"/>
      <c r="EK83" s="30"/>
      <c r="EM83" s="30"/>
      <c r="EN83" s="30"/>
      <c r="EO83" s="30"/>
      <c r="EP83" s="30"/>
      <c r="EQ83" s="30"/>
      <c r="ER83" s="30"/>
      <c r="ES83" s="30"/>
      <c r="ET83" s="85"/>
      <c r="EU83" s="85"/>
      <c r="EV83" s="70"/>
    </row>
    <row r="84" spans="2:152">
      <c r="B84" s="11">
        <f t="shared" si="13"/>
        <v>0.17</v>
      </c>
      <c r="C84" s="28">
        <v>4.4400000000000004</v>
      </c>
      <c r="D84" s="16"/>
      <c r="E84" s="8"/>
      <c r="F84" s="27">
        <f t="shared" si="14"/>
        <v>-12.297872340425563</v>
      </c>
      <c r="G84" s="27">
        <f t="shared" si="15"/>
        <v>-1247.0890000000004</v>
      </c>
      <c r="H84" s="27">
        <f t="shared" si="16"/>
        <v>285.02233831820308</v>
      </c>
      <c r="I84" s="27">
        <f t="shared" si="17"/>
        <v>-4.3754079324397797</v>
      </c>
      <c r="J84" s="27">
        <f t="shared" si="18"/>
        <v>-3.9068994181213533E-2</v>
      </c>
      <c r="K84" s="27" t="e">
        <f t="shared" si="19"/>
        <v>#NUM!</v>
      </c>
      <c r="L84" s="27" t="e">
        <f t="shared" si="20"/>
        <v>#NUM!</v>
      </c>
      <c r="M84" s="17" t="e">
        <f t="shared" si="21"/>
        <v>#NUM!</v>
      </c>
      <c r="N84" s="17" t="e">
        <f t="shared" si="22"/>
        <v>#N/A</v>
      </c>
      <c r="O84" s="57" t="e">
        <f t="shared" si="23"/>
        <v>#N/A</v>
      </c>
      <c r="P84" s="17">
        <f t="shared" si="24"/>
        <v>0</v>
      </c>
      <c r="Q84" s="17">
        <f t="shared" si="25"/>
        <v>0</v>
      </c>
      <c r="S84" s="81"/>
      <c r="T84" s="30"/>
      <c r="U84" s="30"/>
      <c r="W84" s="30"/>
      <c r="X84" s="30"/>
      <c r="Y84" s="30"/>
      <c r="Z84" s="30"/>
      <c r="AA84" s="30"/>
      <c r="AB84" s="30"/>
      <c r="AC84" s="30"/>
      <c r="AD84" s="85"/>
      <c r="AE84" s="85"/>
      <c r="AF84" s="70"/>
      <c r="AH84" s="81"/>
      <c r="AI84" s="30"/>
      <c r="AJ84" s="30"/>
      <c r="AL84" s="30"/>
      <c r="AM84" s="30"/>
      <c r="AN84" s="30"/>
      <c r="AO84" s="30"/>
      <c r="AP84" s="30"/>
      <c r="AQ84" s="30"/>
      <c r="AR84" s="30"/>
      <c r="AS84" s="85"/>
      <c r="AT84" s="85"/>
      <c r="AU84" s="70"/>
      <c r="AW84" s="81"/>
      <c r="AX84" s="30"/>
      <c r="AY84" s="30"/>
      <c r="BA84" s="30"/>
      <c r="BB84" s="30"/>
      <c r="BC84" s="30"/>
      <c r="BD84" s="30"/>
      <c r="BE84" s="30"/>
      <c r="BF84" s="30"/>
      <c r="BG84" s="30"/>
      <c r="BH84" s="85"/>
      <c r="BI84" s="85"/>
      <c r="BJ84" s="70"/>
      <c r="BL84" s="81"/>
      <c r="BM84" s="30"/>
      <c r="BN84" s="30"/>
      <c r="BP84" s="30"/>
      <c r="BQ84" s="30"/>
      <c r="BR84" s="30"/>
      <c r="BS84" s="30"/>
      <c r="BT84" s="30"/>
      <c r="BU84" s="30"/>
      <c r="BV84" s="30"/>
      <c r="BW84" s="85"/>
      <c r="BX84" s="85"/>
      <c r="BY84" s="70"/>
      <c r="CA84" s="81"/>
      <c r="CB84" s="30"/>
      <c r="CC84" s="30"/>
      <c r="CE84" s="30"/>
      <c r="CF84" s="30"/>
      <c r="CG84" s="30"/>
      <c r="CH84" s="30"/>
      <c r="CI84" s="30"/>
      <c r="CJ84" s="30"/>
      <c r="CK84" s="30"/>
      <c r="CL84" s="85"/>
      <c r="CM84" s="85"/>
      <c r="CN84" s="70"/>
      <c r="CP84" s="81"/>
      <c r="CQ84" s="30"/>
      <c r="CR84" s="30"/>
      <c r="CT84" s="30"/>
      <c r="CU84" s="30"/>
      <c r="CV84" s="30"/>
      <c r="CW84" s="30"/>
      <c r="CX84" s="30"/>
      <c r="CY84" s="30"/>
      <c r="CZ84" s="30"/>
      <c r="DA84" s="85"/>
      <c r="DB84" s="85"/>
      <c r="DC84" s="70"/>
      <c r="DE84" s="81"/>
      <c r="DF84" s="30"/>
      <c r="DG84" s="30"/>
      <c r="DI84" s="30"/>
      <c r="DJ84" s="30"/>
      <c r="DK84" s="30"/>
      <c r="DL84" s="30"/>
      <c r="DM84" s="30"/>
      <c r="DN84" s="30"/>
      <c r="DO84" s="30"/>
      <c r="DP84" s="85"/>
      <c r="DQ84" s="85"/>
      <c r="DR84" s="70"/>
      <c r="DT84" s="81"/>
      <c r="DU84" s="30"/>
      <c r="DV84" s="30"/>
      <c r="DX84" s="30"/>
      <c r="DY84" s="30"/>
      <c r="DZ84" s="30"/>
      <c r="EA84" s="30"/>
      <c r="EB84" s="30"/>
      <c r="EC84" s="30"/>
      <c r="ED84" s="30"/>
      <c r="EE84" s="85"/>
      <c r="EF84" s="85"/>
      <c r="EG84" s="70"/>
      <c r="EI84" s="81"/>
      <c r="EJ84" s="30"/>
      <c r="EK84" s="30"/>
      <c r="EM84" s="30"/>
      <c r="EN84" s="30"/>
      <c r="EO84" s="30"/>
      <c r="EP84" s="30"/>
      <c r="EQ84" s="30"/>
      <c r="ER84" s="30"/>
      <c r="ES84" s="30"/>
      <c r="ET84" s="85"/>
      <c r="EU84" s="85"/>
      <c r="EV84" s="70"/>
    </row>
    <row r="85" spans="2:152">
      <c r="B85" s="11">
        <f t="shared" si="13"/>
        <v>0.17</v>
      </c>
      <c r="C85" s="28">
        <v>4.5</v>
      </c>
      <c r="D85" s="16"/>
      <c r="E85" s="8"/>
      <c r="F85" s="27">
        <f t="shared" si="14"/>
        <v>-14.384615384615397</v>
      </c>
      <c r="G85" s="27">
        <f t="shared" si="15"/>
        <v>-1247.0890000000002</v>
      </c>
      <c r="H85" s="27">
        <f t="shared" si="16"/>
        <v>293.14138219333074</v>
      </c>
      <c r="I85" s="27">
        <f t="shared" si="17"/>
        <v>-4.2542236468596846</v>
      </c>
      <c r="J85" s="27">
        <f t="shared" si="18"/>
        <v>-3.3591731266149845E-2</v>
      </c>
      <c r="K85" s="27" t="e">
        <f t="shared" si="19"/>
        <v>#NUM!</v>
      </c>
      <c r="L85" s="27" t="e">
        <f t="shared" si="20"/>
        <v>#NUM!</v>
      </c>
      <c r="M85" s="17" t="e">
        <f t="shared" si="21"/>
        <v>#NUM!</v>
      </c>
      <c r="N85" s="17" t="e">
        <f t="shared" si="22"/>
        <v>#N/A</v>
      </c>
      <c r="O85" s="57" t="e">
        <f t="shared" si="23"/>
        <v>#N/A</v>
      </c>
      <c r="P85" s="17">
        <f t="shared" si="24"/>
        <v>0</v>
      </c>
      <c r="Q85" s="17">
        <f t="shared" si="25"/>
        <v>0</v>
      </c>
      <c r="S85" s="81"/>
      <c r="T85" s="30"/>
      <c r="U85" s="30"/>
      <c r="W85" s="30"/>
      <c r="X85" s="30"/>
      <c r="Y85" s="30"/>
      <c r="Z85" s="30"/>
      <c r="AA85" s="30"/>
      <c r="AB85" s="30"/>
      <c r="AC85" s="30"/>
      <c r="AD85" s="85"/>
      <c r="AE85" s="85"/>
      <c r="AF85" s="70"/>
      <c r="AH85" s="81"/>
      <c r="AI85" s="30"/>
      <c r="AJ85" s="30"/>
      <c r="AL85" s="30"/>
      <c r="AM85" s="30"/>
      <c r="AN85" s="30"/>
      <c r="AO85" s="30"/>
      <c r="AP85" s="30"/>
      <c r="AQ85" s="30"/>
      <c r="AR85" s="30"/>
      <c r="AS85" s="85"/>
      <c r="AT85" s="85"/>
      <c r="AU85" s="70"/>
      <c r="AW85" s="81"/>
      <c r="AX85" s="30"/>
      <c r="AY85" s="30"/>
      <c r="BA85" s="30"/>
      <c r="BB85" s="30"/>
      <c r="BC85" s="30"/>
      <c r="BD85" s="30"/>
      <c r="BE85" s="30"/>
      <c r="BF85" s="30"/>
      <c r="BG85" s="30"/>
      <c r="BH85" s="85"/>
      <c r="BI85" s="85"/>
      <c r="BJ85" s="70"/>
      <c r="BL85" s="81"/>
      <c r="BM85" s="30"/>
      <c r="BN85" s="30"/>
      <c r="BP85" s="30"/>
      <c r="BQ85" s="30"/>
      <c r="BR85" s="30"/>
      <c r="BS85" s="30"/>
      <c r="BT85" s="30"/>
      <c r="BU85" s="30"/>
      <c r="BV85" s="30"/>
      <c r="BW85" s="85"/>
      <c r="BX85" s="85"/>
      <c r="BY85" s="70"/>
      <c r="CA85" s="81"/>
      <c r="CB85" s="30"/>
      <c r="CC85" s="30"/>
      <c r="CE85" s="30"/>
      <c r="CF85" s="30"/>
      <c r="CG85" s="30"/>
      <c r="CH85" s="30"/>
      <c r="CI85" s="30"/>
      <c r="CJ85" s="30"/>
      <c r="CK85" s="30"/>
      <c r="CL85" s="85"/>
      <c r="CM85" s="85"/>
      <c r="CN85" s="70"/>
      <c r="CP85" s="81"/>
      <c r="CQ85" s="30"/>
      <c r="CR85" s="30"/>
      <c r="CT85" s="30"/>
      <c r="CU85" s="30"/>
      <c r="CV85" s="30"/>
      <c r="CW85" s="30"/>
      <c r="CX85" s="30"/>
      <c r="CY85" s="30"/>
      <c r="CZ85" s="30"/>
      <c r="DA85" s="85"/>
      <c r="DB85" s="85"/>
      <c r="DC85" s="70"/>
      <c r="DE85" s="81"/>
      <c r="DF85" s="30"/>
      <c r="DG85" s="30"/>
      <c r="DI85" s="30"/>
      <c r="DJ85" s="30"/>
      <c r="DK85" s="30"/>
      <c r="DL85" s="30"/>
      <c r="DM85" s="30"/>
      <c r="DN85" s="30"/>
      <c r="DO85" s="30"/>
      <c r="DP85" s="85"/>
      <c r="DQ85" s="85"/>
      <c r="DR85" s="70"/>
      <c r="DT85" s="81"/>
      <c r="DU85" s="30"/>
      <c r="DV85" s="30"/>
      <c r="DX85" s="30"/>
      <c r="DY85" s="30"/>
      <c r="DZ85" s="30"/>
      <c r="EA85" s="30"/>
      <c r="EB85" s="30"/>
      <c r="EC85" s="30"/>
      <c r="ED85" s="30"/>
      <c r="EE85" s="85"/>
      <c r="EF85" s="85"/>
      <c r="EG85" s="70"/>
      <c r="EI85" s="81"/>
      <c r="EJ85" s="30"/>
      <c r="EK85" s="30"/>
      <c r="EM85" s="30"/>
      <c r="EN85" s="30"/>
      <c r="EO85" s="30"/>
      <c r="EP85" s="30"/>
      <c r="EQ85" s="30"/>
      <c r="ER85" s="30"/>
      <c r="ES85" s="30"/>
      <c r="ET85" s="85"/>
      <c r="EU85" s="85"/>
      <c r="EV85" s="70"/>
    </row>
    <row r="86" spans="2:152">
      <c r="B86" s="11">
        <f t="shared" si="13"/>
        <v>0.17</v>
      </c>
      <c r="C86" s="28">
        <v>4.5599999999999996</v>
      </c>
      <c r="D86" s="16"/>
      <c r="E86" s="8"/>
      <c r="F86" s="27">
        <f t="shared" si="14"/>
        <v>-17.248175182481766</v>
      </c>
      <c r="G86" s="27">
        <f t="shared" si="15"/>
        <v>-1247.0889999999995</v>
      </c>
      <c r="H86" s="27">
        <f t="shared" si="16"/>
        <v>301.26042606845851</v>
      </c>
      <c r="I86" s="27">
        <f t="shared" si="17"/>
        <v>-4.1395712549268273</v>
      </c>
      <c r="J86" s="27">
        <f t="shared" si="18"/>
        <v>-2.81719103434094E-2</v>
      </c>
      <c r="K86" s="27" t="e">
        <f t="shared" si="19"/>
        <v>#NUM!</v>
      </c>
      <c r="L86" s="27" t="e">
        <f t="shared" si="20"/>
        <v>#NUM!</v>
      </c>
      <c r="M86" s="17" t="e">
        <f t="shared" si="21"/>
        <v>#NUM!</v>
      </c>
      <c r="N86" s="17" t="e">
        <f t="shared" si="22"/>
        <v>#N/A</v>
      </c>
      <c r="O86" s="57" t="e">
        <f t="shared" si="23"/>
        <v>#N/A</v>
      </c>
      <c r="P86" s="17">
        <f t="shared" si="24"/>
        <v>0</v>
      </c>
      <c r="Q86" s="17">
        <f t="shared" si="25"/>
        <v>0</v>
      </c>
      <c r="S86" s="81"/>
      <c r="T86" s="30"/>
      <c r="U86" s="30"/>
      <c r="W86" s="30"/>
      <c r="X86" s="30"/>
      <c r="Y86" s="30"/>
      <c r="Z86" s="30"/>
      <c r="AA86" s="30"/>
      <c r="AB86" s="30"/>
      <c r="AC86" s="30"/>
      <c r="AD86" s="85"/>
      <c r="AE86" s="85"/>
      <c r="AF86" s="70"/>
      <c r="AH86" s="81"/>
      <c r="AI86" s="30"/>
      <c r="AJ86" s="30"/>
      <c r="AL86" s="30"/>
      <c r="AM86" s="30"/>
      <c r="AN86" s="30"/>
      <c r="AO86" s="30"/>
      <c r="AP86" s="30"/>
      <c r="AQ86" s="30"/>
      <c r="AR86" s="30"/>
      <c r="AS86" s="85"/>
      <c r="AT86" s="85"/>
      <c r="AU86" s="70"/>
      <c r="AW86" s="81"/>
      <c r="AX86" s="30"/>
      <c r="AY86" s="30"/>
      <c r="BA86" s="30"/>
      <c r="BB86" s="30"/>
      <c r="BC86" s="30"/>
      <c r="BD86" s="30"/>
      <c r="BE86" s="30"/>
      <c r="BF86" s="30"/>
      <c r="BG86" s="30"/>
      <c r="BH86" s="85"/>
      <c r="BI86" s="85"/>
      <c r="BJ86" s="70"/>
      <c r="BL86" s="81"/>
      <c r="BM86" s="30"/>
      <c r="BN86" s="30"/>
      <c r="BP86" s="30"/>
      <c r="BQ86" s="30"/>
      <c r="BR86" s="30"/>
      <c r="BS86" s="30"/>
      <c r="BT86" s="30"/>
      <c r="BU86" s="30"/>
      <c r="BV86" s="30"/>
      <c r="BW86" s="85"/>
      <c r="BX86" s="85"/>
      <c r="BY86" s="70"/>
      <c r="CA86" s="81"/>
      <c r="CB86" s="30"/>
      <c r="CC86" s="30"/>
      <c r="CE86" s="30"/>
      <c r="CF86" s="30"/>
      <c r="CG86" s="30"/>
      <c r="CH86" s="30"/>
      <c r="CI86" s="30"/>
      <c r="CJ86" s="30"/>
      <c r="CK86" s="30"/>
      <c r="CL86" s="85"/>
      <c r="CM86" s="85"/>
      <c r="CN86" s="70"/>
      <c r="CP86" s="81"/>
      <c r="CQ86" s="30"/>
      <c r="CR86" s="30"/>
      <c r="CT86" s="30"/>
      <c r="CU86" s="30"/>
      <c r="CV86" s="30"/>
      <c r="CW86" s="30"/>
      <c r="CX86" s="30"/>
      <c r="CY86" s="30"/>
      <c r="CZ86" s="30"/>
      <c r="DA86" s="85"/>
      <c r="DB86" s="85"/>
      <c r="DC86" s="70"/>
      <c r="DE86" s="81"/>
      <c r="DF86" s="30"/>
      <c r="DG86" s="30"/>
      <c r="DI86" s="30"/>
      <c r="DJ86" s="30"/>
      <c r="DK86" s="30"/>
      <c r="DL86" s="30"/>
      <c r="DM86" s="30"/>
      <c r="DN86" s="30"/>
      <c r="DO86" s="30"/>
      <c r="DP86" s="85"/>
      <c r="DQ86" s="85"/>
      <c r="DR86" s="70"/>
      <c r="DT86" s="81"/>
      <c r="DU86" s="30"/>
      <c r="DV86" s="30"/>
      <c r="DX86" s="30"/>
      <c r="DY86" s="30"/>
      <c r="DZ86" s="30"/>
      <c r="EA86" s="30"/>
      <c r="EB86" s="30"/>
      <c r="EC86" s="30"/>
      <c r="ED86" s="30"/>
      <c r="EE86" s="85"/>
      <c r="EF86" s="85"/>
      <c r="EG86" s="70"/>
      <c r="EI86" s="81"/>
      <c r="EJ86" s="30"/>
      <c r="EK86" s="30"/>
      <c r="EM86" s="30"/>
      <c r="EN86" s="30"/>
      <c r="EO86" s="30"/>
      <c r="EP86" s="30"/>
      <c r="EQ86" s="30"/>
      <c r="ER86" s="30"/>
      <c r="ES86" s="30"/>
      <c r="ET86" s="85"/>
      <c r="EU86" s="85"/>
      <c r="EV86" s="70"/>
    </row>
    <row r="87" spans="2:152">
      <c r="B87" s="11">
        <f t="shared" si="13"/>
        <v>0.17</v>
      </c>
      <c r="C87" s="28">
        <v>4.62</v>
      </c>
      <c r="D87" s="16"/>
      <c r="E87" s="8"/>
      <c r="F87" s="27">
        <f t="shared" si="14"/>
        <v>-21.4215246636772</v>
      </c>
      <c r="G87" s="27">
        <f t="shared" si="15"/>
        <v>-1247.0889999999999</v>
      </c>
      <c r="H87" s="27">
        <f t="shared" si="16"/>
        <v>309.37946994358617</v>
      </c>
      <c r="I87" s="27">
        <f t="shared" si="17"/>
        <v>-4.0309365072847285</v>
      </c>
      <c r="J87" s="27">
        <f t="shared" si="18"/>
        <v>-2.2808632504858269E-2</v>
      </c>
      <c r="K87" s="27" t="e">
        <f t="shared" si="19"/>
        <v>#NUM!</v>
      </c>
      <c r="L87" s="27" t="e">
        <f t="shared" si="20"/>
        <v>#NUM!</v>
      </c>
      <c r="M87" s="17" t="e">
        <f t="shared" si="21"/>
        <v>#NUM!</v>
      </c>
      <c r="N87" s="17" t="e">
        <f t="shared" si="22"/>
        <v>#N/A</v>
      </c>
      <c r="O87" s="57" t="e">
        <f t="shared" si="23"/>
        <v>#N/A</v>
      </c>
      <c r="P87" s="17">
        <f t="shared" si="24"/>
        <v>0</v>
      </c>
      <c r="Q87" s="17">
        <f t="shared" si="25"/>
        <v>0</v>
      </c>
      <c r="S87" s="81"/>
      <c r="T87" s="30"/>
      <c r="U87" s="30"/>
      <c r="W87" s="30"/>
      <c r="X87" s="30"/>
      <c r="Y87" s="30"/>
      <c r="Z87" s="30"/>
      <c r="AA87" s="30"/>
      <c r="AB87" s="30"/>
      <c r="AC87" s="30"/>
      <c r="AD87" s="85"/>
      <c r="AE87" s="85"/>
      <c r="AF87" s="70"/>
      <c r="AH87" s="81"/>
      <c r="AI87" s="30"/>
      <c r="AJ87" s="30"/>
      <c r="AL87" s="30"/>
      <c r="AM87" s="30"/>
      <c r="AN87" s="30"/>
      <c r="AO87" s="30"/>
      <c r="AP87" s="30"/>
      <c r="AQ87" s="30"/>
      <c r="AR87" s="30"/>
      <c r="AS87" s="85"/>
      <c r="AT87" s="85"/>
      <c r="AU87" s="70"/>
      <c r="AW87" s="81"/>
      <c r="AX87" s="30"/>
      <c r="AY87" s="30"/>
      <c r="BA87" s="30"/>
      <c r="BB87" s="30"/>
      <c r="BC87" s="30"/>
      <c r="BD87" s="30"/>
      <c r="BE87" s="30"/>
      <c r="BF87" s="30"/>
      <c r="BG87" s="30"/>
      <c r="BH87" s="85"/>
      <c r="BI87" s="85"/>
      <c r="BJ87" s="70"/>
      <c r="BL87" s="81"/>
      <c r="BM87" s="30"/>
      <c r="BN87" s="30"/>
      <c r="BP87" s="30"/>
      <c r="BQ87" s="30"/>
      <c r="BR87" s="30"/>
      <c r="BS87" s="30"/>
      <c r="BT87" s="30"/>
      <c r="BU87" s="30"/>
      <c r="BV87" s="30"/>
      <c r="BW87" s="85"/>
      <c r="BX87" s="85"/>
      <c r="BY87" s="70"/>
      <c r="CA87" s="81"/>
      <c r="CB87" s="30"/>
      <c r="CC87" s="30"/>
      <c r="CE87" s="30"/>
      <c r="CF87" s="30"/>
      <c r="CG87" s="30"/>
      <c r="CH87" s="30"/>
      <c r="CI87" s="30"/>
      <c r="CJ87" s="30"/>
      <c r="CK87" s="30"/>
      <c r="CL87" s="85"/>
      <c r="CM87" s="85"/>
      <c r="CN87" s="70"/>
      <c r="CP87" s="81"/>
      <c r="CQ87" s="30"/>
      <c r="CR87" s="30"/>
      <c r="CT87" s="30"/>
      <c r="CU87" s="30"/>
      <c r="CV87" s="30"/>
      <c r="CW87" s="30"/>
      <c r="CX87" s="30"/>
      <c r="CY87" s="30"/>
      <c r="CZ87" s="30"/>
      <c r="DA87" s="85"/>
      <c r="DB87" s="85"/>
      <c r="DC87" s="70"/>
      <c r="DE87" s="81"/>
      <c r="DF87" s="30"/>
      <c r="DG87" s="30"/>
      <c r="DI87" s="30"/>
      <c r="DJ87" s="30"/>
      <c r="DK87" s="30"/>
      <c r="DL87" s="30"/>
      <c r="DM87" s="30"/>
      <c r="DN87" s="30"/>
      <c r="DO87" s="30"/>
      <c r="DP87" s="85"/>
      <c r="DQ87" s="85"/>
      <c r="DR87" s="70"/>
      <c r="DT87" s="81"/>
      <c r="DU87" s="30"/>
      <c r="DV87" s="30"/>
      <c r="DX87" s="30"/>
      <c r="DY87" s="30"/>
      <c r="DZ87" s="30"/>
      <c r="EA87" s="30"/>
      <c r="EB87" s="30"/>
      <c r="EC87" s="30"/>
      <c r="ED87" s="30"/>
      <c r="EE87" s="85"/>
      <c r="EF87" s="85"/>
      <c r="EG87" s="70"/>
      <c r="EI87" s="81"/>
      <c r="EJ87" s="30"/>
      <c r="EK87" s="30"/>
      <c r="EM87" s="30"/>
      <c r="EN87" s="30"/>
      <c r="EO87" s="30"/>
      <c r="EP87" s="30"/>
      <c r="EQ87" s="30"/>
      <c r="ER87" s="30"/>
      <c r="ES87" s="30"/>
      <c r="ET87" s="85"/>
      <c r="EU87" s="85"/>
      <c r="EV87" s="70"/>
    </row>
    <row r="88" spans="2:152">
      <c r="B88" s="11">
        <f t="shared" si="13"/>
        <v>0.17</v>
      </c>
      <c r="C88" s="28">
        <v>4.68</v>
      </c>
      <c r="D88" s="16"/>
      <c r="E88" s="8"/>
      <c r="F88" s="27">
        <f t="shared" si="14"/>
        <v>-28.069767441860478</v>
      </c>
      <c r="G88" s="27">
        <f t="shared" si="15"/>
        <v>-1247.0890000000004</v>
      </c>
      <c r="H88" s="27">
        <f t="shared" si="16"/>
        <v>317.49851381871349</v>
      </c>
      <c r="I88" s="27">
        <f t="shared" si="17"/>
        <v>-3.9278577559328922</v>
      </c>
      <c r="J88" s="27">
        <f t="shared" si="18"/>
        <v>-1.7501017501017492E-2</v>
      </c>
      <c r="K88" s="27" t="e">
        <f t="shared" si="19"/>
        <v>#NUM!</v>
      </c>
      <c r="L88" s="27" t="e">
        <f t="shared" si="20"/>
        <v>#NUM!</v>
      </c>
      <c r="M88" s="17" t="e">
        <f t="shared" si="21"/>
        <v>#NUM!</v>
      </c>
      <c r="N88" s="17" t="e">
        <f t="shared" si="22"/>
        <v>#N/A</v>
      </c>
      <c r="O88" s="57" t="e">
        <f t="shared" si="23"/>
        <v>#N/A</v>
      </c>
      <c r="P88" s="17">
        <f t="shared" si="24"/>
        <v>0</v>
      </c>
      <c r="Q88" s="17">
        <f t="shared" si="25"/>
        <v>0</v>
      </c>
      <c r="S88" s="81"/>
      <c r="T88" s="30"/>
      <c r="U88" s="30"/>
      <c r="W88" s="30"/>
      <c r="X88" s="30"/>
      <c r="Y88" s="30"/>
      <c r="Z88" s="30"/>
      <c r="AA88" s="30"/>
      <c r="AB88" s="30"/>
      <c r="AC88" s="30"/>
      <c r="AD88" s="85"/>
      <c r="AE88" s="85"/>
      <c r="AF88" s="70"/>
      <c r="AH88" s="81"/>
      <c r="AI88" s="30"/>
      <c r="AJ88" s="30"/>
      <c r="AL88" s="30"/>
      <c r="AM88" s="30"/>
      <c r="AN88" s="30"/>
      <c r="AO88" s="30"/>
      <c r="AP88" s="30"/>
      <c r="AQ88" s="30"/>
      <c r="AR88" s="30"/>
      <c r="AS88" s="85"/>
      <c r="AT88" s="85"/>
      <c r="AU88" s="70"/>
      <c r="AW88" s="81"/>
      <c r="AX88" s="30"/>
      <c r="AY88" s="30"/>
      <c r="BA88" s="30"/>
      <c r="BB88" s="30"/>
      <c r="BC88" s="30"/>
      <c r="BD88" s="30"/>
      <c r="BE88" s="30"/>
      <c r="BF88" s="30"/>
      <c r="BG88" s="30"/>
      <c r="BH88" s="85"/>
      <c r="BI88" s="85"/>
      <c r="BJ88" s="70"/>
      <c r="BL88" s="81"/>
      <c r="BM88" s="30"/>
      <c r="BN88" s="30"/>
      <c r="BP88" s="30"/>
      <c r="BQ88" s="30"/>
      <c r="BR88" s="30"/>
      <c r="BS88" s="30"/>
      <c r="BT88" s="30"/>
      <c r="BU88" s="30"/>
      <c r="BV88" s="30"/>
      <c r="BW88" s="85"/>
      <c r="BX88" s="85"/>
      <c r="BY88" s="70"/>
      <c r="CA88" s="81"/>
      <c r="CB88" s="30"/>
      <c r="CC88" s="30"/>
      <c r="CE88" s="30"/>
      <c r="CF88" s="30"/>
      <c r="CG88" s="30"/>
      <c r="CH88" s="30"/>
      <c r="CI88" s="30"/>
      <c r="CJ88" s="30"/>
      <c r="CK88" s="30"/>
      <c r="CL88" s="85"/>
      <c r="CM88" s="85"/>
      <c r="CN88" s="70"/>
      <c r="CP88" s="81"/>
      <c r="CQ88" s="30"/>
      <c r="CR88" s="30"/>
      <c r="CT88" s="30"/>
      <c r="CU88" s="30"/>
      <c r="CV88" s="30"/>
      <c r="CW88" s="30"/>
      <c r="CX88" s="30"/>
      <c r="CY88" s="30"/>
      <c r="CZ88" s="30"/>
      <c r="DA88" s="85"/>
      <c r="DB88" s="85"/>
      <c r="DC88" s="70"/>
      <c r="DE88" s="81"/>
      <c r="DF88" s="30"/>
      <c r="DG88" s="30"/>
      <c r="DI88" s="30"/>
      <c r="DJ88" s="30"/>
      <c r="DK88" s="30"/>
      <c r="DL88" s="30"/>
      <c r="DM88" s="30"/>
      <c r="DN88" s="30"/>
      <c r="DO88" s="30"/>
      <c r="DP88" s="85"/>
      <c r="DQ88" s="85"/>
      <c r="DR88" s="70"/>
      <c r="DT88" s="81"/>
      <c r="DU88" s="30"/>
      <c r="DV88" s="30"/>
      <c r="DX88" s="30"/>
      <c r="DY88" s="30"/>
      <c r="DZ88" s="30"/>
      <c r="EA88" s="30"/>
      <c r="EB88" s="30"/>
      <c r="EC88" s="30"/>
      <c r="ED88" s="30"/>
      <c r="EE88" s="85"/>
      <c r="EF88" s="85"/>
      <c r="EG88" s="70"/>
      <c r="EI88" s="81"/>
      <c r="EJ88" s="30"/>
      <c r="EK88" s="30"/>
      <c r="EM88" s="30"/>
      <c r="EN88" s="30"/>
      <c r="EO88" s="30"/>
      <c r="EP88" s="30"/>
      <c r="EQ88" s="30"/>
      <c r="ER88" s="30"/>
      <c r="ES88" s="30"/>
      <c r="ET88" s="85"/>
      <c r="EU88" s="85"/>
      <c r="EV88" s="70"/>
    </row>
    <row r="89" spans="2:152">
      <c r="B89" s="11">
        <f t="shared" si="13"/>
        <v>0.17</v>
      </c>
      <c r="C89" s="28">
        <v>4.74</v>
      </c>
      <c r="D89" s="16"/>
      <c r="E89" s="8"/>
      <c r="F89" s="27">
        <f t="shared" si="14"/>
        <v>-40.322314049586964</v>
      </c>
      <c r="G89" s="27">
        <f t="shared" si="15"/>
        <v>-1247.0889999999999</v>
      </c>
      <c r="H89" s="27">
        <f t="shared" si="16"/>
        <v>325.61755769384138</v>
      </c>
      <c r="I89" s="27">
        <f t="shared" si="17"/>
        <v>-3.8299193963384579</v>
      </c>
      <c r="J89" s="27">
        <f t="shared" si="18"/>
        <v>-1.2248203259439159E-2</v>
      </c>
      <c r="K89" s="27" t="e">
        <f t="shared" si="19"/>
        <v>#NUM!</v>
      </c>
      <c r="L89" s="27" t="e">
        <f t="shared" si="20"/>
        <v>#NUM!</v>
      </c>
      <c r="M89" s="17" t="e">
        <f t="shared" si="21"/>
        <v>#NUM!</v>
      </c>
      <c r="N89" s="17" t="e">
        <f t="shared" si="22"/>
        <v>#N/A</v>
      </c>
      <c r="O89" s="57" t="e">
        <f t="shared" si="23"/>
        <v>#N/A</v>
      </c>
      <c r="P89" s="17">
        <f t="shared" si="24"/>
        <v>0</v>
      </c>
      <c r="Q89" s="17">
        <f t="shared" si="25"/>
        <v>0</v>
      </c>
      <c r="S89" s="81"/>
      <c r="T89" s="30"/>
      <c r="U89" s="30"/>
      <c r="W89" s="30"/>
      <c r="X89" s="30"/>
      <c r="Y89" s="30"/>
      <c r="Z89" s="30"/>
      <c r="AA89" s="30"/>
      <c r="AB89" s="30"/>
      <c r="AC89" s="30"/>
      <c r="AD89" s="85"/>
      <c r="AE89" s="85"/>
      <c r="AF89" s="70"/>
      <c r="AH89" s="81"/>
      <c r="AI89" s="30"/>
      <c r="AJ89" s="30"/>
      <c r="AL89" s="30"/>
      <c r="AM89" s="30"/>
      <c r="AN89" s="30"/>
      <c r="AO89" s="30"/>
      <c r="AP89" s="30"/>
      <c r="AQ89" s="30"/>
      <c r="AR89" s="30"/>
      <c r="AS89" s="85"/>
      <c r="AT89" s="85"/>
      <c r="AU89" s="70"/>
      <c r="AW89" s="81"/>
      <c r="AX89" s="30"/>
      <c r="AY89" s="30"/>
      <c r="BA89" s="30"/>
      <c r="BB89" s="30"/>
      <c r="BC89" s="30"/>
      <c r="BD89" s="30"/>
      <c r="BE89" s="30"/>
      <c r="BF89" s="30"/>
      <c r="BG89" s="30"/>
      <c r="BH89" s="85"/>
      <c r="BI89" s="85"/>
      <c r="BJ89" s="70"/>
      <c r="BL89" s="81"/>
      <c r="BM89" s="30"/>
      <c r="BN89" s="30"/>
      <c r="BP89" s="30"/>
      <c r="BQ89" s="30"/>
      <c r="BR89" s="30"/>
      <c r="BS89" s="30"/>
      <c r="BT89" s="30"/>
      <c r="BU89" s="30"/>
      <c r="BV89" s="30"/>
      <c r="BW89" s="85"/>
      <c r="BX89" s="85"/>
      <c r="BY89" s="70"/>
      <c r="CA89" s="81"/>
      <c r="CB89" s="30"/>
      <c r="CC89" s="30"/>
      <c r="CE89" s="30"/>
      <c r="CF89" s="30"/>
      <c r="CG89" s="30"/>
      <c r="CH89" s="30"/>
      <c r="CI89" s="30"/>
      <c r="CJ89" s="30"/>
      <c r="CK89" s="30"/>
      <c r="CL89" s="85"/>
      <c r="CM89" s="85"/>
      <c r="CN89" s="70"/>
      <c r="CP89" s="81"/>
      <c r="CQ89" s="30"/>
      <c r="CR89" s="30"/>
      <c r="CT89" s="30"/>
      <c r="CU89" s="30"/>
      <c r="CV89" s="30"/>
      <c r="CW89" s="30"/>
      <c r="CX89" s="30"/>
      <c r="CY89" s="30"/>
      <c r="CZ89" s="30"/>
      <c r="DA89" s="85"/>
      <c r="DB89" s="85"/>
      <c r="DC89" s="70"/>
      <c r="DE89" s="81"/>
      <c r="DF89" s="30"/>
      <c r="DG89" s="30"/>
      <c r="DI89" s="30"/>
      <c r="DJ89" s="30"/>
      <c r="DK89" s="30"/>
      <c r="DL89" s="30"/>
      <c r="DM89" s="30"/>
      <c r="DN89" s="30"/>
      <c r="DO89" s="30"/>
      <c r="DP89" s="85"/>
      <c r="DQ89" s="85"/>
      <c r="DR89" s="70"/>
      <c r="DT89" s="81"/>
      <c r="DU89" s="30"/>
      <c r="DV89" s="30"/>
      <c r="DX89" s="30"/>
      <c r="DY89" s="30"/>
      <c r="DZ89" s="30"/>
      <c r="EA89" s="30"/>
      <c r="EB89" s="30"/>
      <c r="EC89" s="30"/>
      <c r="ED89" s="30"/>
      <c r="EE89" s="85"/>
      <c r="EF89" s="85"/>
      <c r="EG89" s="70"/>
      <c r="EI89" s="81"/>
      <c r="EJ89" s="30"/>
      <c r="EK89" s="30"/>
      <c r="EM89" s="30"/>
      <c r="EN89" s="30"/>
      <c r="EO89" s="30"/>
      <c r="EP89" s="30"/>
      <c r="EQ89" s="30"/>
      <c r="ER89" s="30"/>
      <c r="ES89" s="30"/>
      <c r="ET89" s="85"/>
      <c r="EU89" s="85"/>
      <c r="EV89" s="70"/>
    </row>
    <row r="90" spans="2:152">
      <c r="B90" s="11">
        <f t="shared" si="13"/>
        <v>0.17</v>
      </c>
      <c r="C90" s="28">
        <v>4.8</v>
      </c>
      <c r="D90" s="16"/>
      <c r="E90" s="8"/>
      <c r="F90" s="27">
        <f t="shared" si="14"/>
        <v>-70.42857142857136</v>
      </c>
      <c r="G90" s="27">
        <f t="shared" si="15"/>
        <v>-1247.0889999999995</v>
      </c>
      <c r="H90" s="27">
        <f t="shared" si="16"/>
        <v>333.73660156896892</v>
      </c>
      <c r="I90" s="27">
        <f t="shared" si="17"/>
        <v>-3.7367462667779341</v>
      </c>
      <c r="J90" s="27">
        <f t="shared" si="18"/>
        <v>-7.0493454179254853E-3</v>
      </c>
      <c r="K90" s="27" t="e">
        <f t="shared" si="19"/>
        <v>#NUM!</v>
      </c>
      <c r="L90" s="27" t="e">
        <f t="shared" si="20"/>
        <v>#NUM!</v>
      </c>
      <c r="M90" s="17" t="e">
        <f t="shared" si="21"/>
        <v>#NUM!</v>
      </c>
      <c r="N90" s="17" t="e">
        <f t="shared" si="22"/>
        <v>#N/A</v>
      </c>
      <c r="O90" s="57" t="e">
        <f t="shared" si="23"/>
        <v>#N/A</v>
      </c>
      <c r="P90" s="17">
        <f t="shared" si="24"/>
        <v>0</v>
      </c>
      <c r="Q90" s="17">
        <f t="shared" si="25"/>
        <v>0</v>
      </c>
      <c r="S90" s="81"/>
      <c r="T90" s="30"/>
      <c r="U90" s="30"/>
      <c r="W90" s="30"/>
      <c r="X90" s="30"/>
      <c r="Y90" s="30"/>
      <c r="Z90" s="30"/>
      <c r="AA90" s="30"/>
      <c r="AB90" s="30"/>
      <c r="AC90" s="30"/>
      <c r="AD90" s="85"/>
      <c r="AE90" s="85"/>
      <c r="AF90" s="70"/>
      <c r="AH90" s="81"/>
      <c r="AI90" s="30"/>
      <c r="AJ90" s="30"/>
      <c r="AL90" s="30"/>
      <c r="AM90" s="30"/>
      <c r="AN90" s="30"/>
      <c r="AO90" s="30"/>
      <c r="AP90" s="30"/>
      <c r="AQ90" s="30"/>
      <c r="AR90" s="30"/>
      <c r="AS90" s="85"/>
      <c r="AT90" s="85"/>
      <c r="AU90" s="70"/>
      <c r="AW90" s="81"/>
      <c r="AX90" s="30"/>
      <c r="AY90" s="30"/>
      <c r="BA90" s="30"/>
      <c r="BB90" s="30"/>
      <c r="BC90" s="30"/>
      <c r="BD90" s="30"/>
      <c r="BE90" s="30"/>
      <c r="BF90" s="30"/>
      <c r="BG90" s="30"/>
      <c r="BH90" s="85"/>
      <c r="BI90" s="85"/>
      <c r="BJ90" s="70"/>
      <c r="BL90" s="81"/>
      <c r="BM90" s="30"/>
      <c r="BN90" s="30"/>
      <c r="BP90" s="30"/>
      <c r="BQ90" s="30"/>
      <c r="BR90" s="30"/>
      <c r="BS90" s="30"/>
      <c r="BT90" s="30"/>
      <c r="BU90" s="30"/>
      <c r="BV90" s="30"/>
      <c r="BW90" s="85"/>
      <c r="BX90" s="85"/>
      <c r="BY90" s="70"/>
      <c r="CA90" s="81"/>
      <c r="CB90" s="30"/>
      <c r="CC90" s="30"/>
      <c r="CE90" s="30"/>
      <c r="CF90" s="30"/>
      <c r="CG90" s="30"/>
      <c r="CH90" s="30"/>
      <c r="CI90" s="30"/>
      <c r="CJ90" s="30"/>
      <c r="CK90" s="30"/>
      <c r="CL90" s="85"/>
      <c r="CM90" s="85"/>
      <c r="CN90" s="70"/>
      <c r="CP90" s="81"/>
      <c r="CQ90" s="30"/>
      <c r="CR90" s="30"/>
      <c r="CT90" s="30"/>
      <c r="CU90" s="30"/>
      <c r="CV90" s="30"/>
      <c r="CW90" s="30"/>
      <c r="CX90" s="30"/>
      <c r="CY90" s="30"/>
      <c r="CZ90" s="30"/>
      <c r="DA90" s="85"/>
      <c r="DB90" s="85"/>
      <c r="DC90" s="70"/>
      <c r="DE90" s="81"/>
      <c r="DF90" s="30"/>
      <c r="DG90" s="30"/>
      <c r="DI90" s="30"/>
      <c r="DJ90" s="30"/>
      <c r="DK90" s="30"/>
      <c r="DL90" s="30"/>
      <c r="DM90" s="30"/>
      <c r="DN90" s="30"/>
      <c r="DO90" s="30"/>
      <c r="DP90" s="85"/>
      <c r="DQ90" s="85"/>
      <c r="DR90" s="70"/>
      <c r="DT90" s="81"/>
      <c r="DU90" s="30"/>
      <c r="DV90" s="30"/>
      <c r="DX90" s="30"/>
      <c r="DY90" s="30"/>
      <c r="DZ90" s="30"/>
      <c r="EA90" s="30"/>
      <c r="EB90" s="30"/>
      <c r="EC90" s="30"/>
      <c r="ED90" s="30"/>
      <c r="EE90" s="85"/>
      <c r="EF90" s="85"/>
      <c r="EG90" s="70"/>
      <c r="EI90" s="81"/>
      <c r="EJ90" s="30"/>
      <c r="EK90" s="30"/>
      <c r="EM90" s="30"/>
      <c r="EN90" s="30"/>
      <c r="EO90" s="30"/>
      <c r="EP90" s="30"/>
      <c r="EQ90" s="30"/>
      <c r="ER90" s="30"/>
      <c r="ES90" s="30"/>
      <c r="ET90" s="85"/>
      <c r="EU90" s="85"/>
      <c r="EV90" s="70"/>
    </row>
    <row r="91" spans="2:152">
      <c r="B91" s="11">
        <f t="shared" si="13"/>
        <v>0.17</v>
      </c>
      <c r="C91" s="28">
        <v>4.8600000000000003</v>
      </c>
      <c r="D91" s="16"/>
      <c r="E91" s="8"/>
      <c r="F91" s="27">
        <f t="shared" si="14"/>
        <v>-262.15789473684805</v>
      </c>
      <c r="G91" s="27">
        <f t="shared" si="15"/>
        <v>-1247.0889999999999</v>
      </c>
      <c r="H91" s="27">
        <f t="shared" si="16"/>
        <v>341.85564544409681</v>
      </c>
      <c r="I91" s="27">
        <f t="shared" si="17"/>
        <v>-3.6479988457699308</v>
      </c>
      <c r="J91" s="27">
        <f t="shared" si="18"/>
        <v>-1.9036168720568654E-3</v>
      </c>
      <c r="K91" s="27" t="e">
        <f t="shared" si="19"/>
        <v>#NUM!</v>
      </c>
      <c r="L91" s="27" t="e">
        <f t="shared" si="20"/>
        <v>#NUM!</v>
      </c>
      <c r="M91" s="17" t="e">
        <f t="shared" si="21"/>
        <v>#NUM!</v>
      </c>
      <c r="N91" s="17" t="e">
        <f t="shared" si="22"/>
        <v>#N/A</v>
      </c>
      <c r="O91" s="57" t="e">
        <f t="shared" si="23"/>
        <v>#N/A</v>
      </c>
      <c r="P91" s="17">
        <f t="shared" si="24"/>
        <v>0</v>
      </c>
      <c r="Q91" s="17">
        <f t="shared" si="25"/>
        <v>0</v>
      </c>
      <c r="S91" s="81"/>
      <c r="T91" s="30"/>
      <c r="U91" s="30"/>
      <c r="W91" s="30"/>
      <c r="X91" s="30"/>
      <c r="Y91" s="30"/>
      <c r="Z91" s="30"/>
      <c r="AA91" s="30"/>
      <c r="AB91" s="30"/>
      <c r="AC91" s="30"/>
      <c r="AD91" s="85"/>
      <c r="AE91" s="85"/>
      <c r="AF91" s="70"/>
      <c r="AH91" s="81"/>
      <c r="AI91" s="30"/>
      <c r="AJ91" s="30"/>
      <c r="AL91" s="30"/>
      <c r="AM91" s="30"/>
      <c r="AN91" s="30"/>
      <c r="AO91" s="30"/>
      <c r="AP91" s="30"/>
      <c r="AQ91" s="30"/>
      <c r="AR91" s="30"/>
      <c r="AS91" s="85"/>
      <c r="AT91" s="85"/>
      <c r="AU91" s="70"/>
      <c r="AW91" s="81"/>
      <c r="AX91" s="30"/>
      <c r="AY91" s="30"/>
      <c r="BA91" s="30"/>
      <c r="BB91" s="30"/>
      <c r="BC91" s="30"/>
      <c r="BD91" s="30"/>
      <c r="BE91" s="30"/>
      <c r="BF91" s="30"/>
      <c r="BG91" s="30"/>
      <c r="BH91" s="85"/>
      <c r="BI91" s="85"/>
      <c r="BJ91" s="70"/>
      <c r="BL91" s="81"/>
      <c r="BM91" s="30"/>
      <c r="BN91" s="30"/>
      <c r="BP91" s="30"/>
      <c r="BQ91" s="30"/>
      <c r="BR91" s="30"/>
      <c r="BS91" s="30"/>
      <c r="BT91" s="30"/>
      <c r="BU91" s="30"/>
      <c r="BV91" s="30"/>
      <c r="BW91" s="85"/>
      <c r="BX91" s="85"/>
      <c r="BY91" s="70"/>
      <c r="CA91" s="81"/>
      <c r="CB91" s="30"/>
      <c r="CC91" s="30"/>
      <c r="CE91" s="30"/>
      <c r="CF91" s="30"/>
      <c r="CG91" s="30"/>
      <c r="CH91" s="30"/>
      <c r="CI91" s="30"/>
      <c r="CJ91" s="30"/>
      <c r="CK91" s="30"/>
      <c r="CL91" s="85"/>
      <c r="CM91" s="85"/>
      <c r="CN91" s="70"/>
      <c r="CP91" s="81"/>
      <c r="CQ91" s="30"/>
      <c r="CR91" s="30"/>
      <c r="CT91" s="30"/>
      <c r="CU91" s="30"/>
      <c r="CV91" s="30"/>
      <c r="CW91" s="30"/>
      <c r="CX91" s="30"/>
      <c r="CY91" s="30"/>
      <c r="CZ91" s="30"/>
      <c r="DA91" s="85"/>
      <c r="DB91" s="85"/>
      <c r="DC91" s="70"/>
      <c r="DE91" s="81"/>
      <c r="DF91" s="30"/>
      <c r="DG91" s="30"/>
      <c r="DI91" s="30"/>
      <c r="DJ91" s="30"/>
      <c r="DK91" s="30"/>
      <c r="DL91" s="30"/>
      <c r="DM91" s="30"/>
      <c r="DN91" s="30"/>
      <c r="DO91" s="30"/>
      <c r="DP91" s="85"/>
      <c r="DQ91" s="85"/>
      <c r="DR91" s="70"/>
      <c r="DT91" s="81"/>
      <c r="DU91" s="30"/>
      <c r="DV91" s="30"/>
      <c r="DX91" s="30"/>
      <c r="DY91" s="30"/>
      <c r="DZ91" s="30"/>
      <c r="EA91" s="30"/>
      <c r="EB91" s="30"/>
      <c r="EC91" s="30"/>
      <c r="ED91" s="30"/>
      <c r="EE91" s="85"/>
      <c r="EF91" s="85"/>
      <c r="EG91" s="70"/>
      <c r="EI91" s="81"/>
      <c r="EJ91" s="30"/>
      <c r="EK91" s="30"/>
      <c r="EM91" s="30"/>
      <c r="EN91" s="30"/>
      <c r="EO91" s="30"/>
      <c r="EP91" s="30"/>
      <c r="EQ91" s="30"/>
      <c r="ER91" s="30"/>
      <c r="ES91" s="30"/>
      <c r="ET91" s="85"/>
      <c r="EU91" s="85"/>
      <c r="EV91" s="70"/>
    </row>
    <row r="92" spans="2:152">
      <c r="B92" s="11">
        <f t="shared" si="13"/>
        <v>0.17</v>
      </c>
      <c r="C92" s="28">
        <v>4.92</v>
      </c>
      <c r="D92" s="16"/>
      <c r="E92" s="8"/>
      <c r="F92" s="27">
        <f t="shared" si="14"/>
        <v>157.25000000000094</v>
      </c>
      <c r="G92" s="27">
        <f t="shared" si="15"/>
        <v>-1247.0890000000004</v>
      </c>
      <c r="H92" s="27">
        <f t="shared" si="16"/>
        <v>349.97468931922413</v>
      </c>
      <c r="I92" s="27">
        <f t="shared" si="17"/>
        <v>-3.56336911799495</v>
      </c>
      <c r="J92" s="27">
        <f t="shared" si="18"/>
        <v>3.1897926634768545E-3</v>
      </c>
      <c r="K92" s="27" t="e">
        <f t="shared" si="19"/>
        <v>#NUM!</v>
      </c>
      <c r="L92" s="27" t="e">
        <f t="shared" si="20"/>
        <v>#NUM!</v>
      </c>
      <c r="M92" s="17" t="e">
        <f t="shared" si="21"/>
        <v>#NUM!</v>
      </c>
      <c r="N92" s="17" t="e">
        <f t="shared" si="22"/>
        <v>#N/A</v>
      </c>
      <c r="O92" s="57" t="e">
        <f t="shared" si="23"/>
        <v>#N/A</v>
      </c>
      <c r="P92" s="17">
        <f t="shared" si="24"/>
        <v>0</v>
      </c>
      <c r="Q92" s="17">
        <f t="shared" si="25"/>
        <v>0</v>
      </c>
      <c r="S92" s="81"/>
      <c r="T92" s="30"/>
      <c r="U92" s="30"/>
      <c r="W92" s="30"/>
      <c r="X92" s="30"/>
      <c r="Y92" s="30"/>
      <c r="Z92" s="30"/>
      <c r="AA92" s="30"/>
      <c r="AB92" s="30"/>
      <c r="AC92" s="30"/>
      <c r="AD92" s="85"/>
      <c r="AE92" s="85"/>
      <c r="AF92" s="70"/>
      <c r="AH92" s="81"/>
      <c r="AI92" s="30"/>
      <c r="AJ92" s="30"/>
      <c r="AL92" s="30"/>
      <c r="AM92" s="30"/>
      <c r="AN92" s="30"/>
      <c r="AO92" s="30"/>
      <c r="AP92" s="30"/>
      <c r="AQ92" s="30"/>
      <c r="AR92" s="30"/>
      <c r="AS92" s="85"/>
      <c r="AT92" s="85"/>
      <c r="AU92" s="70"/>
      <c r="AW92" s="81"/>
      <c r="AX92" s="30"/>
      <c r="AY92" s="30"/>
      <c r="BA92" s="30"/>
      <c r="BB92" s="30"/>
      <c r="BC92" s="30"/>
      <c r="BD92" s="30"/>
      <c r="BE92" s="30"/>
      <c r="BF92" s="30"/>
      <c r="BG92" s="30"/>
      <c r="BH92" s="85"/>
      <c r="BI92" s="85"/>
      <c r="BJ92" s="70"/>
      <c r="BL92" s="81"/>
      <c r="BM92" s="30"/>
      <c r="BN92" s="30"/>
      <c r="BP92" s="30"/>
      <c r="BQ92" s="30"/>
      <c r="BR92" s="30"/>
      <c r="BS92" s="30"/>
      <c r="BT92" s="30"/>
      <c r="BU92" s="30"/>
      <c r="BV92" s="30"/>
      <c r="BW92" s="85"/>
      <c r="BX92" s="85"/>
      <c r="BY92" s="70"/>
      <c r="CA92" s="81"/>
      <c r="CB92" s="30"/>
      <c r="CC92" s="30"/>
      <c r="CE92" s="30"/>
      <c r="CF92" s="30"/>
      <c r="CG92" s="30"/>
      <c r="CH92" s="30"/>
      <c r="CI92" s="30"/>
      <c r="CJ92" s="30"/>
      <c r="CK92" s="30"/>
      <c r="CL92" s="85"/>
      <c r="CM92" s="85"/>
      <c r="CN92" s="70"/>
      <c r="CP92" s="81"/>
      <c r="CQ92" s="30"/>
      <c r="CR92" s="30"/>
      <c r="CT92" s="30"/>
      <c r="CU92" s="30"/>
      <c r="CV92" s="30"/>
      <c r="CW92" s="30"/>
      <c r="CX92" s="30"/>
      <c r="CY92" s="30"/>
      <c r="CZ92" s="30"/>
      <c r="DA92" s="85"/>
      <c r="DB92" s="85"/>
      <c r="DC92" s="70"/>
      <c r="DE92" s="81"/>
      <c r="DF92" s="30"/>
      <c r="DG92" s="30"/>
      <c r="DI92" s="30"/>
      <c r="DJ92" s="30"/>
      <c r="DK92" s="30"/>
      <c r="DL92" s="30"/>
      <c r="DM92" s="30"/>
      <c r="DN92" s="30"/>
      <c r="DO92" s="30"/>
      <c r="DP92" s="85"/>
      <c r="DQ92" s="85"/>
      <c r="DR92" s="70"/>
      <c r="DT92" s="81"/>
      <c r="DU92" s="30"/>
      <c r="DV92" s="30"/>
      <c r="DX92" s="30"/>
      <c r="DY92" s="30"/>
      <c r="DZ92" s="30"/>
      <c r="EA92" s="30"/>
      <c r="EB92" s="30"/>
      <c r="EC92" s="30"/>
      <c r="ED92" s="30"/>
      <c r="EE92" s="85"/>
      <c r="EF92" s="85"/>
      <c r="EG92" s="70"/>
      <c r="EI92" s="81"/>
      <c r="EJ92" s="30"/>
      <c r="EK92" s="30"/>
      <c r="EM92" s="30"/>
      <c r="EN92" s="30"/>
      <c r="EO92" s="30"/>
      <c r="EP92" s="30"/>
      <c r="EQ92" s="30"/>
      <c r="ER92" s="30"/>
      <c r="ES92" s="30"/>
      <c r="ET92" s="85"/>
      <c r="EU92" s="85"/>
      <c r="EV92" s="70"/>
    </row>
    <row r="93" spans="2:152">
      <c r="B93" s="11">
        <f t="shared" si="13"/>
        <v>0.17</v>
      </c>
      <c r="C93" s="28">
        <v>4.9800000000000004</v>
      </c>
      <c r="D93" s="16"/>
      <c r="E93" s="8"/>
      <c r="F93" s="27">
        <f t="shared" si="14"/>
        <v>61.240963855421072</v>
      </c>
      <c r="G93" s="27">
        <f t="shared" si="15"/>
        <v>-1247.0890000000004</v>
      </c>
      <c r="H93" s="27">
        <f t="shared" si="16"/>
        <v>358.09373319435178</v>
      </c>
      <c r="I93" s="27">
        <f t="shared" si="17"/>
        <v>-3.4825770026060616</v>
      </c>
      <c r="J93" s="27">
        <f t="shared" si="18"/>
        <v>8.2316770802341403E-3</v>
      </c>
      <c r="K93" s="27" t="e">
        <f t="shared" si="19"/>
        <v>#NUM!</v>
      </c>
      <c r="L93" s="27" t="e">
        <f t="shared" si="20"/>
        <v>#NUM!</v>
      </c>
      <c r="M93" s="17" t="e">
        <f t="shared" si="21"/>
        <v>#NUM!</v>
      </c>
      <c r="N93" s="17" t="e">
        <f t="shared" si="22"/>
        <v>#N/A</v>
      </c>
      <c r="O93" s="57" t="e">
        <f t="shared" si="23"/>
        <v>#N/A</v>
      </c>
      <c r="P93" s="17">
        <f t="shared" si="24"/>
        <v>0</v>
      </c>
      <c r="Q93" s="17">
        <f t="shared" si="25"/>
        <v>0</v>
      </c>
      <c r="S93" s="81"/>
      <c r="T93" s="30"/>
      <c r="U93" s="30"/>
      <c r="W93" s="30"/>
      <c r="X93" s="30"/>
      <c r="Y93" s="30"/>
      <c r="Z93" s="30"/>
      <c r="AA93" s="30"/>
      <c r="AB93" s="30"/>
      <c r="AC93" s="30"/>
      <c r="AD93" s="85"/>
      <c r="AE93" s="85"/>
      <c r="AF93" s="70"/>
      <c r="AH93" s="81"/>
      <c r="AI93" s="30"/>
      <c r="AJ93" s="30"/>
      <c r="AL93" s="30"/>
      <c r="AM93" s="30"/>
      <c r="AN93" s="30"/>
      <c r="AO93" s="30"/>
      <c r="AP93" s="30"/>
      <c r="AQ93" s="30"/>
      <c r="AR93" s="30"/>
      <c r="AS93" s="85"/>
      <c r="AT93" s="85"/>
      <c r="AU93" s="70"/>
      <c r="AW93" s="81"/>
      <c r="AX93" s="30"/>
      <c r="AY93" s="30"/>
      <c r="BA93" s="30"/>
      <c r="BB93" s="30"/>
      <c r="BC93" s="30"/>
      <c r="BD93" s="30"/>
      <c r="BE93" s="30"/>
      <c r="BF93" s="30"/>
      <c r="BG93" s="30"/>
      <c r="BH93" s="85"/>
      <c r="BI93" s="85"/>
      <c r="BJ93" s="70"/>
      <c r="BL93" s="81"/>
      <c r="BM93" s="30"/>
      <c r="BN93" s="30"/>
      <c r="BP93" s="30"/>
      <c r="BQ93" s="30"/>
      <c r="BR93" s="30"/>
      <c r="BS93" s="30"/>
      <c r="BT93" s="30"/>
      <c r="BU93" s="30"/>
      <c r="BV93" s="30"/>
      <c r="BW93" s="85"/>
      <c r="BX93" s="85"/>
      <c r="BY93" s="70"/>
      <c r="CA93" s="81"/>
      <c r="CB93" s="30"/>
      <c r="CC93" s="30"/>
      <c r="CE93" s="30"/>
      <c r="CF93" s="30"/>
      <c r="CG93" s="30"/>
      <c r="CH93" s="30"/>
      <c r="CI93" s="30"/>
      <c r="CJ93" s="30"/>
      <c r="CK93" s="30"/>
      <c r="CL93" s="85"/>
      <c r="CM93" s="85"/>
      <c r="CN93" s="70"/>
      <c r="CP93" s="81"/>
      <c r="CQ93" s="30"/>
      <c r="CR93" s="30"/>
      <c r="CT93" s="30"/>
      <c r="CU93" s="30"/>
      <c r="CV93" s="30"/>
      <c r="CW93" s="30"/>
      <c r="CX93" s="30"/>
      <c r="CY93" s="30"/>
      <c r="CZ93" s="30"/>
      <c r="DA93" s="85"/>
      <c r="DB93" s="85"/>
      <c r="DC93" s="70"/>
      <c r="DE93" s="81"/>
      <c r="DF93" s="30"/>
      <c r="DG93" s="30"/>
      <c r="DI93" s="30"/>
      <c r="DJ93" s="30"/>
      <c r="DK93" s="30"/>
      <c r="DL93" s="30"/>
      <c r="DM93" s="30"/>
      <c r="DN93" s="30"/>
      <c r="DO93" s="30"/>
      <c r="DP93" s="85"/>
      <c r="DQ93" s="85"/>
      <c r="DR93" s="70"/>
      <c r="DT93" s="81"/>
      <c r="DU93" s="30"/>
      <c r="DV93" s="30"/>
      <c r="DX93" s="30"/>
      <c r="DY93" s="30"/>
      <c r="DZ93" s="30"/>
      <c r="EA93" s="30"/>
      <c r="EB93" s="30"/>
      <c r="EC93" s="30"/>
      <c r="ED93" s="30"/>
      <c r="EE93" s="85"/>
      <c r="EF93" s="85"/>
      <c r="EG93" s="70"/>
      <c r="EI93" s="81"/>
      <c r="EJ93" s="30"/>
      <c r="EK93" s="30"/>
      <c r="EM93" s="30"/>
      <c r="EN93" s="30"/>
      <c r="EO93" s="30"/>
      <c r="EP93" s="30"/>
      <c r="EQ93" s="30"/>
      <c r="ER93" s="30"/>
      <c r="ES93" s="30"/>
      <c r="ET93" s="85"/>
      <c r="EU93" s="85"/>
      <c r="EV93" s="70"/>
    </row>
    <row r="94" spans="2:152">
      <c r="B94" s="11">
        <f t="shared" si="13"/>
        <v>0.17</v>
      </c>
      <c r="C94" s="28">
        <v>5.04</v>
      </c>
      <c r="D94" s="16"/>
      <c r="E94" s="8"/>
      <c r="F94" s="27">
        <f t="shared" si="14"/>
        <v>38.313432835820677</v>
      </c>
      <c r="G94" s="27">
        <f t="shared" si="15"/>
        <v>-1247.0890000000004</v>
      </c>
      <c r="H94" s="27">
        <f t="shared" si="16"/>
        <v>366.21277706947944</v>
      </c>
      <c r="I94" s="27">
        <f t="shared" si="17"/>
        <v>-3.4053672566519912</v>
      </c>
      <c r="J94" s="27">
        <f t="shared" si="18"/>
        <v>1.3222814288533726E-2</v>
      </c>
      <c r="K94" s="27" t="e">
        <f t="shared" si="19"/>
        <v>#NUM!</v>
      </c>
      <c r="L94" s="27" t="e">
        <f t="shared" si="20"/>
        <v>#NUM!</v>
      </c>
      <c r="M94" s="17" t="e">
        <f t="shared" si="21"/>
        <v>#NUM!</v>
      </c>
      <c r="N94" s="17" t="e">
        <f t="shared" si="22"/>
        <v>#N/A</v>
      </c>
      <c r="O94" s="57" t="e">
        <f t="shared" si="23"/>
        <v>#N/A</v>
      </c>
      <c r="P94" s="17">
        <f t="shared" si="24"/>
        <v>0</v>
      </c>
      <c r="Q94" s="17">
        <f t="shared" si="25"/>
        <v>0</v>
      </c>
      <c r="S94" s="81"/>
      <c r="T94" s="30"/>
      <c r="U94" s="30"/>
      <c r="W94" s="30"/>
      <c r="X94" s="30"/>
      <c r="Y94" s="30"/>
      <c r="Z94" s="30"/>
      <c r="AA94" s="30"/>
      <c r="AB94" s="30"/>
      <c r="AC94" s="30"/>
      <c r="AD94" s="85"/>
      <c r="AE94" s="85"/>
      <c r="AF94" s="70"/>
      <c r="AH94" s="81"/>
      <c r="AI94" s="30"/>
      <c r="AJ94" s="30"/>
      <c r="AL94" s="30"/>
      <c r="AM94" s="30"/>
      <c r="AN94" s="30"/>
      <c r="AO94" s="30"/>
      <c r="AP94" s="30"/>
      <c r="AQ94" s="30"/>
      <c r="AR94" s="30"/>
      <c r="AS94" s="85"/>
      <c r="AT94" s="85"/>
      <c r="AU94" s="70"/>
      <c r="AW94" s="81"/>
      <c r="AX94" s="30"/>
      <c r="AY94" s="30"/>
      <c r="BA94" s="30"/>
      <c r="BB94" s="30"/>
      <c r="BC94" s="30"/>
      <c r="BD94" s="30"/>
      <c r="BE94" s="30"/>
      <c r="BF94" s="30"/>
      <c r="BG94" s="30"/>
      <c r="BH94" s="85"/>
      <c r="BI94" s="85"/>
      <c r="BJ94" s="70"/>
      <c r="BL94" s="81"/>
      <c r="BM94" s="30"/>
      <c r="BN94" s="30"/>
      <c r="BP94" s="30"/>
      <c r="BQ94" s="30"/>
      <c r="BR94" s="30"/>
      <c r="BS94" s="30"/>
      <c r="BT94" s="30"/>
      <c r="BU94" s="30"/>
      <c r="BV94" s="30"/>
      <c r="BW94" s="85"/>
      <c r="BX94" s="85"/>
      <c r="BY94" s="70"/>
      <c r="CA94" s="81"/>
      <c r="CB94" s="30"/>
      <c r="CC94" s="30"/>
      <c r="CE94" s="30"/>
      <c r="CF94" s="30"/>
      <c r="CG94" s="30"/>
      <c r="CH94" s="30"/>
      <c r="CI94" s="30"/>
      <c r="CJ94" s="30"/>
      <c r="CK94" s="30"/>
      <c r="CL94" s="85"/>
      <c r="CM94" s="85"/>
      <c r="CN94" s="70"/>
      <c r="CP94" s="81"/>
      <c r="CQ94" s="30"/>
      <c r="CR94" s="30"/>
      <c r="CT94" s="30"/>
      <c r="CU94" s="30"/>
      <c r="CV94" s="30"/>
      <c r="CW94" s="30"/>
      <c r="CX94" s="30"/>
      <c r="CY94" s="30"/>
      <c r="CZ94" s="30"/>
      <c r="DA94" s="85"/>
      <c r="DB94" s="85"/>
      <c r="DC94" s="70"/>
      <c r="DE94" s="81"/>
      <c r="DF94" s="30"/>
      <c r="DG94" s="30"/>
      <c r="DI94" s="30"/>
      <c r="DJ94" s="30"/>
      <c r="DK94" s="30"/>
      <c r="DL94" s="30"/>
      <c r="DM94" s="30"/>
      <c r="DN94" s="30"/>
      <c r="DO94" s="30"/>
      <c r="DP94" s="85"/>
      <c r="DQ94" s="85"/>
      <c r="DR94" s="70"/>
      <c r="DT94" s="81"/>
      <c r="DU94" s="30"/>
      <c r="DV94" s="30"/>
      <c r="DX94" s="30"/>
      <c r="DY94" s="30"/>
      <c r="DZ94" s="30"/>
      <c r="EA94" s="30"/>
      <c r="EB94" s="30"/>
      <c r="EC94" s="30"/>
      <c r="ED94" s="30"/>
      <c r="EE94" s="85"/>
      <c r="EF94" s="85"/>
      <c r="EG94" s="70"/>
      <c r="EI94" s="81"/>
      <c r="EJ94" s="30"/>
      <c r="EK94" s="30"/>
      <c r="EM94" s="30"/>
      <c r="EN94" s="30"/>
      <c r="EO94" s="30"/>
      <c r="EP94" s="30"/>
      <c r="EQ94" s="30"/>
      <c r="ER94" s="30"/>
      <c r="ES94" s="30"/>
      <c r="ET94" s="85"/>
      <c r="EU94" s="85"/>
      <c r="EV94" s="70"/>
    </row>
    <row r="95" spans="2:152">
      <c r="B95" s="11">
        <f t="shared" si="13"/>
        <v>0.17</v>
      </c>
      <c r="C95" s="28">
        <v>5.0999999999999996</v>
      </c>
      <c r="D95" s="16"/>
      <c r="E95" s="8"/>
      <c r="F95" s="27">
        <f t="shared" si="14"/>
        <v>28.027027027027085</v>
      </c>
      <c r="G95" s="27">
        <f t="shared" si="15"/>
        <v>-1247.0889999999995</v>
      </c>
      <c r="H95" s="27">
        <f t="shared" si="16"/>
        <v>374.3318209446071</v>
      </c>
      <c r="I95" s="27">
        <f t="shared" si="17"/>
        <v>-3.3315067814780868</v>
      </c>
      <c r="J95" s="27">
        <f t="shared" si="18"/>
        <v>1.8163966617574828E-2</v>
      </c>
      <c r="K95" s="27" t="e">
        <f t="shared" si="19"/>
        <v>#NUM!</v>
      </c>
      <c r="L95" s="27" t="e">
        <f t="shared" si="20"/>
        <v>#NUM!</v>
      </c>
      <c r="M95" s="17" t="e">
        <f t="shared" si="21"/>
        <v>#NUM!</v>
      </c>
      <c r="N95" s="17" t="e">
        <f t="shared" si="22"/>
        <v>#N/A</v>
      </c>
      <c r="O95" s="57" t="e">
        <f t="shared" si="23"/>
        <v>#N/A</v>
      </c>
      <c r="P95" s="17">
        <f t="shared" si="24"/>
        <v>0</v>
      </c>
      <c r="Q95" s="17">
        <f t="shared" si="25"/>
        <v>0</v>
      </c>
      <c r="S95" s="81"/>
      <c r="T95" s="30"/>
      <c r="U95" s="30"/>
      <c r="W95" s="30"/>
      <c r="X95" s="30"/>
      <c r="Y95" s="30"/>
      <c r="Z95" s="30"/>
      <c r="AA95" s="30"/>
      <c r="AB95" s="30"/>
      <c r="AC95" s="30"/>
      <c r="AD95" s="85"/>
      <c r="AE95" s="85"/>
      <c r="AF95" s="70"/>
      <c r="AH95" s="81"/>
      <c r="AI95" s="30"/>
      <c r="AJ95" s="30"/>
      <c r="AL95" s="30"/>
      <c r="AM95" s="30"/>
      <c r="AN95" s="30"/>
      <c r="AO95" s="30"/>
      <c r="AP95" s="30"/>
      <c r="AQ95" s="30"/>
      <c r="AR95" s="30"/>
      <c r="AS95" s="85"/>
      <c r="AT95" s="85"/>
      <c r="AU95" s="70"/>
      <c r="AW95" s="81"/>
      <c r="AX95" s="30"/>
      <c r="AY95" s="30"/>
      <c r="BA95" s="30"/>
      <c r="BB95" s="30"/>
      <c r="BC95" s="30"/>
      <c r="BD95" s="30"/>
      <c r="BE95" s="30"/>
      <c r="BF95" s="30"/>
      <c r="BG95" s="30"/>
      <c r="BH95" s="85"/>
      <c r="BI95" s="85"/>
      <c r="BJ95" s="70"/>
      <c r="BL95" s="81"/>
      <c r="BM95" s="30"/>
      <c r="BN95" s="30"/>
      <c r="BP95" s="30"/>
      <c r="BQ95" s="30"/>
      <c r="BR95" s="30"/>
      <c r="BS95" s="30"/>
      <c r="BT95" s="30"/>
      <c r="BU95" s="30"/>
      <c r="BV95" s="30"/>
      <c r="BW95" s="85"/>
      <c r="BX95" s="85"/>
      <c r="BY95" s="70"/>
      <c r="CA95" s="81"/>
      <c r="CB95" s="30"/>
      <c r="CC95" s="30"/>
      <c r="CE95" s="30"/>
      <c r="CF95" s="30"/>
      <c r="CG95" s="30"/>
      <c r="CH95" s="30"/>
      <c r="CI95" s="30"/>
      <c r="CJ95" s="30"/>
      <c r="CK95" s="30"/>
      <c r="CL95" s="85"/>
      <c r="CM95" s="85"/>
      <c r="CN95" s="70"/>
      <c r="CP95" s="81"/>
      <c r="CQ95" s="30"/>
      <c r="CR95" s="30"/>
      <c r="CT95" s="30"/>
      <c r="CU95" s="30"/>
      <c r="CV95" s="30"/>
      <c r="CW95" s="30"/>
      <c r="CX95" s="30"/>
      <c r="CY95" s="30"/>
      <c r="CZ95" s="30"/>
      <c r="DA95" s="85"/>
      <c r="DB95" s="85"/>
      <c r="DC95" s="70"/>
      <c r="DE95" s="81"/>
      <c r="DF95" s="30"/>
      <c r="DG95" s="30"/>
      <c r="DI95" s="30"/>
      <c r="DJ95" s="30"/>
      <c r="DK95" s="30"/>
      <c r="DL95" s="30"/>
      <c r="DM95" s="30"/>
      <c r="DN95" s="30"/>
      <c r="DO95" s="30"/>
      <c r="DP95" s="85"/>
      <c r="DQ95" s="85"/>
      <c r="DR95" s="70"/>
      <c r="DT95" s="81"/>
      <c r="DU95" s="30"/>
      <c r="DV95" s="30"/>
      <c r="DX95" s="30"/>
      <c r="DY95" s="30"/>
      <c r="DZ95" s="30"/>
      <c r="EA95" s="30"/>
      <c r="EB95" s="30"/>
      <c r="EC95" s="30"/>
      <c r="ED95" s="30"/>
      <c r="EE95" s="85"/>
      <c r="EF95" s="85"/>
      <c r="EG95" s="70"/>
      <c r="EI95" s="81"/>
      <c r="EJ95" s="30"/>
      <c r="EK95" s="30"/>
      <c r="EM95" s="30"/>
      <c r="EN95" s="30"/>
      <c r="EO95" s="30"/>
      <c r="EP95" s="30"/>
      <c r="EQ95" s="30"/>
      <c r="ER95" s="30"/>
      <c r="ES95" s="30"/>
      <c r="ET95" s="85"/>
      <c r="EU95" s="85"/>
      <c r="EV95" s="70"/>
    </row>
    <row r="96" spans="2:152">
      <c r="B96" s="11">
        <f t="shared" si="13"/>
        <v>0.17</v>
      </c>
      <c r="C96" s="28">
        <v>5.16</v>
      </c>
      <c r="D96" s="16"/>
      <c r="E96" s="8"/>
      <c r="F96" s="27">
        <f t="shared" si="14"/>
        <v>22.186440677966043</v>
      </c>
      <c r="G96" s="27">
        <f t="shared" si="15"/>
        <v>-1247.0890000000004</v>
      </c>
      <c r="H96" s="27">
        <f t="shared" si="16"/>
        <v>382.45086481973476</v>
      </c>
      <c r="I96" s="27">
        <f t="shared" si="17"/>
        <v>-3.2607822722215731</v>
      </c>
      <c r="J96" s="27">
        <f t="shared" si="18"/>
        <v>2.3055881203595217E-2</v>
      </c>
      <c r="K96" s="27" t="e">
        <f t="shared" si="19"/>
        <v>#NUM!</v>
      </c>
      <c r="L96" s="27" t="e">
        <f t="shared" si="20"/>
        <v>#NUM!</v>
      </c>
      <c r="M96" s="17" t="e">
        <f t="shared" si="21"/>
        <v>#NUM!</v>
      </c>
      <c r="N96" s="17" t="e">
        <f t="shared" si="22"/>
        <v>#N/A</v>
      </c>
      <c r="O96" s="57" t="e">
        <f t="shared" si="23"/>
        <v>#N/A</v>
      </c>
      <c r="P96" s="17">
        <f t="shared" si="24"/>
        <v>0</v>
      </c>
      <c r="Q96" s="17">
        <f t="shared" si="25"/>
        <v>0</v>
      </c>
      <c r="S96" s="81"/>
      <c r="T96" s="30"/>
      <c r="U96" s="30"/>
      <c r="W96" s="30"/>
      <c r="X96" s="30"/>
      <c r="Y96" s="30"/>
      <c r="Z96" s="30"/>
      <c r="AA96" s="30"/>
      <c r="AB96" s="30"/>
      <c r="AC96" s="30"/>
      <c r="AD96" s="85"/>
      <c r="AE96" s="85"/>
      <c r="AF96" s="70"/>
      <c r="AH96" s="81"/>
      <c r="AI96" s="30"/>
      <c r="AJ96" s="30"/>
      <c r="AL96" s="30"/>
      <c r="AM96" s="30"/>
      <c r="AN96" s="30"/>
      <c r="AO96" s="30"/>
      <c r="AP96" s="30"/>
      <c r="AQ96" s="30"/>
      <c r="AR96" s="30"/>
      <c r="AS96" s="85"/>
      <c r="AT96" s="85"/>
      <c r="AU96" s="70"/>
      <c r="AW96" s="81"/>
      <c r="AX96" s="30"/>
      <c r="AY96" s="30"/>
      <c r="BA96" s="30"/>
      <c r="BB96" s="30"/>
      <c r="BC96" s="30"/>
      <c r="BD96" s="30"/>
      <c r="BE96" s="30"/>
      <c r="BF96" s="30"/>
      <c r="BG96" s="30"/>
      <c r="BH96" s="85"/>
      <c r="BI96" s="85"/>
      <c r="BJ96" s="70"/>
      <c r="BL96" s="81"/>
      <c r="BM96" s="30"/>
      <c r="BN96" s="30"/>
      <c r="BP96" s="30"/>
      <c r="BQ96" s="30"/>
      <c r="BR96" s="30"/>
      <c r="BS96" s="30"/>
      <c r="BT96" s="30"/>
      <c r="BU96" s="30"/>
      <c r="BV96" s="30"/>
      <c r="BW96" s="85"/>
      <c r="BX96" s="85"/>
      <c r="BY96" s="70"/>
      <c r="CA96" s="81"/>
      <c r="CB96" s="30"/>
      <c r="CC96" s="30"/>
      <c r="CE96" s="30"/>
      <c r="CF96" s="30"/>
      <c r="CG96" s="30"/>
      <c r="CH96" s="30"/>
      <c r="CI96" s="30"/>
      <c r="CJ96" s="30"/>
      <c r="CK96" s="30"/>
      <c r="CL96" s="85"/>
      <c r="CM96" s="85"/>
      <c r="CN96" s="70"/>
      <c r="CP96" s="81"/>
      <c r="CQ96" s="30"/>
      <c r="CR96" s="30"/>
      <c r="CT96" s="30"/>
      <c r="CU96" s="30"/>
      <c r="CV96" s="30"/>
      <c r="CW96" s="30"/>
      <c r="CX96" s="30"/>
      <c r="CY96" s="30"/>
      <c r="CZ96" s="30"/>
      <c r="DA96" s="85"/>
      <c r="DB96" s="85"/>
      <c r="DC96" s="70"/>
      <c r="DE96" s="81"/>
      <c r="DF96" s="30"/>
      <c r="DG96" s="30"/>
      <c r="DI96" s="30"/>
      <c r="DJ96" s="30"/>
      <c r="DK96" s="30"/>
      <c r="DL96" s="30"/>
      <c r="DM96" s="30"/>
      <c r="DN96" s="30"/>
      <c r="DO96" s="30"/>
      <c r="DP96" s="85"/>
      <c r="DQ96" s="85"/>
      <c r="DR96" s="70"/>
      <c r="DT96" s="81"/>
      <c r="DU96" s="30"/>
      <c r="DV96" s="30"/>
      <c r="DX96" s="30"/>
      <c r="DY96" s="30"/>
      <c r="DZ96" s="30"/>
      <c r="EA96" s="30"/>
      <c r="EB96" s="30"/>
      <c r="EC96" s="30"/>
      <c r="ED96" s="30"/>
      <c r="EE96" s="85"/>
      <c r="EF96" s="85"/>
      <c r="EG96" s="70"/>
      <c r="EI96" s="81"/>
      <c r="EJ96" s="30"/>
      <c r="EK96" s="30"/>
      <c r="EM96" s="30"/>
      <c r="EN96" s="30"/>
      <c r="EO96" s="30"/>
      <c r="EP96" s="30"/>
      <c r="EQ96" s="30"/>
      <c r="ER96" s="30"/>
      <c r="ES96" s="30"/>
      <c r="ET96" s="85"/>
      <c r="EU96" s="85"/>
      <c r="EV96" s="70"/>
    </row>
    <row r="97" spans="2:152">
      <c r="B97" s="11">
        <f t="shared" si="13"/>
        <v>0.17</v>
      </c>
      <c r="C97" s="28">
        <v>5.22</v>
      </c>
      <c r="D97" s="16"/>
      <c r="E97" s="8"/>
      <c r="F97" s="27">
        <f t="shared" si="14"/>
        <v>18.421602787456411</v>
      </c>
      <c r="G97" s="27">
        <f t="shared" si="15"/>
        <v>-1247.0890000000004</v>
      </c>
      <c r="H97" s="27">
        <f t="shared" si="16"/>
        <v>390.56990869486231</v>
      </c>
      <c r="I97" s="27">
        <f t="shared" si="17"/>
        <v>-3.192998160476066</v>
      </c>
      <c r="J97" s="27">
        <f t="shared" si="18"/>
        <v>2.7899290366482019E-2</v>
      </c>
      <c r="K97" s="27" t="e">
        <f t="shared" si="19"/>
        <v>#NUM!</v>
      </c>
      <c r="L97" s="27" t="e">
        <f t="shared" si="20"/>
        <v>#NUM!</v>
      </c>
      <c r="M97" s="17" t="e">
        <f t="shared" si="21"/>
        <v>#NUM!</v>
      </c>
      <c r="N97" s="17" t="e">
        <f t="shared" si="22"/>
        <v>#N/A</v>
      </c>
      <c r="O97" s="57" t="e">
        <f t="shared" si="23"/>
        <v>#N/A</v>
      </c>
      <c r="P97" s="17">
        <f t="shared" si="24"/>
        <v>0</v>
      </c>
      <c r="Q97" s="17">
        <f t="shared" si="25"/>
        <v>0</v>
      </c>
      <c r="S97" s="81"/>
      <c r="T97" s="30"/>
      <c r="U97" s="30"/>
      <c r="W97" s="30"/>
      <c r="X97" s="30"/>
      <c r="Y97" s="30"/>
      <c r="Z97" s="30"/>
      <c r="AA97" s="30"/>
      <c r="AB97" s="30"/>
      <c r="AC97" s="30"/>
      <c r="AD97" s="85"/>
      <c r="AE97" s="85"/>
      <c r="AF97" s="70"/>
      <c r="AH97" s="81"/>
      <c r="AI97" s="30"/>
      <c r="AJ97" s="30"/>
      <c r="AL97" s="30"/>
      <c r="AM97" s="30"/>
      <c r="AN97" s="30"/>
      <c r="AO97" s="30"/>
      <c r="AP97" s="30"/>
      <c r="AQ97" s="30"/>
      <c r="AR97" s="30"/>
      <c r="AS97" s="85"/>
      <c r="AT97" s="85"/>
      <c r="AU97" s="70"/>
      <c r="AW97" s="81"/>
      <c r="AX97" s="30"/>
      <c r="AY97" s="30"/>
      <c r="BA97" s="30"/>
      <c r="BB97" s="30"/>
      <c r="BC97" s="30"/>
      <c r="BD97" s="30"/>
      <c r="BE97" s="30"/>
      <c r="BF97" s="30"/>
      <c r="BG97" s="30"/>
      <c r="BH97" s="85"/>
      <c r="BI97" s="85"/>
      <c r="BJ97" s="70"/>
      <c r="BL97" s="81"/>
      <c r="BM97" s="30"/>
      <c r="BN97" s="30"/>
      <c r="BP97" s="30"/>
      <c r="BQ97" s="30"/>
      <c r="BR97" s="30"/>
      <c r="BS97" s="30"/>
      <c r="BT97" s="30"/>
      <c r="BU97" s="30"/>
      <c r="BV97" s="30"/>
      <c r="BW97" s="85"/>
      <c r="BX97" s="85"/>
      <c r="BY97" s="70"/>
      <c r="CA97" s="81"/>
      <c r="CB97" s="30"/>
      <c r="CC97" s="30"/>
      <c r="CE97" s="30"/>
      <c r="CF97" s="30"/>
      <c r="CG97" s="30"/>
      <c r="CH97" s="30"/>
      <c r="CI97" s="30"/>
      <c r="CJ97" s="30"/>
      <c r="CK97" s="30"/>
      <c r="CL97" s="85"/>
      <c r="CM97" s="85"/>
      <c r="CN97" s="70"/>
      <c r="CP97" s="81"/>
      <c r="CQ97" s="30"/>
      <c r="CR97" s="30"/>
      <c r="CT97" s="30"/>
      <c r="CU97" s="30"/>
      <c r="CV97" s="30"/>
      <c r="CW97" s="30"/>
      <c r="CX97" s="30"/>
      <c r="CY97" s="30"/>
      <c r="CZ97" s="30"/>
      <c r="DA97" s="85"/>
      <c r="DB97" s="85"/>
      <c r="DC97" s="70"/>
      <c r="DE97" s="81"/>
      <c r="DF97" s="30"/>
      <c r="DG97" s="30"/>
      <c r="DI97" s="30"/>
      <c r="DJ97" s="30"/>
      <c r="DK97" s="30"/>
      <c r="DL97" s="30"/>
      <c r="DM97" s="30"/>
      <c r="DN97" s="30"/>
      <c r="DO97" s="30"/>
      <c r="DP97" s="85"/>
      <c r="DQ97" s="85"/>
      <c r="DR97" s="70"/>
      <c r="DT97" s="81"/>
      <c r="DU97" s="30"/>
      <c r="DV97" s="30"/>
      <c r="DX97" s="30"/>
      <c r="DY97" s="30"/>
      <c r="DZ97" s="30"/>
      <c r="EA97" s="30"/>
      <c r="EB97" s="30"/>
      <c r="EC97" s="30"/>
      <c r="ED97" s="30"/>
      <c r="EE97" s="85"/>
      <c r="EF97" s="85"/>
      <c r="EG97" s="70"/>
      <c r="EI97" s="81"/>
      <c r="EJ97" s="30"/>
      <c r="EK97" s="30"/>
      <c r="EM97" s="30"/>
      <c r="EN97" s="30"/>
      <c r="EO97" s="30"/>
      <c r="EP97" s="30"/>
      <c r="EQ97" s="30"/>
      <c r="ER97" s="30"/>
      <c r="ES97" s="30"/>
      <c r="ET97" s="85"/>
      <c r="EU97" s="85"/>
      <c r="EV97" s="70"/>
    </row>
    <row r="98" spans="2:152">
      <c r="B98" s="11">
        <f t="shared" si="13"/>
        <v>0.17</v>
      </c>
      <c r="C98" s="28">
        <v>5.28</v>
      </c>
      <c r="D98" s="16"/>
      <c r="E98" s="8"/>
      <c r="F98" s="27">
        <f t="shared" si="14"/>
        <v>15.792899408284001</v>
      </c>
      <c r="G98" s="27">
        <f t="shared" si="15"/>
        <v>-1247.0890000000002</v>
      </c>
      <c r="H98" s="27">
        <f t="shared" si="16"/>
        <v>398.68895256999008</v>
      </c>
      <c r="I98" s="27">
        <f t="shared" si="17"/>
        <v>-3.1279748083340055</v>
      </c>
      <c r="J98" s="27">
        <f t="shared" si="18"/>
        <v>3.2694911975237037E-2</v>
      </c>
      <c r="K98" s="27" t="e">
        <f t="shared" si="19"/>
        <v>#NUM!</v>
      </c>
      <c r="L98" s="27" t="e">
        <f t="shared" si="20"/>
        <v>#NUM!</v>
      </c>
      <c r="M98" s="17" t="e">
        <f t="shared" si="21"/>
        <v>#NUM!</v>
      </c>
      <c r="N98" s="17" t="e">
        <f t="shared" si="22"/>
        <v>#N/A</v>
      </c>
      <c r="O98" s="57" t="e">
        <f t="shared" si="23"/>
        <v>#N/A</v>
      </c>
      <c r="P98" s="17">
        <f t="shared" si="24"/>
        <v>0</v>
      </c>
      <c r="Q98" s="17">
        <f t="shared" si="25"/>
        <v>0</v>
      </c>
      <c r="S98" s="81"/>
      <c r="T98" s="30"/>
      <c r="U98" s="30"/>
      <c r="W98" s="30"/>
      <c r="X98" s="30"/>
      <c r="Y98" s="30"/>
      <c r="Z98" s="30"/>
      <c r="AA98" s="30"/>
      <c r="AB98" s="30"/>
      <c r="AC98" s="30"/>
      <c r="AD98" s="85"/>
      <c r="AE98" s="85"/>
      <c r="AF98" s="70"/>
      <c r="AH98" s="81"/>
      <c r="AI98" s="30"/>
      <c r="AJ98" s="30"/>
      <c r="AL98" s="30"/>
      <c r="AM98" s="30"/>
      <c r="AN98" s="30"/>
      <c r="AO98" s="30"/>
      <c r="AP98" s="30"/>
      <c r="AQ98" s="30"/>
      <c r="AR98" s="30"/>
      <c r="AS98" s="85"/>
      <c r="AT98" s="85"/>
      <c r="AU98" s="70"/>
      <c r="AW98" s="81"/>
      <c r="AX98" s="30"/>
      <c r="AY98" s="30"/>
      <c r="BA98" s="30"/>
      <c r="BB98" s="30"/>
      <c r="BC98" s="30"/>
      <c r="BD98" s="30"/>
      <c r="BE98" s="30"/>
      <c r="BF98" s="30"/>
      <c r="BG98" s="30"/>
      <c r="BH98" s="85"/>
      <c r="BI98" s="85"/>
      <c r="BJ98" s="70"/>
      <c r="BL98" s="81"/>
      <c r="BM98" s="30"/>
      <c r="BN98" s="30"/>
      <c r="BP98" s="30"/>
      <c r="BQ98" s="30"/>
      <c r="BR98" s="30"/>
      <c r="BS98" s="30"/>
      <c r="BT98" s="30"/>
      <c r="BU98" s="30"/>
      <c r="BV98" s="30"/>
      <c r="BW98" s="85"/>
      <c r="BX98" s="85"/>
      <c r="BY98" s="70"/>
      <c r="CA98" s="81"/>
      <c r="CB98" s="30"/>
      <c r="CC98" s="30"/>
      <c r="CE98" s="30"/>
      <c r="CF98" s="30"/>
      <c r="CG98" s="30"/>
      <c r="CH98" s="30"/>
      <c r="CI98" s="30"/>
      <c r="CJ98" s="30"/>
      <c r="CK98" s="30"/>
      <c r="CL98" s="85"/>
      <c r="CM98" s="85"/>
      <c r="CN98" s="70"/>
      <c r="CP98" s="81"/>
      <c r="CQ98" s="30"/>
      <c r="CR98" s="30"/>
      <c r="CT98" s="30"/>
      <c r="CU98" s="30"/>
      <c r="CV98" s="30"/>
      <c r="CW98" s="30"/>
      <c r="CX98" s="30"/>
      <c r="CY98" s="30"/>
      <c r="CZ98" s="30"/>
      <c r="DA98" s="85"/>
      <c r="DB98" s="85"/>
      <c r="DC98" s="70"/>
      <c r="DE98" s="81"/>
      <c r="DF98" s="30"/>
      <c r="DG98" s="30"/>
      <c r="DI98" s="30"/>
      <c r="DJ98" s="30"/>
      <c r="DK98" s="30"/>
      <c r="DL98" s="30"/>
      <c r="DM98" s="30"/>
      <c r="DN98" s="30"/>
      <c r="DO98" s="30"/>
      <c r="DP98" s="85"/>
      <c r="DQ98" s="85"/>
      <c r="DR98" s="70"/>
      <c r="DT98" s="81"/>
      <c r="DU98" s="30"/>
      <c r="DV98" s="30"/>
      <c r="DX98" s="30"/>
      <c r="DY98" s="30"/>
      <c r="DZ98" s="30"/>
      <c r="EA98" s="30"/>
      <c r="EB98" s="30"/>
      <c r="EC98" s="30"/>
      <c r="ED98" s="30"/>
      <c r="EE98" s="85"/>
      <c r="EF98" s="85"/>
      <c r="EG98" s="70"/>
      <c r="EI98" s="81"/>
      <c r="EJ98" s="30"/>
      <c r="EK98" s="30"/>
      <c r="EM98" s="30"/>
      <c r="EN98" s="30"/>
      <c r="EO98" s="30"/>
      <c r="EP98" s="30"/>
      <c r="EQ98" s="30"/>
      <c r="ER98" s="30"/>
      <c r="ES98" s="30"/>
      <c r="ET98" s="85"/>
      <c r="EU98" s="85"/>
      <c r="EV98" s="70"/>
    </row>
    <row r="99" spans="2:152">
      <c r="B99" s="11">
        <f t="shared" si="13"/>
        <v>0.17</v>
      </c>
      <c r="C99" s="28">
        <v>5.34</v>
      </c>
      <c r="D99" s="16"/>
      <c r="E99" s="8"/>
      <c r="F99" s="27">
        <f t="shared" si="14"/>
        <v>13.853470437017981</v>
      </c>
      <c r="G99" s="27">
        <f t="shared" si="15"/>
        <v>-1247.0889999999995</v>
      </c>
      <c r="H99" s="27">
        <f t="shared" si="16"/>
        <v>406.80799644511774</v>
      </c>
      <c r="I99" s="27">
        <f t="shared" si="17"/>
        <v>-3.0655469186880735</v>
      </c>
      <c r="J99" s="27">
        <f t="shared" si="18"/>
        <v>3.744344980267595E-2</v>
      </c>
      <c r="K99" s="27" t="e">
        <f t="shared" si="19"/>
        <v>#NUM!</v>
      </c>
      <c r="L99" s="27" t="e">
        <f t="shared" si="20"/>
        <v>#NUM!</v>
      </c>
      <c r="M99" s="17" t="e">
        <f t="shared" si="21"/>
        <v>#NUM!</v>
      </c>
      <c r="N99" s="17" t="e">
        <f t="shared" si="22"/>
        <v>#N/A</v>
      </c>
      <c r="O99" s="57" t="e">
        <f t="shared" si="23"/>
        <v>#N/A</v>
      </c>
      <c r="P99" s="17">
        <f t="shared" si="24"/>
        <v>0</v>
      </c>
      <c r="Q99" s="17">
        <f t="shared" si="25"/>
        <v>0</v>
      </c>
      <c r="S99" s="81"/>
      <c r="T99" s="30"/>
      <c r="U99" s="30"/>
      <c r="W99" s="30"/>
      <c r="X99" s="30"/>
      <c r="Y99" s="30"/>
      <c r="Z99" s="30"/>
      <c r="AA99" s="30"/>
      <c r="AB99" s="30"/>
      <c r="AC99" s="30"/>
      <c r="AD99" s="85"/>
      <c r="AE99" s="85"/>
      <c r="AF99" s="70"/>
      <c r="AH99" s="81"/>
      <c r="AI99" s="30"/>
      <c r="AJ99" s="30"/>
      <c r="AL99" s="30"/>
      <c r="AM99" s="30"/>
      <c r="AN99" s="30"/>
      <c r="AO99" s="30"/>
      <c r="AP99" s="30"/>
      <c r="AQ99" s="30"/>
      <c r="AR99" s="30"/>
      <c r="AS99" s="85"/>
      <c r="AT99" s="85"/>
      <c r="AU99" s="70"/>
      <c r="AW99" s="81"/>
      <c r="AX99" s="30"/>
      <c r="AY99" s="30"/>
      <c r="BA99" s="30"/>
      <c r="BB99" s="30"/>
      <c r="BC99" s="30"/>
      <c r="BD99" s="30"/>
      <c r="BE99" s="30"/>
      <c r="BF99" s="30"/>
      <c r="BG99" s="30"/>
      <c r="BH99" s="85"/>
      <c r="BI99" s="85"/>
      <c r="BJ99" s="70"/>
      <c r="BL99" s="81"/>
      <c r="BM99" s="30"/>
      <c r="BN99" s="30"/>
      <c r="BP99" s="30"/>
      <c r="BQ99" s="30"/>
      <c r="BR99" s="30"/>
      <c r="BS99" s="30"/>
      <c r="BT99" s="30"/>
      <c r="BU99" s="30"/>
      <c r="BV99" s="30"/>
      <c r="BW99" s="85"/>
      <c r="BX99" s="85"/>
      <c r="BY99" s="70"/>
      <c r="CA99" s="81"/>
      <c r="CB99" s="30"/>
      <c r="CC99" s="30"/>
      <c r="CE99" s="30"/>
      <c r="CF99" s="30"/>
      <c r="CG99" s="30"/>
      <c r="CH99" s="30"/>
      <c r="CI99" s="30"/>
      <c r="CJ99" s="30"/>
      <c r="CK99" s="30"/>
      <c r="CL99" s="85"/>
      <c r="CM99" s="85"/>
      <c r="CN99" s="70"/>
      <c r="CP99" s="81"/>
      <c r="CQ99" s="30"/>
      <c r="CR99" s="30"/>
      <c r="CT99" s="30"/>
      <c r="CU99" s="30"/>
      <c r="CV99" s="30"/>
      <c r="CW99" s="30"/>
      <c r="CX99" s="30"/>
      <c r="CY99" s="30"/>
      <c r="CZ99" s="30"/>
      <c r="DA99" s="85"/>
      <c r="DB99" s="85"/>
      <c r="DC99" s="70"/>
      <c r="DE99" s="81"/>
      <c r="DF99" s="30"/>
      <c r="DG99" s="30"/>
      <c r="DI99" s="30"/>
      <c r="DJ99" s="30"/>
      <c r="DK99" s="30"/>
      <c r="DL99" s="30"/>
      <c r="DM99" s="30"/>
      <c r="DN99" s="30"/>
      <c r="DO99" s="30"/>
      <c r="DP99" s="85"/>
      <c r="DQ99" s="85"/>
      <c r="DR99" s="70"/>
      <c r="DT99" s="81"/>
      <c r="DU99" s="30"/>
      <c r="DV99" s="30"/>
      <c r="DX99" s="30"/>
      <c r="DY99" s="30"/>
      <c r="DZ99" s="30"/>
      <c r="EA99" s="30"/>
      <c r="EB99" s="30"/>
      <c r="EC99" s="30"/>
      <c r="ED99" s="30"/>
      <c r="EE99" s="85"/>
      <c r="EF99" s="85"/>
      <c r="EG99" s="70"/>
      <c r="EI99" s="81"/>
      <c r="EJ99" s="30"/>
      <c r="EK99" s="30"/>
      <c r="EM99" s="30"/>
      <c r="EN99" s="30"/>
      <c r="EO99" s="30"/>
      <c r="EP99" s="30"/>
      <c r="EQ99" s="30"/>
      <c r="ER99" s="30"/>
      <c r="ES99" s="30"/>
      <c r="ET99" s="85"/>
      <c r="EU99" s="85"/>
      <c r="EV99" s="70"/>
    </row>
    <row r="100" spans="2:152">
      <c r="B100" s="11">
        <f t="shared" si="13"/>
        <v>0.17</v>
      </c>
      <c r="C100" s="28">
        <v>5.4</v>
      </c>
      <c r="D100" s="16"/>
      <c r="E100" s="8"/>
      <c r="F100" s="27">
        <f t="shared" si="14"/>
        <v>12.363636363636353</v>
      </c>
      <c r="G100" s="27">
        <f t="shared" si="15"/>
        <v>-1247.0890000000002</v>
      </c>
      <c r="H100" s="27">
        <f t="shared" si="16"/>
        <v>414.92704032024528</v>
      </c>
      <c r="I100" s="27">
        <f t="shared" si="17"/>
        <v>-3.0055621321702319</v>
      </c>
      <c r="J100" s="27">
        <f t="shared" si="18"/>
        <v>4.2145593869731837E-2</v>
      </c>
      <c r="K100" s="27" t="e">
        <f t="shared" si="19"/>
        <v>#NUM!</v>
      </c>
      <c r="L100" s="27" t="e">
        <f t="shared" si="20"/>
        <v>#NUM!</v>
      </c>
      <c r="M100" s="17" t="e">
        <f t="shared" si="21"/>
        <v>#NUM!</v>
      </c>
      <c r="N100" s="17" t="e">
        <f t="shared" si="22"/>
        <v>#N/A</v>
      </c>
      <c r="O100" s="57" t="e">
        <f t="shared" si="23"/>
        <v>#N/A</v>
      </c>
      <c r="P100" s="17">
        <f t="shared" si="24"/>
        <v>0</v>
      </c>
      <c r="Q100" s="17">
        <f t="shared" si="25"/>
        <v>0</v>
      </c>
      <c r="S100" s="81"/>
      <c r="T100" s="30"/>
      <c r="U100" s="30"/>
      <c r="W100" s="30"/>
      <c r="X100" s="30"/>
      <c r="Y100" s="30"/>
      <c r="Z100" s="30"/>
      <c r="AA100" s="30"/>
      <c r="AB100" s="30"/>
      <c r="AC100" s="30"/>
      <c r="AD100" s="85"/>
      <c r="AE100" s="85"/>
      <c r="AF100" s="70"/>
      <c r="AH100" s="81"/>
      <c r="AI100" s="30"/>
      <c r="AJ100" s="30"/>
      <c r="AL100" s="30"/>
      <c r="AM100" s="30"/>
      <c r="AN100" s="30"/>
      <c r="AO100" s="30"/>
      <c r="AP100" s="30"/>
      <c r="AQ100" s="30"/>
      <c r="AR100" s="30"/>
      <c r="AS100" s="85"/>
      <c r="AT100" s="85"/>
      <c r="AU100" s="70"/>
      <c r="AW100" s="81"/>
      <c r="AX100" s="30"/>
      <c r="AY100" s="30"/>
      <c r="BA100" s="30"/>
      <c r="BB100" s="30"/>
      <c r="BC100" s="30"/>
      <c r="BD100" s="30"/>
      <c r="BE100" s="30"/>
      <c r="BF100" s="30"/>
      <c r="BG100" s="30"/>
      <c r="BH100" s="85"/>
      <c r="BI100" s="85"/>
      <c r="BJ100" s="70"/>
      <c r="BL100" s="81"/>
      <c r="BM100" s="30"/>
      <c r="BN100" s="30"/>
      <c r="BP100" s="30"/>
      <c r="BQ100" s="30"/>
      <c r="BR100" s="30"/>
      <c r="BS100" s="30"/>
      <c r="BT100" s="30"/>
      <c r="BU100" s="30"/>
      <c r="BV100" s="30"/>
      <c r="BW100" s="85"/>
      <c r="BX100" s="85"/>
      <c r="BY100" s="70"/>
      <c r="CA100" s="81"/>
      <c r="CB100" s="30"/>
      <c r="CC100" s="30"/>
      <c r="CE100" s="30"/>
      <c r="CF100" s="30"/>
      <c r="CG100" s="30"/>
      <c r="CH100" s="30"/>
      <c r="CI100" s="30"/>
      <c r="CJ100" s="30"/>
      <c r="CK100" s="30"/>
      <c r="CL100" s="85"/>
      <c r="CM100" s="85"/>
      <c r="CN100" s="70"/>
      <c r="CP100" s="81"/>
      <c r="CQ100" s="30"/>
      <c r="CR100" s="30"/>
      <c r="CT100" s="30"/>
      <c r="CU100" s="30"/>
      <c r="CV100" s="30"/>
      <c r="CW100" s="30"/>
      <c r="CX100" s="30"/>
      <c r="CY100" s="30"/>
      <c r="CZ100" s="30"/>
      <c r="DA100" s="85"/>
      <c r="DB100" s="85"/>
      <c r="DC100" s="70"/>
      <c r="DE100" s="81"/>
      <c r="DF100" s="30"/>
      <c r="DG100" s="30"/>
      <c r="DI100" s="30"/>
      <c r="DJ100" s="30"/>
      <c r="DK100" s="30"/>
      <c r="DL100" s="30"/>
      <c r="DM100" s="30"/>
      <c r="DN100" s="30"/>
      <c r="DO100" s="30"/>
      <c r="DP100" s="85"/>
      <c r="DQ100" s="85"/>
      <c r="DR100" s="70"/>
      <c r="DT100" s="81"/>
      <c r="DU100" s="30"/>
      <c r="DV100" s="30"/>
      <c r="DX100" s="30"/>
      <c r="DY100" s="30"/>
      <c r="DZ100" s="30"/>
      <c r="EA100" s="30"/>
      <c r="EB100" s="30"/>
      <c r="EC100" s="30"/>
      <c r="ED100" s="30"/>
      <c r="EE100" s="85"/>
      <c r="EF100" s="85"/>
      <c r="EG100" s="70"/>
      <c r="EI100" s="81"/>
      <c r="EJ100" s="30"/>
      <c r="EK100" s="30"/>
      <c r="EM100" s="30"/>
      <c r="EN100" s="30"/>
      <c r="EO100" s="30"/>
      <c r="EP100" s="30"/>
      <c r="EQ100" s="30"/>
      <c r="ER100" s="30"/>
      <c r="ES100" s="30"/>
      <c r="ET100" s="85"/>
      <c r="EU100" s="85"/>
      <c r="EV100" s="70"/>
    </row>
    <row r="101" spans="2:152">
      <c r="B101" s="11">
        <f t="shared" si="13"/>
        <v>0.17</v>
      </c>
      <c r="C101" s="28">
        <v>5.46</v>
      </c>
      <c r="D101" s="16"/>
      <c r="E101" s="8"/>
      <c r="F101" s="27">
        <f t="shared" si="14"/>
        <v>11.18329938900203</v>
      </c>
      <c r="G101" s="27">
        <f t="shared" si="15"/>
        <v>-1247.0890000000004</v>
      </c>
      <c r="H101" s="27">
        <f t="shared" si="16"/>
        <v>423.04608419537294</v>
      </c>
      <c r="I101" s="27">
        <f t="shared" si="17"/>
        <v>-2.9478797856548993</v>
      </c>
      <c r="J101" s="27">
        <f t="shared" si="18"/>
        <v>4.6802020779715972E-2</v>
      </c>
      <c r="K101" s="27" t="e">
        <f t="shared" si="19"/>
        <v>#NUM!</v>
      </c>
      <c r="L101" s="27" t="e">
        <f t="shared" si="20"/>
        <v>#NUM!</v>
      </c>
      <c r="M101" s="17" t="e">
        <f t="shared" si="21"/>
        <v>#NUM!</v>
      </c>
      <c r="N101" s="17" t="e">
        <f t="shared" si="22"/>
        <v>#N/A</v>
      </c>
      <c r="O101" s="57" t="e">
        <f t="shared" si="23"/>
        <v>#N/A</v>
      </c>
      <c r="P101" s="17">
        <f t="shared" si="24"/>
        <v>0</v>
      </c>
      <c r="Q101" s="17">
        <f t="shared" si="25"/>
        <v>0</v>
      </c>
      <c r="S101" s="81"/>
      <c r="T101" s="30"/>
      <c r="U101" s="30"/>
      <c r="W101" s="30"/>
      <c r="X101" s="30"/>
      <c r="Y101" s="30"/>
      <c r="Z101" s="30"/>
      <c r="AA101" s="30"/>
      <c r="AB101" s="30"/>
      <c r="AC101" s="30"/>
      <c r="AD101" s="85"/>
      <c r="AE101" s="85"/>
      <c r="AF101" s="70"/>
      <c r="AH101" s="81"/>
      <c r="AI101" s="30"/>
      <c r="AJ101" s="30"/>
      <c r="AL101" s="30"/>
      <c r="AM101" s="30"/>
      <c r="AN101" s="30"/>
      <c r="AO101" s="30"/>
      <c r="AP101" s="30"/>
      <c r="AQ101" s="30"/>
      <c r="AR101" s="30"/>
      <c r="AS101" s="85"/>
      <c r="AT101" s="85"/>
      <c r="AU101" s="70"/>
      <c r="AW101" s="81"/>
      <c r="AX101" s="30"/>
      <c r="AY101" s="30"/>
      <c r="BA101" s="30"/>
      <c r="BB101" s="30"/>
      <c r="BC101" s="30"/>
      <c r="BD101" s="30"/>
      <c r="BE101" s="30"/>
      <c r="BF101" s="30"/>
      <c r="BG101" s="30"/>
      <c r="BH101" s="85"/>
      <c r="BI101" s="85"/>
      <c r="BJ101" s="70"/>
      <c r="BL101" s="81"/>
      <c r="BM101" s="30"/>
      <c r="BN101" s="30"/>
      <c r="BP101" s="30"/>
      <c r="BQ101" s="30"/>
      <c r="BR101" s="30"/>
      <c r="BS101" s="30"/>
      <c r="BT101" s="30"/>
      <c r="BU101" s="30"/>
      <c r="BV101" s="30"/>
      <c r="BW101" s="85"/>
      <c r="BX101" s="85"/>
      <c r="BY101" s="70"/>
      <c r="CA101" s="81"/>
      <c r="CB101" s="30"/>
      <c r="CC101" s="30"/>
      <c r="CE101" s="30"/>
      <c r="CF101" s="30"/>
      <c r="CG101" s="30"/>
      <c r="CH101" s="30"/>
      <c r="CI101" s="30"/>
      <c r="CJ101" s="30"/>
      <c r="CK101" s="30"/>
      <c r="CL101" s="85"/>
      <c r="CM101" s="85"/>
      <c r="CN101" s="70"/>
      <c r="CP101" s="81"/>
      <c r="CQ101" s="30"/>
      <c r="CR101" s="30"/>
      <c r="CT101" s="30"/>
      <c r="CU101" s="30"/>
      <c r="CV101" s="30"/>
      <c r="CW101" s="30"/>
      <c r="CX101" s="30"/>
      <c r="CY101" s="30"/>
      <c r="CZ101" s="30"/>
      <c r="DA101" s="85"/>
      <c r="DB101" s="85"/>
      <c r="DC101" s="70"/>
      <c r="DE101" s="81"/>
      <c r="DF101" s="30"/>
      <c r="DG101" s="30"/>
      <c r="DI101" s="30"/>
      <c r="DJ101" s="30"/>
      <c r="DK101" s="30"/>
      <c r="DL101" s="30"/>
      <c r="DM101" s="30"/>
      <c r="DN101" s="30"/>
      <c r="DO101" s="30"/>
      <c r="DP101" s="85"/>
      <c r="DQ101" s="85"/>
      <c r="DR101" s="70"/>
      <c r="DT101" s="81"/>
      <c r="DU101" s="30"/>
      <c r="DV101" s="30"/>
      <c r="DX101" s="30"/>
      <c r="DY101" s="30"/>
      <c r="DZ101" s="30"/>
      <c r="EA101" s="30"/>
      <c r="EB101" s="30"/>
      <c r="EC101" s="30"/>
      <c r="ED101" s="30"/>
      <c r="EE101" s="85"/>
      <c r="EF101" s="85"/>
      <c r="EG101" s="70"/>
      <c r="EI101" s="81"/>
      <c r="EJ101" s="30"/>
      <c r="EK101" s="30"/>
      <c r="EM101" s="30"/>
      <c r="EN101" s="30"/>
      <c r="EO101" s="30"/>
      <c r="EP101" s="30"/>
      <c r="EQ101" s="30"/>
      <c r="ER101" s="30"/>
      <c r="ES101" s="30"/>
      <c r="ET101" s="85"/>
      <c r="EU101" s="85"/>
      <c r="EV101" s="70"/>
    </row>
    <row r="102" spans="2:152">
      <c r="B102" s="11">
        <f t="shared" si="13"/>
        <v>0.17</v>
      </c>
      <c r="C102" s="28">
        <v>5.52</v>
      </c>
      <c r="D102" s="16"/>
      <c r="E102" s="8"/>
      <c r="F102" s="27">
        <f t="shared" si="14"/>
        <v>10.225092250922504</v>
      </c>
      <c r="G102" s="27">
        <f t="shared" si="15"/>
        <v>-1247.0889999999999</v>
      </c>
      <c r="H102" s="27">
        <f t="shared" si="16"/>
        <v>431.16512807050049</v>
      </c>
      <c r="I102" s="27">
        <f t="shared" si="17"/>
        <v>-2.8923698110300018</v>
      </c>
      <c r="J102" s="27">
        <f t="shared" si="18"/>
        <v>5.1413394042876141E-2</v>
      </c>
      <c r="K102" s="27" t="e">
        <f t="shared" si="19"/>
        <v>#NUM!</v>
      </c>
      <c r="L102" s="27" t="e">
        <f t="shared" si="20"/>
        <v>#NUM!</v>
      </c>
      <c r="M102" s="17" t="e">
        <f t="shared" si="21"/>
        <v>#NUM!</v>
      </c>
      <c r="N102" s="17" t="e">
        <f t="shared" si="22"/>
        <v>#N/A</v>
      </c>
      <c r="O102" s="57" t="e">
        <f t="shared" si="23"/>
        <v>#N/A</v>
      </c>
      <c r="P102" s="17">
        <f t="shared" si="24"/>
        <v>0</v>
      </c>
      <c r="Q102" s="17">
        <f t="shared" si="25"/>
        <v>0</v>
      </c>
      <c r="S102" s="81"/>
      <c r="T102" s="30"/>
      <c r="U102" s="30"/>
      <c r="W102" s="30"/>
      <c r="X102" s="30"/>
      <c r="Y102" s="30"/>
      <c r="Z102" s="30"/>
      <c r="AA102" s="30"/>
      <c r="AB102" s="30"/>
      <c r="AC102" s="30"/>
      <c r="AD102" s="85"/>
      <c r="AE102" s="85"/>
      <c r="AF102" s="70"/>
      <c r="AH102" s="81"/>
      <c r="AI102" s="30"/>
      <c r="AJ102" s="30"/>
      <c r="AL102" s="30"/>
      <c r="AM102" s="30"/>
      <c r="AN102" s="30"/>
      <c r="AO102" s="30"/>
      <c r="AP102" s="30"/>
      <c r="AQ102" s="30"/>
      <c r="AR102" s="30"/>
      <c r="AS102" s="85"/>
      <c r="AT102" s="85"/>
      <c r="AU102" s="70"/>
      <c r="AW102" s="81"/>
      <c r="AX102" s="30"/>
      <c r="AY102" s="30"/>
      <c r="BA102" s="30"/>
      <c r="BB102" s="30"/>
      <c r="BC102" s="30"/>
      <c r="BD102" s="30"/>
      <c r="BE102" s="30"/>
      <c r="BF102" s="30"/>
      <c r="BG102" s="30"/>
      <c r="BH102" s="85"/>
      <c r="BI102" s="85"/>
      <c r="BJ102" s="70"/>
      <c r="BL102" s="81"/>
      <c r="BM102" s="30"/>
      <c r="BN102" s="30"/>
      <c r="BP102" s="30"/>
      <c r="BQ102" s="30"/>
      <c r="BR102" s="30"/>
      <c r="BS102" s="30"/>
      <c r="BT102" s="30"/>
      <c r="BU102" s="30"/>
      <c r="BV102" s="30"/>
      <c r="BW102" s="85"/>
      <c r="BX102" s="85"/>
      <c r="BY102" s="70"/>
      <c r="CA102" s="81"/>
      <c r="CB102" s="30"/>
      <c r="CC102" s="30"/>
      <c r="CE102" s="30"/>
      <c r="CF102" s="30"/>
      <c r="CG102" s="30"/>
      <c r="CH102" s="30"/>
      <c r="CI102" s="30"/>
      <c r="CJ102" s="30"/>
      <c r="CK102" s="30"/>
      <c r="CL102" s="85"/>
      <c r="CM102" s="85"/>
      <c r="CN102" s="70"/>
      <c r="CP102" s="81"/>
      <c r="CQ102" s="30"/>
      <c r="CR102" s="30"/>
      <c r="CT102" s="30"/>
      <c r="CU102" s="30"/>
      <c r="CV102" s="30"/>
      <c r="CW102" s="30"/>
      <c r="CX102" s="30"/>
      <c r="CY102" s="30"/>
      <c r="CZ102" s="30"/>
      <c r="DA102" s="85"/>
      <c r="DB102" s="85"/>
      <c r="DC102" s="70"/>
      <c r="DE102" s="81"/>
      <c r="DF102" s="30"/>
      <c r="DG102" s="30"/>
      <c r="DI102" s="30"/>
      <c r="DJ102" s="30"/>
      <c r="DK102" s="30"/>
      <c r="DL102" s="30"/>
      <c r="DM102" s="30"/>
      <c r="DN102" s="30"/>
      <c r="DO102" s="30"/>
      <c r="DP102" s="85"/>
      <c r="DQ102" s="85"/>
      <c r="DR102" s="70"/>
      <c r="DT102" s="81"/>
      <c r="DU102" s="30"/>
      <c r="DV102" s="30"/>
      <c r="DX102" s="30"/>
      <c r="DY102" s="30"/>
      <c r="DZ102" s="30"/>
      <c r="EA102" s="30"/>
      <c r="EB102" s="30"/>
      <c r="EC102" s="30"/>
      <c r="ED102" s="30"/>
      <c r="EE102" s="85"/>
      <c r="EF102" s="85"/>
      <c r="EG102" s="70"/>
      <c r="EI102" s="81"/>
      <c r="EJ102" s="30"/>
      <c r="EK102" s="30"/>
      <c r="EM102" s="30"/>
      <c r="EN102" s="30"/>
      <c r="EO102" s="30"/>
      <c r="EP102" s="30"/>
      <c r="EQ102" s="30"/>
      <c r="ER102" s="30"/>
      <c r="ES102" s="30"/>
      <c r="ET102" s="85"/>
      <c r="EU102" s="85"/>
      <c r="EV102" s="70"/>
    </row>
    <row r="103" spans="2:152">
      <c r="B103" s="11">
        <f t="shared" si="13"/>
        <v>0.17</v>
      </c>
      <c r="C103" s="28">
        <v>5.58</v>
      </c>
      <c r="D103" s="16"/>
      <c r="E103" s="8"/>
      <c r="F103" s="27">
        <f t="shared" si="14"/>
        <v>9.4317032040472153</v>
      </c>
      <c r="G103" s="27">
        <f t="shared" si="15"/>
        <v>-1247.0889999999995</v>
      </c>
      <c r="H103" s="27">
        <f t="shared" si="16"/>
        <v>439.28417194562837</v>
      </c>
      <c r="I103" s="27">
        <f t="shared" si="17"/>
        <v>-2.8389117560883932</v>
      </c>
      <c r="J103" s="27">
        <f t="shared" si="18"/>
        <v>5.5980364391579371E-2</v>
      </c>
      <c r="K103" s="27" t="e">
        <f t="shared" si="19"/>
        <v>#NUM!</v>
      </c>
      <c r="L103" s="27" t="e">
        <f t="shared" si="20"/>
        <v>#NUM!</v>
      </c>
      <c r="M103" s="17" t="e">
        <f t="shared" si="21"/>
        <v>#NUM!</v>
      </c>
      <c r="N103" s="17" t="e">
        <f t="shared" si="22"/>
        <v>#N/A</v>
      </c>
      <c r="O103" s="57" t="e">
        <f t="shared" si="23"/>
        <v>#N/A</v>
      </c>
      <c r="P103" s="17">
        <f t="shared" si="24"/>
        <v>0</v>
      </c>
      <c r="Q103" s="17">
        <f t="shared" si="25"/>
        <v>0</v>
      </c>
      <c r="S103" s="81"/>
      <c r="T103" s="30"/>
      <c r="U103" s="30"/>
      <c r="W103" s="30"/>
      <c r="X103" s="30"/>
      <c r="Y103" s="30"/>
      <c r="Z103" s="30"/>
      <c r="AA103" s="30"/>
      <c r="AB103" s="30"/>
      <c r="AC103" s="30"/>
      <c r="AD103" s="85"/>
      <c r="AE103" s="85"/>
      <c r="AF103" s="70"/>
      <c r="AH103" s="81"/>
      <c r="AI103" s="30"/>
      <c r="AJ103" s="30"/>
      <c r="AL103" s="30"/>
      <c r="AM103" s="30"/>
      <c r="AN103" s="30"/>
      <c r="AO103" s="30"/>
      <c r="AP103" s="30"/>
      <c r="AQ103" s="30"/>
      <c r="AR103" s="30"/>
      <c r="AS103" s="85"/>
      <c r="AT103" s="85"/>
      <c r="AU103" s="70"/>
      <c r="AW103" s="81"/>
      <c r="AX103" s="30"/>
      <c r="AY103" s="30"/>
      <c r="BA103" s="30"/>
      <c r="BB103" s="30"/>
      <c r="BC103" s="30"/>
      <c r="BD103" s="30"/>
      <c r="BE103" s="30"/>
      <c r="BF103" s="30"/>
      <c r="BG103" s="30"/>
      <c r="BH103" s="85"/>
      <c r="BI103" s="85"/>
      <c r="BJ103" s="70"/>
      <c r="BL103" s="81"/>
      <c r="BM103" s="30"/>
      <c r="BN103" s="30"/>
      <c r="BP103" s="30"/>
      <c r="BQ103" s="30"/>
      <c r="BR103" s="30"/>
      <c r="BS103" s="30"/>
      <c r="BT103" s="30"/>
      <c r="BU103" s="30"/>
      <c r="BV103" s="30"/>
      <c r="BW103" s="85"/>
      <c r="BX103" s="85"/>
      <c r="BY103" s="70"/>
      <c r="CA103" s="81"/>
      <c r="CB103" s="30"/>
      <c r="CC103" s="30"/>
      <c r="CE103" s="30"/>
      <c r="CF103" s="30"/>
      <c r="CG103" s="30"/>
      <c r="CH103" s="30"/>
      <c r="CI103" s="30"/>
      <c r="CJ103" s="30"/>
      <c r="CK103" s="30"/>
      <c r="CL103" s="85"/>
      <c r="CM103" s="85"/>
      <c r="CN103" s="70"/>
      <c r="CP103" s="81"/>
      <c r="CQ103" s="30"/>
      <c r="CR103" s="30"/>
      <c r="CT103" s="30"/>
      <c r="CU103" s="30"/>
      <c r="CV103" s="30"/>
      <c r="CW103" s="30"/>
      <c r="CX103" s="30"/>
      <c r="CY103" s="30"/>
      <c r="CZ103" s="30"/>
      <c r="DA103" s="85"/>
      <c r="DB103" s="85"/>
      <c r="DC103" s="70"/>
      <c r="DE103" s="81"/>
      <c r="DF103" s="30"/>
      <c r="DG103" s="30"/>
      <c r="DI103" s="30"/>
      <c r="DJ103" s="30"/>
      <c r="DK103" s="30"/>
      <c r="DL103" s="30"/>
      <c r="DM103" s="30"/>
      <c r="DN103" s="30"/>
      <c r="DO103" s="30"/>
      <c r="DP103" s="85"/>
      <c r="DQ103" s="85"/>
      <c r="DR103" s="70"/>
      <c r="DT103" s="81"/>
      <c r="DU103" s="30"/>
      <c r="DV103" s="30"/>
      <c r="DX103" s="30"/>
      <c r="DY103" s="30"/>
      <c r="DZ103" s="30"/>
      <c r="EA103" s="30"/>
      <c r="EB103" s="30"/>
      <c r="EC103" s="30"/>
      <c r="ED103" s="30"/>
      <c r="EE103" s="85"/>
      <c r="EF103" s="85"/>
      <c r="EG103" s="70"/>
      <c r="EI103" s="81"/>
      <c r="EJ103" s="30"/>
      <c r="EK103" s="30"/>
      <c r="EM103" s="30"/>
      <c r="EN103" s="30"/>
      <c r="EO103" s="30"/>
      <c r="EP103" s="30"/>
      <c r="EQ103" s="30"/>
      <c r="ER103" s="30"/>
      <c r="ES103" s="30"/>
      <c r="ET103" s="85"/>
      <c r="EU103" s="85"/>
      <c r="EV103" s="70"/>
    </row>
    <row r="104" spans="2:152">
      <c r="B104" s="11">
        <f t="shared" si="13"/>
        <v>0.17</v>
      </c>
      <c r="C104" s="28">
        <v>5.64</v>
      </c>
      <c r="D104" s="16"/>
      <c r="E104" s="8"/>
      <c r="F104" s="27">
        <f t="shared" si="14"/>
        <v>8.7639751552795015</v>
      </c>
      <c r="G104" s="27">
        <f t="shared" si="15"/>
        <v>-1247.0889999999997</v>
      </c>
      <c r="H104" s="27">
        <f t="shared" si="16"/>
        <v>447.4032158207558</v>
      </c>
      <c r="I104" s="27">
        <f t="shared" si="17"/>
        <v>-2.7873939120268281</v>
      </c>
      <c r="J104" s="27">
        <f t="shared" si="18"/>
        <v>6.0503570086433686E-2</v>
      </c>
      <c r="K104" s="27" t="e">
        <f t="shared" si="19"/>
        <v>#NUM!</v>
      </c>
      <c r="L104" s="27" t="e">
        <f t="shared" si="20"/>
        <v>#NUM!</v>
      </c>
      <c r="M104" s="17" t="e">
        <f t="shared" si="21"/>
        <v>#NUM!</v>
      </c>
      <c r="N104" s="17" t="e">
        <f t="shared" si="22"/>
        <v>#N/A</v>
      </c>
      <c r="O104" s="57" t="e">
        <f t="shared" si="23"/>
        <v>#N/A</v>
      </c>
      <c r="P104" s="17">
        <f t="shared" si="24"/>
        <v>0</v>
      </c>
      <c r="Q104" s="17">
        <f t="shared" si="25"/>
        <v>0</v>
      </c>
      <c r="S104" s="81"/>
      <c r="T104" s="30"/>
      <c r="U104" s="30"/>
      <c r="W104" s="30"/>
      <c r="X104" s="30"/>
      <c r="Y104" s="30"/>
      <c r="Z104" s="30"/>
      <c r="AA104" s="30"/>
      <c r="AB104" s="30"/>
      <c r="AC104" s="30"/>
      <c r="AD104" s="85"/>
      <c r="AE104" s="85"/>
      <c r="AF104" s="70"/>
      <c r="AH104" s="81"/>
      <c r="AI104" s="30"/>
      <c r="AJ104" s="30"/>
      <c r="AL104" s="30"/>
      <c r="AM104" s="30"/>
      <c r="AN104" s="30"/>
      <c r="AO104" s="30"/>
      <c r="AP104" s="30"/>
      <c r="AQ104" s="30"/>
      <c r="AR104" s="30"/>
      <c r="AS104" s="85"/>
      <c r="AT104" s="85"/>
      <c r="AU104" s="70"/>
      <c r="AW104" s="81"/>
      <c r="AX104" s="30"/>
      <c r="AY104" s="30"/>
      <c r="BA104" s="30"/>
      <c r="BB104" s="30"/>
      <c r="BC104" s="30"/>
      <c r="BD104" s="30"/>
      <c r="BE104" s="30"/>
      <c r="BF104" s="30"/>
      <c r="BG104" s="30"/>
      <c r="BH104" s="85"/>
      <c r="BI104" s="85"/>
      <c r="BJ104" s="70"/>
      <c r="BL104" s="81"/>
      <c r="BM104" s="30"/>
      <c r="BN104" s="30"/>
      <c r="BP104" s="30"/>
      <c r="BQ104" s="30"/>
      <c r="BR104" s="30"/>
      <c r="BS104" s="30"/>
      <c r="BT104" s="30"/>
      <c r="BU104" s="30"/>
      <c r="BV104" s="30"/>
      <c r="BW104" s="85"/>
      <c r="BX104" s="85"/>
      <c r="BY104" s="70"/>
      <c r="CA104" s="81"/>
      <c r="CB104" s="30"/>
      <c r="CC104" s="30"/>
      <c r="CE104" s="30"/>
      <c r="CF104" s="30"/>
      <c r="CG104" s="30"/>
      <c r="CH104" s="30"/>
      <c r="CI104" s="30"/>
      <c r="CJ104" s="30"/>
      <c r="CK104" s="30"/>
      <c r="CL104" s="85"/>
      <c r="CM104" s="85"/>
      <c r="CN104" s="70"/>
      <c r="CP104" s="81"/>
      <c r="CQ104" s="30"/>
      <c r="CR104" s="30"/>
      <c r="CT104" s="30"/>
      <c r="CU104" s="30"/>
      <c r="CV104" s="30"/>
      <c r="CW104" s="30"/>
      <c r="CX104" s="30"/>
      <c r="CY104" s="30"/>
      <c r="CZ104" s="30"/>
      <c r="DA104" s="85"/>
      <c r="DB104" s="85"/>
      <c r="DC104" s="70"/>
      <c r="DE104" s="81"/>
      <c r="DF104" s="30"/>
      <c r="DG104" s="30"/>
      <c r="DI104" s="30"/>
      <c r="DJ104" s="30"/>
      <c r="DK104" s="30"/>
      <c r="DL104" s="30"/>
      <c r="DM104" s="30"/>
      <c r="DN104" s="30"/>
      <c r="DO104" s="30"/>
      <c r="DP104" s="85"/>
      <c r="DQ104" s="85"/>
      <c r="DR104" s="70"/>
      <c r="DT104" s="81"/>
      <c r="DU104" s="30"/>
      <c r="DV104" s="30"/>
      <c r="DX104" s="30"/>
      <c r="DY104" s="30"/>
      <c r="DZ104" s="30"/>
      <c r="EA104" s="30"/>
      <c r="EB104" s="30"/>
      <c r="EC104" s="30"/>
      <c r="ED104" s="30"/>
      <c r="EE104" s="85"/>
      <c r="EF104" s="85"/>
      <c r="EG104" s="70"/>
      <c r="EI104" s="81"/>
      <c r="EJ104" s="30"/>
      <c r="EK104" s="30"/>
      <c r="EM104" s="30"/>
      <c r="EN104" s="30"/>
      <c r="EO104" s="30"/>
      <c r="EP104" s="30"/>
      <c r="EQ104" s="30"/>
      <c r="ER104" s="30"/>
      <c r="ES104" s="30"/>
      <c r="ET104" s="85"/>
      <c r="EU104" s="85"/>
      <c r="EV104" s="70"/>
    </row>
    <row r="105" spans="2:152">
      <c r="B105" s="11">
        <f t="shared" si="13"/>
        <v>0.17</v>
      </c>
      <c r="C105" s="28">
        <v>5.7</v>
      </c>
      <c r="D105" s="16"/>
      <c r="E105" s="8"/>
      <c r="F105" s="27">
        <f t="shared" si="14"/>
        <v>8.1942446043165464</v>
      </c>
      <c r="G105" s="27">
        <f t="shared" si="15"/>
        <v>-1247.0890000000004</v>
      </c>
      <c r="H105" s="27">
        <f t="shared" si="16"/>
        <v>455.52225969588335</v>
      </c>
      <c r="I105" s="27">
        <f t="shared" si="17"/>
        <v>-2.7377125342515298</v>
      </c>
      <c r="J105" s="27">
        <f t="shared" si="18"/>
        <v>6.4983637213651232E-2</v>
      </c>
      <c r="K105" s="27" t="e">
        <f t="shared" si="19"/>
        <v>#NUM!</v>
      </c>
      <c r="L105" s="27" t="e">
        <f t="shared" si="20"/>
        <v>#NUM!</v>
      </c>
      <c r="M105" s="17" t="e">
        <f t="shared" si="21"/>
        <v>#NUM!</v>
      </c>
      <c r="N105" s="17" t="e">
        <f t="shared" si="22"/>
        <v>#N/A</v>
      </c>
      <c r="O105" s="57" t="e">
        <f t="shared" si="23"/>
        <v>#N/A</v>
      </c>
      <c r="P105" s="17">
        <f t="shared" si="24"/>
        <v>0</v>
      </c>
      <c r="Q105" s="17">
        <f t="shared" si="25"/>
        <v>0</v>
      </c>
      <c r="S105" s="81"/>
      <c r="T105" s="30"/>
      <c r="U105" s="30"/>
      <c r="W105" s="30"/>
      <c r="X105" s="30"/>
      <c r="Y105" s="30"/>
      <c r="Z105" s="30"/>
      <c r="AA105" s="30"/>
      <c r="AB105" s="30"/>
      <c r="AC105" s="30"/>
      <c r="AD105" s="85"/>
      <c r="AE105" s="85"/>
      <c r="AF105" s="70"/>
      <c r="AH105" s="81"/>
      <c r="AI105" s="30"/>
      <c r="AJ105" s="30"/>
      <c r="AL105" s="30"/>
      <c r="AM105" s="30"/>
      <c r="AN105" s="30"/>
      <c r="AO105" s="30"/>
      <c r="AP105" s="30"/>
      <c r="AQ105" s="30"/>
      <c r="AR105" s="30"/>
      <c r="AS105" s="85"/>
      <c r="AT105" s="85"/>
      <c r="AU105" s="70"/>
      <c r="AW105" s="81"/>
      <c r="AX105" s="30"/>
      <c r="AY105" s="30"/>
      <c r="BA105" s="30"/>
      <c r="BB105" s="30"/>
      <c r="BC105" s="30"/>
      <c r="BD105" s="30"/>
      <c r="BE105" s="30"/>
      <c r="BF105" s="30"/>
      <c r="BG105" s="30"/>
      <c r="BH105" s="85"/>
      <c r="BI105" s="85"/>
      <c r="BJ105" s="70"/>
      <c r="BL105" s="81"/>
      <c r="BM105" s="30"/>
      <c r="BN105" s="30"/>
      <c r="BP105" s="30"/>
      <c r="BQ105" s="30"/>
      <c r="BR105" s="30"/>
      <c r="BS105" s="30"/>
      <c r="BT105" s="30"/>
      <c r="BU105" s="30"/>
      <c r="BV105" s="30"/>
      <c r="BW105" s="85"/>
      <c r="BX105" s="85"/>
      <c r="BY105" s="70"/>
      <c r="CA105" s="81"/>
      <c r="CB105" s="30"/>
      <c r="CC105" s="30"/>
      <c r="CE105" s="30"/>
      <c r="CF105" s="30"/>
      <c r="CG105" s="30"/>
      <c r="CH105" s="30"/>
      <c r="CI105" s="30"/>
      <c r="CJ105" s="30"/>
      <c r="CK105" s="30"/>
      <c r="CL105" s="85"/>
      <c r="CM105" s="85"/>
      <c r="CN105" s="70"/>
      <c r="CP105" s="81"/>
      <c r="CQ105" s="30"/>
      <c r="CR105" s="30"/>
      <c r="CT105" s="30"/>
      <c r="CU105" s="30"/>
      <c r="CV105" s="30"/>
      <c r="CW105" s="30"/>
      <c r="CX105" s="30"/>
      <c r="CY105" s="30"/>
      <c r="CZ105" s="30"/>
      <c r="DA105" s="85"/>
      <c r="DB105" s="85"/>
      <c r="DC105" s="70"/>
      <c r="DE105" s="81"/>
      <c r="DF105" s="30"/>
      <c r="DG105" s="30"/>
      <c r="DI105" s="30"/>
      <c r="DJ105" s="30"/>
      <c r="DK105" s="30"/>
      <c r="DL105" s="30"/>
      <c r="DM105" s="30"/>
      <c r="DN105" s="30"/>
      <c r="DO105" s="30"/>
      <c r="DP105" s="85"/>
      <c r="DQ105" s="85"/>
      <c r="DR105" s="70"/>
      <c r="DT105" s="81"/>
      <c r="DU105" s="30"/>
      <c r="DV105" s="30"/>
      <c r="DX105" s="30"/>
      <c r="DY105" s="30"/>
      <c r="DZ105" s="30"/>
      <c r="EA105" s="30"/>
      <c r="EB105" s="30"/>
      <c r="EC105" s="30"/>
      <c r="ED105" s="30"/>
      <c r="EE105" s="85"/>
      <c r="EF105" s="85"/>
      <c r="EG105" s="70"/>
      <c r="EI105" s="81"/>
      <c r="EJ105" s="30"/>
      <c r="EK105" s="30"/>
      <c r="EM105" s="30"/>
      <c r="EN105" s="30"/>
      <c r="EO105" s="30"/>
      <c r="EP105" s="30"/>
      <c r="EQ105" s="30"/>
      <c r="ER105" s="30"/>
      <c r="ES105" s="30"/>
      <c r="ET105" s="85"/>
      <c r="EU105" s="85"/>
      <c r="EV105" s="70"/>
    </row>
    <row r="106" spans="2:152">
      <c r="B106" s="11">
        <f t="shared" si="13"/>
        <v>0.17</v>
      </c>
      <c r="C106" s="28">
        <v>5.76</v>
      </c>
      <c r="D106" s="16"/>
      <c r="E106" s="8"/>
      <c r="F106" s="27">
        <f t="shared" si="14"/>
        <v>7.7024128686327078</v>
      </c>
      <c r="G106" s="27">
        <f t="shared" si="15"/>
        <v>-1247.0889999999997</v>
      </c>
      <c r="H106" s="27">
        <f t="shared" si="16"/>
        <v>463.64130357101112</v>
      </c>
      <c r="I106" s="27">
        <f t="shared" si="17"/>
        <v>-2.6897711450528612</v>
      </c>
      <c r="J106" s="27">
        <f t="shared" si="18"/>
        <v>6.9421179973943786E-2</v>
      </c>
      <c r="K106" s="27" t="e">
        <f t="shared" si="19"/>
        <v>#NUM!</v>
      </c>
      <c r="L106" s="27" t="e">
        <f t="shared" si="20"/>
        <v>#NUM!</v>
      </c>
      <c r="M106" s="17" t="e">
        <f t="shared" si="21"/>
        <v>#NUM!</v>
      </c>
      <c r="N106" s="17" t="e">
        <f t="shared" si="22"/>
        <v>#N/A</v>
      </c>
      <c r="O106" s="57" t="e">
        <f t="shared" si="23"/>
        <v>#N/A</v>
      </c>
      <c r="P106" s="17">
        <f t="shared" si="24"/>
        <v>0</v>
      </c>
      <c r="Q106" s="17">
        <f t="shared" si="25"/>
        <v>0</v>
      </c>
      <c r="S106" s="81"/>
      <c r="T106" s="30"/>
      <c r="U106" s="30"/>
      <c r="W106" s="30"/>
      <c r="X106" s="30"/>
      <c r="Y106" s="30"/>
      <c r="Z106" s="30"/>
      <c r="AA106" s="30"/>
      <c r="AB106" s="30"/>
      <c r="AC106" s="30"/>
      <c r="AD106" s="85"/>
      <c r="AE106" s="85"/>
      <c r="AF106" s="70"/>
      <c r="AH106" s="81"/>
      <c r="AI106" s="30"/>
      <c r="AJ106" s="30"/>
      <c r="AL106" s="30"/>
      <c r="AM106" s="30"/>
      <c r="AN106" s="30"/>
      <c r="AO106" s="30"/>
      <c r="AP106" s="30"/>
      <c r="AQ106" s="30"/>
      <c r="AR106" s="30"/>
      <c r="AS106" s="85"/>
      <c r="AT106" s="85"/>
      <c r="AU106" s="70"/>
      <c r="AW106" s="81"/>
      <c r="AX106" s="30"/>
      <c r="AY106" s="30"/>
      <c r="BA106" s="30"/>
      <c r="BB106" s="30"/>
      <c r="BC106" s="30"/>
      <c r="BD106" s="30"/>
      <c r="BE106" s="30"/>
      <c r="BF106" s="30"/>
      <c r="BG106" s="30"/>
      <c r="BH106" s="85"/>
      <c r="BI106" s="85"/>
      <c r="BJ106" s="70"/>
      <c r="BL106" s="81"/>
      <c r="BM106" s="30"/>
      <c r="BN106" s="30"/>
      <c r="BP106" s="30"/>
      <c r="BQ106" s="30"/>
      <c r="BR106" s="30"/>
      <c r="BS106" s="30"/>
      <c r="BT106" s="30"/>
      <c r="BU106" s="30"/>
      <c r="BV106" s="30"/>
      <c r="BW106" s="85"/>
      <c r="BX106" s="85"/>
      <c r="BY106" s="70"/>
      <c r="CA106" s="81"/>
      <c r="CB106" s="30"/>
      <c r="CC106" s="30"/>
      <c r="CE106" s="30"/>
      <c r="CF106" s="30"/>
      <c r="CG106" s="30"/>
      <c r="CH106" s="30"/>
      <c r="CI106" s="30"/>
      <c r="CJ106" s="30"/>
      <c r="CK106" s="30"/>
      <c r="CL106" s="85"/>
      <c r="CM106" s="85"/>
      <c r="CN106" s="70"/>
      <c r="CP106" s="81"/>
      <c r="CQ106" s="30"/>
      <c r="CR106" s="30"/>
      <c r="CT106" s="30"/>
      <c r="CU106" s="30"/>
      <c r="CV106" s="30"/>
      <c r="CW106" s="30"/>
      <c r="CX106" s="30"/>
      <c r="CY106" s="30"/>
      <c r="CZ106" s="30"/>
      <c r="DA106" s="85"/>
      <c r="DB106" s="85"/>
      <c r="DC106" s="70"/>
      <c r="DE106" s="81"/>
      <c r="DF106" s="30"/>
      <c r="DG106" s="30"/>
      <c r="DI106" s="30"/>
      <c r="DJ106" s="30"/>
      <c r="DK106" s="30"/>
      <c r="DL106" s="30"/>
      <c r="DM106" s="30"/>
      <c r="DN106" s="30"/>
      <c r="DO106" s="30"/>
      <c r="DP106" s="85"/>
      <c r="DQ106" s="85"/>
      <c r="DR106" s="70"/>
      <c r="DT106" s="81"/>
      <c r="DU106" s="30"/>
      <c r="DV106" s="30"/>
      <c r="DX106" s="30"/>
      <c r="DY106" s="30"/>
      <c r="DZ106" s="30"/>
      <c r="EA106" s="30"/>
      <c r="EB106" s="30"/>
      <c r="EC106" s="30"/>
      <c r="ED106" s="30"/>
      <c r="EE106" s="85"/>
      <c r="EF106" s="85"/>
      <c r="EG106" s="70"/>
      <c r="EI106" s="81"/>
      <c r="EJ106" s="30"/>
      <c r="EK106" s="30"/>
      <c r="EM106" s="30"/>
      <c r="EN106" s="30"/>
      <c r="EO106" s="30"/>
      <c r="EP106" s="30"/>
      <c r="EQ106" s="30"/>
      <c r="ER106" s="30"/>
      <c r="ES106" s="30"/>
      <c r="ET106" s="85"/>
      <c r="EU106" s="85"/>
      <c r="EV106" s="70"/>
    </row>
    <row r="107" spans="2:152">
      <c r="B107" s="11">
        <f t="shared" si="13"/>
        <v>0.17</v>
      </c>
      <c r="C107" s="28">
        <v>5.82</v>
      </c>
      <c r="D107" s="16"/>
      <c r="E107" s="8"/>
      <c r="F107" s="27">
        <f t="shared" si="14"/>
        <v>7.2735257214554494</v>
      </c>
      <c r="G107" s="27">
        <f t="shared" si="15"/>
        <v>-1247.0890000000002</v>
      </c>
      <c r="H107" s="27">
        <f t="shared" si="16"/>
        <v>471.76034744613889</v>
      </c>
      <c r="I107" s="27">
        <f t="shared" si="17"/>
        <v>-2.6434799082862321</v>
      </c>
      <c r="J107" s="27">
        <f t="shared" si="18"/>
        <v>7.3816800963230622E-2</v>
      </c>
      <c r="K107" s="27" t="e">
        <f t="shared" si="19"/>
        <v>#NUM!</v>
      </c>
      <c r="L107" s="27" t="e">
        <f t="shared" si="20"/>
        <v>#NUM!</v>
      </c>
      <c r="M107" s="17" t="e">
        <f t="shared" si="21"/>
        <v>#NUM!</v>
      </c>
      <c r="N107" s="17" t="e">
        <f t="shared" si="22"/>
        <v>#N/A</v>
      </c>
      <c r="O107" s="57" t="e">
        <f t="shared" si="23"/>
        <v>#N/A</v>
      </c>
      <c r="P107" s="17">
        <f t="shared" si="24"/>
        <v>0</v>
      </c>
      <c r="Q107" s="17">
        <f t="shared" si="25"/>
        <v>0</v>
      </c>
      <c r="S107" s="81"/>
      <c r="T107" s="30"/>
      <c r="U107" s="30"/>
      <c r="W107" s="30"/>
      <c r="X107" s="30"/>
      <c r="Y107" s="30"/>
      <c r="Z107" s="30"/>
      <c r="AA107" s="30"/>
      <c r="AB107" s="30"/>
      <c r="AC107" s="30"/>
      <c r="AD107" s="85"/>
      <c r="AE107" s="85"/>
      <c r="AF107" s="70"/>
      <c r="AH107" s="81"/>
      <c r="AI107" s="30"/>
      <c r="AJ107" s="30"/>
      <c r="AL107" s="30"/>
      <c r="AM107" s="30"/>
      <c r="AN107" s="30"/>
      <c r="AO107" s="30"/>
      <c r="AP107" s="30"/>
      <c r="AQ107" s="30"/>
      <c r="AR107" s="30"/>
      <c r="AS107" s="85"/>
      <c r="AT107" s="85"/>
      <c r="AU107" s="70"/>
      <c r="AW107" s="81"/>
      <c r="AX107" s="30"/>
      <c r="AY107" s="30"/>
      <c r="BA107" s="30"/>
      <c r="BB107" s="30"/>
      <c r="BC107" s="30"/>
      <c r="BD107" s="30"/>
      <c r="BE107" s="30"/>
      <c r="BF107" s="30"/>
      <c r="BG107" s="30"/>
      <c r="BH107" s="85"/>
      <c r="BI107" s="85"/>
      <c r="BJ107" s="70"/>
      <c r="BL107" s="81"/>
      <c r="BM107" s="30"/>
      <c r="BN107" s="30"/>
      <c r="BP107" s="30"/>
      <c r="BQ107" s="30"/>
      <c r="BR107" s="30"/>
      <c r="BS107" s="30"/>
      <c r="BT107" s="30"/>
      <c r="BU107" s="30"/>
      <c r="BV107" s="30"/>
      <c r="BW107" s="85"/>
      <c r="BX107" s="85"/>
      <c r="BY107" s="70"/>
      <c r="CA107" s="81"/>
      <c r="CB107" s="30"/>
      <c r="CC107" s="30"/>
      <c r="CE107" s="30"/>
      <c r="CF107" s="30"/>
      <c r="CG107" s="30"/>
      <c r="CH107" s="30"/>
      <c r="CI107" s="30"/>
      <c r="CJ107" s="30"/>
      <c r="CK107" s="30"/>
      <c r="CL107" s="85"/>
      <c r="CM107" s="85"/>
      <c r="CN107" s="70"/>
      <c r="CP107" s="81"/>
      <c r="CQ107" s="30"/>
      <c r="CR107" s="30"/>
      <c r="CT107" s="30"/>
      <c r="CU107" s="30"/>
      <c r="CV107" s="30"/>
      <c r="CW107" s="30"/>
      <c r="CX107" s="30"/>
      <c r="CY107" s="30"/>
      <c r="CZ107" s="30"/>
      <c r="DA107" s="85"/>
      <c r="DB107" s="85"/>
      <c r="DC107" s="70"/>
      <c r="DE107" s="81"/>
      <c r="DF107" s="30"/>
      <c r="DG107" s="30"/>
      <c r="DI107" s="30"/>
      <c r="DJ107" s="30"/>
      <c r="DK107" s="30"/>
      <c r="DL107" s="30"/>
      <c r="DM107" s="30"/>
      <c r="DN107" s="30"/>
      <c r="DO107" s="30"/>
      <c r="DP107" s="85"/>
      <c r="DQ107" s="85"/>
      <c r="DR107" s="70"/>
      <c r="DT107" s="81"/>
      <c r="DU107" s="30"/>
      <c r="DV107" s="30"/>
      <c r="DX107" s="30"/>
      <c r="DY107" s="30"/>
      <c r="DZ107" s="30"/>
      <c r="EA107" s="30"/>
      <c r="EB107" s="30"/>
      <c r="EC107" s="30"/>
      <c r="ED107" s="30"/>
      <c r="EE107" s="85"/>
      <c r="EF107" s="85"/>
      <c r="EG107" s="70"/>
      <c r="EI107" s="81"/>
      <c r="EJ107" s="30"/>
      <c r="EK107" s="30"/>
      <c r="EM107" s="30"/>
      <c r="EN107" s="30"/>
      <c r="EO107" s="30"/>
      <c r="EP107" s="30"/>
      <c r="EQ107" s="30"/>
      <c r="ER107" s="30"/>
      <c r="ES107" s="30"/>
      <c r="ET107" s="85"/>
      <c r="EU107" s="85"/>
      <c r="EV107" s="70"/>
    </row>
    <row r="108" spans="2:152">
      <c r="B108" s="11">
        <f t="shared" si="13"/>
        <v>0.17</v>
      </c>
      <c r="C108" s="28">
        <v>5.88</v>
      </c>
      <c r="D108" s="16"/>
      <c r="E108" s="8"/>
      <c r="F108" s="27">
        <f t="shared" si="14"/>
        <v>6.8962264150943406</v>
      </c>
      <c r="G108" s="27">
        <f t="shared" si="15"/>
        <v>-1247.0889999999997</v>
      </c>
      <c r="H108" s="27">
        <f t="shared" si="16"/>
        <v>479.87939132126633</v>
      </c>
      <c r="I108" s="27">
        <f t="shared" si="17"/>
        <v>-2.5987550675313482</v>
      </c>
      <c r="J108" s="27">
        <f t="shared" si="18"/>
        <v>7.8171091445427721E-2</v>
      </c>
      <c r="K108" s="27" t="e">
        <f t="shared" si="19"/>
        <v>#NUM!</v>
      </c>
      <c r="L108" s="27" t="e">
        <f t="shared" si="20"/>
        <v>#NUM!</v>
      </c>
      <c r="M108" s="17" t="e">
        <f t="shared" si="21"/>
        <v>#NUM!</v>
      </c>
      <c r="N108" s="17" t="e">
        <f t="shared" si="22"/>
        <v>#N/A</v>
      </c>
      <c r="O108" s="57" t="e">
        <f t="shared" si="23"/>
        <v>#N/A</v>
      </c>
      <c r="P108" s="17">
        <f t="shared" si="24"/>
        <v>0</v>
      </c>
      <c r="Q108" s="17">
        <f t="shared" si="25"/>
        <v>0</v>
      </c>
      <c r="S108" s="81"/>
      <c r="T108" s="30"/>
      <c r="U108" s="30"/>
      <c r="W108" s="30"/>
      <c r="X108" s="30"/>
      <c r="Y108" s="30"/>
      <c r="Z108" s="30"/>
      <c r="AA108" s="30"/>
      <c r="AB108" s="30"/>
      <c r="AC108" s="30"/>
      <c r="AD108" s="85"/>
      <c r="AE108" s="85"/>
      <c r="AF108" s="70"/>
      <c r="AH108" s="81"/>
      <c r="AI108" s="30"/>
      <c r="AJ108" s="30"/>
      <c r="AL108" s="30"/>
      <c r="AM108" s="30"/>
      <c r="AN108" s="30"/>
      <c r="AO108" s="30"/>
      <c r="AP108" s="30"/>
      <c r="AQ108" s="30"/>
      <c r="AR108" s="30"/>
      <c r="AS108" s="85"/>
      <c r="AT108" s="85"/>
      <c r="AU108" s="70"/>
      <c r="AW108" s="81"/>
      <c r="AX108" s="30"/>
      <c r="AY108" s="30"/>
      <c r="BA108" s="30"/>
      <c r="BB108" s="30"/>
      <c r="BC108" s="30"/>
      <c r="BD108" s="30"/>
      <c r="BE108" s="30"/>
      <c r="BF108" s="30"/>
      <c r="BG108" s="30"/>
      <c r="BH108" s="85"/>
      <c r="BI108" s="85"/>
      <c r="BJ108" s="70"/>
      <c r="BL108" s="81"/>
      <c r="BM108" s="30"/>
      <c r="BN108" s="30"/>
      <c r="BP108" s="30"/>
      <c r="BQ108" s="30"/>
      <c r="BR108" s="30"/>
      <c r="BS108" s="30"/>
      <c r="BT108" s="30"/>
      <c r="BU108" s="30"/>
      <c r="BV108" s="30"/>
      <c r="BW108" s="85"/>
      <c r="BX108" s="85"/>
      <c r="BY108" s="70"/>
      <c r="CA108" s="81"/>
      <c r="CB108" s="30"/>
      <c r="CC108" s="30"/>
      <c r="CE108" s="30"/>
      <c r="CF108" s="30"/>
      <c r="CG108" s="30"/>
      <c r="CH108" s="30"/>
      <c r="CI108" s="30"/>
      <c r="CJ108" s="30"/>
      <c r="CK108" s="30"/>
      <c r="CL108" s="85"/>
      <c r="CM108" s="85"/>
      <c r="CN108" s="70"/>
      <c r="CP108" s="81"/>
      <c r="CQ108" s="30"/>
      <c r="CR108" s="30"/>
      <c r="CT108" s="30"/>
      <c r="CU108" s="30"/>
      <c r="CV108" s="30"/>
      <c r="CW108" s="30"/>
      <c r="CX108" s="30"/>
      <c r="CY108" s="30"/>
      <c r="CZ108" s="30"/>
      <c r="DA108" s="85"/>
      <c r="DB108" s="85"/>
      <c r="DC108" s="70"/>
      <c r="DE108" s="81"/>
      <c r="DF108" s="30"/>
      <c r="DG108" s="30"/>
      <c r="DI108" s="30"/>
      <c r="DJ108" s="30"/>
      <c r="DK108" s="30"/>
      <c r="DL108" s="30"/>
      <c r="DM108" s="30"/>
      <c r="DN108" s="30"/>
      <c r="DO108" s="30"/>
      <c r="DP108" s="85"/>
      <c r="DQ108" s="85"/>
      <c r="DR108" s="70"/>
      <c r="DT108" s="81"/>
      <c r="DU108" s="30"/>
      <c r="DV108" s="30"/>
      <c r="DX108" s="30"/>
      <c r="DY108" s="30"/>
      <c r="DZ108" s="30"/>
      <c r="EA108" s="30"/>
      <c r="EB108" s="30"/>
      <c r="EC108" s="30"/>
      <c r="ED108" s="30"/>
      <c r="EE108" s="85"/>
      <c r="EF108" s="85"/>
      <c r="EG108" s="70"/>
      <c r="EI108" s="81"/>
      <c r="EJ108" s="30"/>
      <c r="EK108" s="30"/>
      <c r="EM108" s="30"/>
      <c r="EN108" s="30"/>
      <c r="EO108" s="30"/>
      <c r="EP108" s="30"/>
      <c r="EQ108" s="30"/>
      <c r="ER108" s="30"/>
      <c r="ES108" s="30"/>
      <c r="ET108" s="85"/>
      <c r="EU108" s="85"/>
      <c r="EV108" s="70"/>
    </row>
    <row r="109" spans="2:152">
      <c r="B109" s="11">
        <f t="shared" si="13"/>
        <v>0.17</v>
      </c>
      <c r="C109" s="28">
        <v>5.94</v>
      </c>
      <c r="D109" s="16"/>
      <c r="E109" s="8"/>
      <c r="F109" s="27">
        <f t="shared" si="14"/>
        <v>6.5617352614015516</v>
      </c>
      <c r="G109" s="27">
        <f t="shared" si="15"/>
        <v>-1247.0890000000002</v>
      </c>
      <c r="H109" s="27">
        <f t="shared" si="16"/>
        <v>487.9984351963941</v>
      </c>
      <c r="I109" s="27">
        <f t="shared" si="17"/>
        <v>-2.5555184403370297</v>
      </c>
      <c r="J109" s="27">
        <f t="shared" si="18"/>
        <v>8.2484631617579671E-2</v>
      </c>
      <c r="K109" s="27" t="e">
        <f t="shared" si="19"/>
        <v>#NUM!</v>
      </c>
      <c r="L109" s="27" t="e">
        <f t="shared" si="20"/>
        <v>#NUM!</v>
      </c>
      <c r="M109" s="17" t="e">
        <f t="shared" si="21"/>
        <v>#NUM!</v>
      </c>
      <c r="N109" s="17" t="e">
        <f t="shared" si="22"/>
        <v>#N/A</v>
      </c>
      <c r="O109" s="57" t="e">
        <f t="shared" si="23"/>
        <v>#N/A</v>
      </c>
      <c r="P109" s="17">
        <f t="shared" si="24"/>
        <v>0</v>
      </c>
      <c r="Q109" s="17">
        <f t="shared" si="25"/>
        <v>0</v>
      </c>
      <c r="S109" s="81"/>
      <c r="T109" s="30"/>
      <c r="U109" s="30"/>
      <c r="W109" s="30"/>
      <c r="X109" s="30"/>
      <c r="Y109" s="30"/>
      <c r="Z109" s="30"/>
      <c r="AA109" s="30"/>
      <c r="AB109" s="30"/>
      <c r="AC109" s="30"/>
      <c r="AD109" s="85"/>
      <c r="AE109" s="85"/>
      <c r="AF109" s="70"/>
      <c r="AH109" s="81"/>
      <c r="AI109" s="30"/>
      <c r="AJ109" s="30"/>
      <c r="AL109" s="30"/>
      <c r="AM109" s="30"/>
      <c r="AN109" s="30"/>
      <c r="AO109" s="30"/>
      <c r="AP109" s="30"/>
      <c r="AQ109" s="30"/>
      <c r="AR109" s="30"/>
      <c r="AS109" s="85"/>
      <c r="AT109" s="85"/>
      <c r="AU109" s="70"/>
      <c r="AW109" s="81"/>
      <c r="AX109" s="30"/>
      <c r="AY109" s="30"/>
      <c r="BA109" s="30"/>
      <c r="BB109" s="30"/>
      <c r="BC109" s="30"/>
      <c r="BD109" s="30"/>
      <c r="BE109" s="30"/>
      <c r="BF109" s="30"/>
      <c r="BG109" s="30"/>
      <c r="BH109" s="85"/>
      <c r="BI109" s="85"/>
      <c r="BJ109" s="70"/>
      <c r="BL109" s="81"/>
      <c r="BM109" s="30"/>
      <c r="BN109" s="30"/>
      <c r="BP109" s="30"/>
      <c r="BQ109" s="30"/>
      <c r="BR109" s="30"/>
      <c r="BS109" s="30"/>
      <c r="BT109" s="30"/>
      <c r="BU109" s="30"/>
      <c r="BV109" s="30"/>
      <c r="BW109" s="85"/>
      <c r="BX109" s="85"/>
      <c r="BY109" s="70"/>
      <c r="CA109" s="81"/>
      <c r="CB109" s="30"/>
      <c r="CC109" s="30"/>
      <c r="CE109" s="30"/>
      <c r="CF109" s="30"/>
      <c r="CG109" s="30"/>
      <c r="CH109" s="30"/>
      <c r="CI109" s="30"/>
      <c r="CJ109" s="30"/>
      <c r="CK109" s="30"/>
      <c r="CL109" s="85"/>
      <c r="CM109" s="85"/>
      <c r="CN109" s="70"/>
      <c r="CP109" s="81"/>
      <c r="CQ109" s="30"/>
      <c r="CR109" s="30"/>
      <c r="CT109" s="30"/>
      <c r="CU109" s="30"/>
      <c r="CV109" s="30"/>
      <c r="CW109" s="30"/>
      <c r="CX109" s="30"/>
      <c r="CY109" s="30"/>
      <c r="CZ109" s="30"/>
      <c r="DA109" s="85"/>
      <c r="DB109" s="85"/>
      <c r="DC109" s="70"/>
      <c r="DE109" s="81"/>
      <c r="DF109" s="30"/>
      <c r="DG109" s="30"/>
      <c r="DI109" s="30"/>
      <c r="DJ109" s="30"/>
      <c r="DK109" s="30"/>
      <c r="DL109" s="30"/>
      <c r="DM109" s="30"/>
      <c r="DN109" s="30"/>
      <c r="DO109" s="30"/>
      <c r="DP109" s="85"/>
      <c r="DQ109" s="85"/>
      <c r="DR109" s="70"/>
      <c r="DT109" s="81"/>
      <c r="DU109" s="30"/>
      <c r="DV109" s="30"/>
      <c r="DX109" s="30"/>
      <c r="DY109" s="30"/>
      <c r="DZ109" s="30"/>
      <c r="EA109" s="30"/>
      <c r="EB109" s="30"/>
      <c r="EC109" s="30"/>
      <c r="ED109" s="30"/>
      <c r="EE109" s="85"/>
      <c r="EF109" s="85"/>
      <c r="EG109" s="70"/>
      <c r="EI109" s="81"/>
      <c r="EJ109" s="30"/>
      <c r="EK109" s="30"/>
      <c r="EM109" s="30"/>
      <c r="EN109" s="30"/>
      <c r="EO109" s="30"/>
      <c r="EP109" s="30"/>
      <c r="EQ109" s="30"/>
      <c r="ER109" s="30"/>
      <c r="ES109" s="30"/>
      <c r="ET109" s="85"/>
      <c r="EU109" s="85"/>
      <c r="EV109" s="70"/>
    </row>
    <row r="110" spans="2:152">
      <c r="B110" s="11">
        <f t="shared" si="13"/>
        <v>0.17</v>
      </c>
      <c r="C110" s="28">
        <v>6</v>
      </c>
      <c r="D110" s="18"/>
      <c r="E110" s="10"/>
      <c r="F110" s="27">
        <f t="shared" si="14"/>
        <v>6.2631578947368372</v>
      </c>
      <c r="G110" s="27">
        <f t="shared" si="15"/>
        <v>-1247.0890000000006</v>
      </c>
      <c r="H110" s="27">
        <f t="shared" si="16"/>
        <v>496.11747907152142</v>
      </c>
      <c r="I110" s="27">
        <f t="shared" si="17"/>
        <v>-2.5136969621266205</v>
      </c>
      <c r="J110" s="27">
        <f t="shared" si="18"/>
        <v>8.6757990867579973E-2</v>
      </c>
      <c r="K110" s="27" t="e">
        <f t="shared" si="19"/>
        <v>#NUM!</v>
      </c>
      <c r="L110" s="27" t="e">
        <f t="shared" si="20"/>
        <v>#NUM!</v>
      </c>
      <c r="M110" s="17" t="e">
        <f t="shared" si="21"/>
        <v>#NUM!</v>
      </c>
      <c r="N110" s="17" t="e">
        <f t="shared" si="22"/>
        <v>#N/A</v>
      </c>
      <c r="O110" s="57" t="e">
        <f t="shared" si="23"/>
        <v>#N/A</v>
      </c>
      <c r="P110" s="17">
        <f t="shared" si="24"/>
        <v>0</v>
      </c>
      <c r="Q110" s="17">
        <f t="shared" si="25"/>
        <v>0</v>
      </c>
      <c r="S110" s="81"/>
      <c r="T110" s="30"/>
      <c r="U110" s="30"/>
      <c r="W110" s="30"/>
      <c r="X110" s="30"/>
      <c r="Y110" s="30"/>
      <c r="Z110" s="30"/>
      <c r="AA110" s="30"/>
      <c r="AB110" s="30"/>
      <c r="AC110" s="30"/>
      <c r="AD110" s="85"/>
      <c r="AE110" s="85"/>
      <c r="AF110" s="70"/>
      <c r="AH110" s="81"/>
      <c r="AI110" s="30"/>
      <c r="AJ110" s="30"/>
      <c r="AL110" s="30"/>
      <c r="AM110" s="30"/>
      <c r="AN110" s="30"/>
      <c r="AO110" s="30"/>
      <c r="AP110" s="30"/>
      <c r="AQ110" s="30"/>
      <c r="AR110" s="30"/>
      <c r="AS110" s="85"/>
      <c r="AT110" s="85"/>
      <c r="AU110" s="70"/>
      <c r="AW110" s="81"/>
      <c r="AX110" s="30"/>
      <c r="AY110" s="30"/>
      <c r="BA110" s="30"/>
      <c r="BB110" s="30"/>
      <c r="BC110" s="30"/>
      <c r="BD110" s="30"/>
      <c r="BE110" s="30"/>
      <c r="BF110" s="30"/>
      <c r="BG110" s="30"/>
      <c r="BH110" s="85"/>
      <c r="BI110" s="85"/>
      <c r="BJ110" s="70"/>
      <c r="BL110" s="81"/>
      <c r="BM110" s="30"/>
      <c r="BN110" s="30"/>
      <c r="BP110" s="30"/>
      <c r="BQ110" s="30"/>
      <c r="BR110" s="30"/>
      <c r="BS110" s="30"/>
      <c r="BT110" s="30"/>
      <c r="BU110" s="30"/>
      <c r="BV110" s="30"/>
      <c r="BW110" s="85"/>
      <c r="BX110" s="85"/>
      <c r="BY110" s="70"/>
      <c r="CA110" s="81"/>
      <c r="CB110" s="30"/>
      <c r="CC110" s="30"/>
      <c r="CE110" s="30"/>
      <c r="CF110" s="30"/>
      <c r="CG110" s="30"/>
      <c r="CH110" s="30"/>
      <c r="CI110" s="30"/>
      <c r="CJ110" s="30"/>
      <c r="CK110" s="30"/>
      <c r="CL110" s="85"/>
      <c r="CM110" s="85"/>
      <c r="CN110" s="70"/>
      <c r="CP110" s="81"/>
      <c r="CQ110" s="30"/>
      <c r="CR110" s="30"/>
      <c r="CT110" s="30"/>
      <c r="CU110" s="30"/>
      <c r="CV110" s="30"/>
      <c r="CW110" s="30"/>
      <c r="CX110" s="30"/>
      <c r="CY110" s="30"/>
      <c r="CZ110" s="30"/>
      <c r="DA110" s="85"/>
      <c r="DB110" s="85"/>
      <c r="DC110" s="70"/>
      <c r="DE110" s="81"/>
      <c r="DF110" s="30"/>
      <c r="DG110" s="30"/>
      <c r="DI110" s="30"/>
      <c r="DJ110" s="30"/>
      <c r="DK110" s="30"/>
      <c r="DL110" s="30"/>
      <c r="DM110" s="30"/>
      <c r="DN110" s="30"/>
      <c r="DO110" s="30"/>
      <c r="DP110" s="85"/>
      <c r="DQ110" s="85"/>
      <c r="DR110" s="70"/>
      <c r="DT110" s="81"/>
      <c r="DU110" s="30"/>
      <c r="DV110" s="30"/>
      <c r="DX110" s="30"/>
      <c r="DY110" s="30"/>
      <c r="DZ110" s="30"/>
      <c r="EA110" s="30"/>
      <c r="EB110" s="30"/>
      <c r="EC110" s="30"/>
      <c r="ED110" s="30"/>
      <c r="EE110" s="85"/>
      <c r="EF110" s="85"/>
      <c r="EG110" s="70"/>
      <c r="EI110" s="81"/>
      <c r="EJ110" s="30"/>
      <c r="EK110" s="30"/>
      <c r="EM110" s="30"/>
      <c r="EN110" s="30"/>
      <c r="EO110" s="30"/>
      <c r="EP110" s="30"/>
      <c r="EQ110" s="30"/>
      <c r="ER110" s="30"/>
      <c r="ES110" s="30"/>
      <c r="ET110" s="85"/>
      <c r="EU110" s="85"/>
      <c r="EV110" s="70"/>
    </row>
    <row r="114" spans="2:152">
      <c r="B114" s="1" t="s">
        <v>5</v>
      </c>
      <c r="C114" s="1">
        <f>C2</f>
        <v>1070</v>
      </c>
    </row>
    <row r="115" spans="2:152">
      <c r="B115" s="4"/>
      <c r="C115" s="5"/>
    </row>
    <row r="116" spans="2:152">
      <c r="B116" s="1" t="s">
        <v>6</v>
      </c>
      <c r="C116" s="1">
        <f>C4</f>
        <v>28.3</v>
      </c>
    </row>
    <row r="117" spans="2:152">
      <c r="B117" s="6" t="s">
        <v>1</v>
      </c>
      <c r="C117" s="7">
        <f>C118-0.000001</f>
        <v>1.9999990000000001</v>
      </c>
      <c r="S117" s="77"/>
      <c r="T117" s="78"/>
      <c r="AH117" s="77"/>
      <c r="AI117" s="78"/>
      <c r="AW117" s="77"/>
      <c r="AX117" s="78"/>
      <c r="BL117" s="77"/>
      <c r="BM117" s="78"/>
      <c r="CA117" s="77"/>
      <c r="CB117" s="78"/>
      <c r="CP117" s="77"/>
      <c r="CQ117" s="78"/>
      <c r="DE117" s="77"/>
      <c r="DF117" s="78"/>
      <c r="DT117" s="77"/>
      <c r="DU117" s="78"/>
      <c r="EI117" s="77"/>
      <c r="EJ117" s="78"/>
    </row>
    <row r="118" spans="2:152">
      <c r="B118" s="21" t="s">
        <v>1</v>
      </c>
      <c r="C118" s="32">
        <f>C6</f>
        <v>2</v>
      </c>
      <c r="T118" s="30"/>
      <c r="AI118" s="30"/>
      <c r="AX118" s="30"/>
      <c r="BM118" s="30"/>
      <c r="CB118" s="30"/>
      <c r="CQ118" s="30"/>
      <c r="DF118" s="30"/>
      <c r="DU118" s="30"/>
      <c r="EJ118" s="30"/>
    </row>
    <row r="119" spans="2:152">
      <c r="B119" s="25" t="s">
        <v>8</v>
      </c>
      <c r="C119" s="26">
        <f>C120-0.000001</f>
        <v>0.16999900000000001</v>
      </c>
      <c r="S119" s="79"/>
      <c r="T119" s="78"/>
      <c r="AH119" s="79"/>
      <c r="AI119" s="78"/>
      <c r="AW119" s="79"/>
      <c r="AX119" s="78"/>
      <c r="BL119" s="79"/>
      <c r="BM119" s="78"/>
      <c r="CA119" s="79"/>
      <c r="CB119" s="78"/>
      <c r="CP119" s="79"/>
      <c r="CQ119" s="78"/>
      <c r="DE119" s="79"/>
      <c r="DF119" s="78"/>
      <c r="DT119" s="79"/>
      <c r="DU119" s="78"/>
      <c r="EI119" s="79"/>
      <c r="EJ119" s="78"/>
    </row>
    <row r="120" spans="2:152">
      <c r="B120" s="23" t="s">
        <v>0</v>
      </c>
      <c r="C120" s="31">
        <f>$C$8</f>
        <v>0.17</v>
      </c>
      <c r="P120" s="71">
        <f>SUM(P123:P222)</f>
        <v>0.1764307286924548</v>
      </c>
      <c r="S120" s="80"/>
      <c r="T120" s="30"/>
      <c r="W120" s="30"/>
      <c r="AH120" s="80"/>
      <c r="AI120" s="30"/>
      <c r="AL120" s="30"/>
      <c r="AW120" s="80"/>
      <c r="AX120" s="30"/>
      <c r="BA120" s="30"/>
      <c r="BL120" s="80"/>
      <c r="BM120" s="30"/>
      <c r="BP120" s="30"/>
      <c r="CA120" s="80"/>
      <c r="CB120" s="30"/>
      <c r="CE120" s="30"/>
      <c r="CP120" s="80"/>
      <c r="CQ120" s="30"/>
      <c r="CT120" s="30"/>
      <c r="DE120" s="80"/>
      <c r="DF120" s="30"/>
      <c r="DI120" s="30"/>
      <c r="DT120" s="80"/>
      <c r="DU120" s="30"/>
      <c r="DX120" s="30"/>
      <c r="EI120" s="80"/>
      <c r="EJ120" s="30"/>
      <c r="EM120" s="30"/>
    </row>
    <row r="122" spans="2:152">
      <c r="B122" s="12" t="s">
        <v>0</v>
      </c>
      <c r="C122" s="12" t="s">
        <v>8</v>
      </c>
      <c r="D122" s="13" t="s">
        <v>7</v>
      </c>
      <c r="E122" s="13" t="s">
        <v>13</v>
      </c>
      <c r="F122" s="20"/>
      <c r="G122" s="20"/>
      <c r="H122" s="20"/>
      <c r="I122" s="20"/>
      <c r="J122" s="20"/>
      <c r="K122" s="20"/>
      <c r="L122" s="15" t="s">
        <v>9</v>
      </c>
      <c r="M122" s="15" t="s">
        <v>3</v>
      </c>
      <c r="N122" s="15" t="s">
        <v>3</v>
      </c>
      <c r="O122" s="15" t="s">
        <v>3</v>
      </c>
      <c r="P122" s="15"/>
      <c r="Q122" s="72"/>
      <c r="U122" s="83"/>
      <c r="V122" s="83"/>
      <c r="W122" s="83"/>
      <c r="X122" s="83"/>
      <c r="Y122" s="83"/>
      <c r="Z122" s="83"/>
      <c r="AA122" s="83"/>
      <c r="AB122" s="83"/>
      <c r="AC122" s="72"/>
      <c r="AD122" s="72"/>
      <c r="AE122" s="72"/>
      <c r="AF122" s="72"/>
      <c r="AJ122" s="83"/>
      <c r="AK122" s="83"/>
      <c r="AL122" s="83"/>
      <c r="AM122" s="83"/>
      <c r="AN122" s="83"/>
      <c r="AO122" s="83"/>
      <c r="AP122" s="83"/>
      <c r="AQ122" s="83"/>
      <c r="AR122" s="72"/>
      <c r="AS122" s="72"/>
      <c r="AT122" s="72"/>
      <c r="AU122" s="72"/>
      <c r="AY122" s="83"/>
      <c r="AZ122" s="83"/>
      <c r="BA122" s="83"/>
      <c r="BB122" s="83"/>
      <c r="BC122" s="83"/>
      <c r="BD122" s="83"/>
      <c r="BE122" s="83"/>
      <c r="BF122" s="83"/>
      <c r="BG122" s="72"/>
      <c r="BH122" s="72"/>
      <c r="BI122" s="72"/>
      <c r="BJ122" s="72"/>
      <c r="BN122" s="83"/>
      <c r="BO122" s="83"/>
      <c r="BP122" s="83"/>
      <c r="BQ122" s="83"/>
      <c r="BR122" s="83"/>
      <c r="BS122" s="83"/>
      <c r="BT122" s="83"/>
      <c r="BU122" s="83"/>
      <c r="BV122" s="72"/>
      <c r="BW122" s="72"/>
      <c r="BX122" s="72"/>
      <c r="BY122" s="72"/>
      <c r="CC122" s="83"/>
      <c r="CD122" s="83"/>
      <c r="CE122" s="83"/>
      <c r="CF122" s="83"/>
      <c r="CG122" s="83"/>
      <c r="CH122" s="83"/>
      <c r="CI122" s="83"/>
      <c r="CJ122" s="83"/>
      <c r="CK122" s="72"/>
      <c r="CL122" s="72"/>
      <c r="CM122" s="72"/>
      <c r="CN122" s="72"/>
      <c r="CR122" s="83"/>
      <c r="CS122" s="83"/>
      <c r="CT122" s="83"/>
      <c r="CU122" s="83"/>
      <c r="CV122" s="83"/>
      <c r="CW122" s="83"/>
      <c r="CX122" s="83"/>
      <c r="CY122" s="83"/>
      <c r="CZ122" s="72"/>
      <c r="DA122" s="72"/>
      <c r="DB122" s="72"/>
      <c r="DC122" s="72"/>
      <c r="DG122" s="83"/>
      <c r="DH122" s="83"/>
      <c r="DI122" s="83"/>
      <c r="DJ122" s="83"/>
      <c r="DK122" s="83"/>
      <c r="DL122" s="83"/>
      <c r="DM122" s="83"/>
      <c r="DN122" s="83"/>
      <c r="DO122" s="72"/>
      <c r="DP122" s="72"/>
      <c r="DQ122" s="72"/>
      <c r="DR122" s="72"/>
      <c r="DV122" s="83"/>
      <c r="DW122" s="83"/>
      <c r="DX122" s="83"/>
      <c r="DY122" s="83"/>
      <c r="DZ122" s="83"/>
      <c r="EA122" s="83"/>
      <c r="EB122" s="83"/>
      <c r="EC122" s="83"/>
      <c r="ED122" s="72"/>
      <c r="EE122" s="72"/>
      <c r="EF122" s="72"/>
      <c r="EG122" s="72"/>
      <c r="EK122" s="83"/>
      <c r="EL122" s="83"/>
      <c r="EM122" s="83"/>
      <c r="EN122" s="83"/>
      <c r="EO122" s="83"/>
      <c r="EP122" s="83"/>
      <c r="EQ122" s="83"/>
      <c r="ER122" s="83"/>
      <c r="ES122" s="72"/>
      <c r="ET122" s="72"/>
      <c r="EU122" s="72"/>
      <c r="EV122" s="72"/>
    </row>
    <row r="123" spans="2:152">
      <c r="B123" s="11">
        <v>0.01</v>
      </c>
      <c r="C123" s="28">
        <f>$F$8</f>
        <v>2.2799999999999998</v>
      </c>
      <c r="D123" s="1">
        <f>D11</f>
        <v>274.01530636003582</v>
      </c>
      <c r="E123" s="1">
        <f>E11</f>
        <v>1070</v>
      </c>
      <c r="F123" s="27">
        <f>(((1+C123)*B123)/(((1+C123)*B123)-1))</f>
        <v>-3.3912324234904874E-2</v>
      </c>
      <c r="G123" s="27">
        <f>(B123*(C123*$E$123+$C$116))-($C$114*(($C$117+(C123+1)*B123-1)))</f>
        <v>-1080.4159300000001</v>
      </c>
      <c r="H123" s="27">
        <f>(B123*(C123*$E$123+$C$116))-($D$123*(($C$117+(C123+1)*B123-1)))</f>
        <v>-258.32373439333867</v>
      </c>
      <c r="I123" s="27">
        <f>(G123/H123)</f>
        <v>4.1824106195170447</v>
      </c>
      <c r="J123" s="27">
        <f>((C123+1)*B123-1)/((C123+1)*B123+$C$117-1)</f>
        <v>-0.93648425298630211</v>
      </c>
      <c r="K123" s="27">
        <f>I123^J123</f>
        <v>0.26184465338657342</v>
      </c>
      <c r="L123" s="27">
        <f>(K123-1)*F123</f>
        <v>2.503256345008311E-2</v>
      </c>
      <c r="M123" s="17">
        <f>L123/(C123*(1+L123)+1)</f>
        <v>7.501350468930649E-3</v>
      </c>
      <c r="N123" s="17">
        <f>IFERROR(M123,NA())</f>
        <v>7.501350468930649E-3</v>
      </c>
      <c r="O123" s="57">
        <f>IF($C$114=0,NA(),IF(N123&lt;0,NA(),IF(ISERROR(N123),NA(),N123)))</f>
        <v>7.501350468930649E-3</v>
      </c>
      <c r="P123" s="17">
        <f>IF(ISERROR(O123),0,IF('R-AFC ISOTOPE'!$G$7=B123,O123,0))</f>
        <v>0</v>
      </c>
      <c r="Q123" s="70"/>
      <c r="S123" s="81"/>
      <c r="T123" s="30"/>
      <c r="W123" s="30"/>
      <c r="X123" s="30"/>
      <c r="Y123" s="30"/>
      <c r="Z123" s="30"/>
      <c r="AA123" s="30"/>
      <c r="AB123" s="30"/>
      <c r="AC123" s="30"/>
      <c r="AD123" s="85"/>
      <c r="AE123" s="85"/>
      <c r="AF123" s="70"/>
      <c r="AH123" s="81"/>
      <c r="AI123" s="30"/>
      <c r="AL123" s="30"/>
      <c r="AM123" s="30"/>
      <c r="AN123" s="30"/>
      <c r="AO123" s="30"/>
      <c r="AP123" s="30"/>
      <c r="AQ123" s="30"/>
      <c r="AR123" s="30"/>
      <c r="AS123" s="85"/>
      <c r="AT123" s="85"/>
      <c r="AU123" s="70"/>
      <c r="AW123" s="81"/>
      <c r="AX123" s="30"/>
      <c r="BA123" s="30"/>
      <c r="BB123" s="30"/>
      <c r="BC123" s="30"/>
      <c r="BD123" s="30"/>
      <c r="BE123" s="30"/>
      <c r="BF123" s="30"/>
      <c r="BG123" s="30"/>
      <c r="BH123" s="85"/>
      <c r="BI123" s="85"/>
      <c r="BJ123" s="70"/>
      <c r="BL123" s="81"/>
      <c r="BM123" s="30"/>
      <c r="BP123" s="30"/>
      <c r="BQ123" s="30"/>
      <c r="BR123" s="30"/>
      <c r="BS123" s="30"/>
      <c r="BT123" s="30"/>
      <c r="BU123" s="30"/>
      <c r="BV123" s="30"/>
      <c r="BW123" s="85"/>
      <c r="BX123" s="85"/>
      <c r="BY123" s="70"/>
      <c r="CA123" s="81"/>
      <c r="CB123" s="30"/>
      <c r="CE123" s="30"/>
      <c r="CF123" s="30"/>
      <c r="CG123" s="30"/>
      <c r="CH123" s="30"/>
      <c r="CI123" s="30"/>
      <c r="CJ123" s="30"/>
      <c r="CK123" s="30"/>
      <c r="CL123" s="85"/>
      <c r="CM123" s="85"/>
      <c r="CN123" s="70"/>
      <c r="CP123" s="81"/>
      <c r="CQ123" s="30"/>
      <c r="CT123" s="30"/>
      <c r="CU123" s="30"/>
      <c r="CV123" s="30"/>
      <c r="CW123" s="30"/>
      <c r="CX123" s="30"/>
      <c r="CY123" s="30"/>
      <c r="CZ123" s="30"/>
      <c r="DA123" s="85"/>
      <c r="DB123" s="85"/>
      <c r="DC123" s="70"/>
      <c r="DE123" s="81"/>
      <c r="DF123" s="30"/>
      <c r="DI123" s="30"/>
      <c r="DJ123" s="30"/>
      <c r="DK123" s="30"/>
      <c r="DL123" s="30"/>
      <c r="DM123" s="30"/>
      <c r="DN123" s="30"/>
      <c r="DO123" s="30"/>
      <c r="DP123" s="85"/>
      <c r="DQ123" s="85"/>
      <c r="DR123" s="70"/>
      <c r="DT123" s="81"/>
      <c r="DU123" s="30"/>
      <c r="DX123" s="30"/>
      <c r="DY123" s="30"/>
      <c r="DZ123" s="30"/>
      <c r="EA123" s="30"/>
      <c r="EB123" s="30"/>
      <c r="EC123" s="30"/>
      <c r="ED123" s="30"/>
      <c r="EE123" s="85"/>
      <c r="EF123" s="85"/>
      <c r="EG123" s="70"/>
      <c r="EI123" s="81"/>
      <c r="EJ123" s="30"/>
      <c r="EM123" s="30"/>
      <c r="EN123" s="30"/>
      <c r="EO123" s="30"/>
      <c r="EP123" s="30"/>
      <c r="EQ123" s="30"/>
      <c r="ER123" s="30"/>
      <c r="ES123" s="30"/>
      <c r="ET123" s="85"/>
      <c r="EU123" s="85"/>
      <c r="EV123" s="70"/>
    </row>
    <row r="124" spans="2:152">
      <c r="B124" s="11">
        <v>0.02</v>
      </c>
      <c r="C124" s="28">
        <f t="shared" ref="C124:C187" si="26">$F$8</f>
        <v>2.2799999999999998</v>
      </c>
      <c r="D124" s="16"/>
      <c r="E124" s="16"/>
      <c r="F124" s="27">
        <f t="shared" ref="F124:F187" si="27">(((1+C124)*B124)/(((1+C124)*B124)-1))</f>
        <v>-7.0205479452054784E-2</v>
      </c>
      <c r="G124" s="27">
        <f t="shared" ref="G124:G187" si="28">(B124*(C124*$E$123+$C$116))-($C$114*(($C$117+(C124+1)*B124-1)))</f>
        <v>-1090.8329300000003</v>
      </c>
      <c r="H124" s="27">
        <f t="shared" ref="H124:H187" si="29">(B124*(C124*$E$123+$C$116))-($D$123*(($C$117+(C124+1)*B124-1)))</f>
        <v>-242.63243644194785</v>
      </c>
      <c r="I124" s="27">
        <f t="shared" ref="I124:I187" si="30">(G124/H124)</f>
        <v>4.4958248204418974</v>
      </c>
      <c r="J124" s="27">
        <f t="shared" ref="J124:J187" si="31">((C124+1)*B124-1)/((C124+1)*B124+$C$117-1)</f>
        <v>-0.87687769977261598</v>
      </c>
      <c r="K124" s="27">
        <f t="shared" ref="K124:K187" si="32">I124^J124</f>
        <v>0.26764923839552901</v>
      </c>
      <c r="L124" s="27">
        <f t="shared" ref="L124:L187" si="33">(K124-1)*F124</f>
        <v>5.141503634551936E-2</v>
      </c>
      <c r="M124" s="17">
        <f t="shared" ref="M124:M187" si="34">L124/(C124*(1+L124)+1)</f>
        <v>1.5134416157323827E-2</v>
      </c>
      <c r="N124" s="17">
        <f t="shared" ref="N124:N187" si="35">IFERROR(M124,NA())</f>
        <v>1.5134416157323827E-2</v>
      </c>
      <c r="O124" s="57">
        <f t="shared" ref="O124:O187" si="36">IF($C$114=0,NA(),IF(N124&lt;0,NA(),IF(ISERROR(N124),NA(),N124)))</f>
        <v>1.5134416157323827E-2</v>
      </c>
      <c r="P124" s="17">
        <f>IF(ISERROR(O124),0,IF('R-AFC ISOTOPE'!$G$7=B124,O124,0))</f>
        <v>0</v>
      </c>
      <c r="Q124" s="70"/>
      <c r="S124" s="81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85"/>
      <c r="AE124" s="85"/>
      <c r="AF124" s="70"/>
      <c r="AH124" s="81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85"/>
      <c r="AT124" s="85"/>
      <c r="AU124" s="70"/>
      <c r="AW124" s="81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85"/>
      <c r="BI124" s="85"/>
      <c r="BJ124" s="70"/>
      <c r="BL124" s="81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85"/>
      <c r="BX124" s="85"/>
      <c r="BY124" s="70"/>
      <c r="CA124" s="81"/>
      <c r="CB124" s="30"/>
      <c r="CC124" s="30"/>
      <c r="CD124" s="30"/>
      <c r="CE124" s="30"/>
      <c r="CF124" s="30"/>
      <c r="CG124" s="30"/>
      <c r="CH124" s="30"/>
      <c r="CI124" s="30"/>
      <c r="CJ124" s="30"/>
      <c r="CK124" s="30"/>
      <c r="CL124" s="85"/>
      <c r="CM124" s="85"/>
      <c r="CN124" s="70"/>
      <c r="CP124" s="81"/>
      <c r="CQ124" s="30"/>
      <c r="CR124" s="30"/>
      <c r="CS124" s="30"/>
      <c r="CT124" s="30"/>
      <c r="CU124" s="30"/>
      <c r="CV124" s="30"/>
      <c r="CW124" s="30"/>
      <c r="CX124" s="30"/>
      <c r="CY124" s="30"/>
      <c r="CZ124" s="30"/>
      <c r="DA124" s="85"/>
      <c r="DB124" s="85"/>
      <c r="DC124" s="70"/>
      <c r="DE124" s="81"/>
      <c r="DF124" s="30"/>
      <c r="DG124" s="30"/>
      <c r="DH124" s="30"/>
      <c r="DI124" s="30"/>
      <c r="DJ124" s="30"/>
      <c r="DK124" s="30"/>
      <c r="DL124" s="30"/>
      <c r="DM124" s="30"/>
      <c r="DN124" s="30"/>
      <c r="DO124" s="30"/>
      <c r="DP124" s="85"/>
      <c r="DQ124" s="85"/>
      <c r="DR124" s="70"/>
      <c r="DT124" s="81"/>
      <c r="DU124" s="30"/>
      <c r="DV124" s="30"/>
      <c r="DW124" s="30"/>
      <c r="DX124" s="30"/>
      <c r="DY124" s="30"/>
      <c r="DZ124" s="30"/>
      <c r="EA124" s="30"/>
      <c r="EB124" s="30"/>
      <c r="EC124" s="30"/>
      <c r="ED124" s="30"/>
      <c r="EE124" s="85"/>
      <c r="EF124" s="85"/>
      <c r="EG124" s="70"/>
      <c r="EI124" s="81"/>
      <c r="EJ124" s="30"/>
      <c r="EK124" s="30"/>
      <c r="EL124" s="30"/>
      <c r="EM124" s="30"/>
      <c r="EN124" s="30"/>
      <c r="EO124" s="30"/>
      <c r="EP124" s="30"/>
      <c r="EQ124" s="30"/>
      <c r="ER124" s="30"/>
      <c r="ES124" s="30"/>
      <c r="ET124" s="85"/>
      <c r="EU124" s="85"/>
      <c r="EV124" s="70"/>
    </row>
    <row r="125" spans="2:152">
      <c r="B125" s="11">
        <v>0.03</v>
      </c>
      <c r="C125" s="28">
        <f t="shared" si="26"/>
        <v>2.2799999999999998</v>
      </c>
      <c r="D125" s="16"/>
      <c r="E125" s="16"/>
      <c r="F125" s="27">
        <f t="shared" si="27"/>
        <v>-0.10913930789707187</v>
      </c>
      <c r="G125" s="27">
        <f t="shared" si="28"/>
        <v>-1101.2499300000002</v>
      </c>
      <c r="H125" s="27">
        <f t="shared" si="29"/>
        <v>-226.94113849055699</v>
      </c>
      <c r="I125" s="27">
        <f t="shared" si="30"/>
        <v>4.8525795601656556</v>
      </c>
      <c r="J125" s="27">
        <f t="shared" si="31"/>
        <v>-0.82083104591318801</v>
      </c>
      <c r="K125" s="27">
        <f t="shared" si="32"/>
        <v>0.27348426257682967</v>
      </c>
      <c r="L125" s="27">
        <f t="shared" si="33"/>
        <v>7.9291424758695606E-2</v>
      </c>
      <c r="M125" s="17">
        <f t="shared" si="34"/>
        <v>2.2911402296150594E-2</v>
      </c>
      <c r="N125" s="17">
        <f t="shared" si="35"/>
        <v>2.2911402296150594E-2</v>
      </c>
      <c r="O125" s="57">
        <f t="shared" si="36"/>
        <v>2.2911402296150594E-2</v>
      </c>
      <c r="P125" s="17">
        <f>IF(ISERROR(O125),0,IF('R-AFC ISOTOPE'!$G$7=B125,O125,0))</f>
        <v>0</v>
      </c>
      <c r="Q125" s="70"/>
      <c r="S125" s="81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85"/>
      <c r="AE125" s="85"/>
      <c r="AF125" s="70"/>
      <c r="AH125" s="81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85"/>
      <c r="AT125" s="85"/>
      <c r="AU125" s="70"/>
      <c r="AW125" s="81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85"/>
      <c r="BI125" s="85"/>
      <c r="BJ125" s="70"/>
      <c r="BL125" s="81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85"/>
      <c r="BX125" s="85"/>
      <c r="BY125" s="70"/>
      <c r="CA125" s="81"/>
      <c r="CB125" s="30"/>
      <c r="CC125" s="30"/>
      <c r="CD125" s="30"/>
      <c r="CE125" s="30"/>
      <c r="CF125" s="30"/>
      <c r="CG125" s="30"/>
      <c r="CH125" s="30"/>
      <c r="CI125" s="30"/>
      <c r="CJ125" s="30"/>
      <c r="CK125" s="30"/>
      <c r="CL125" s="85"/>
      <c r="CM125" s="85"/>
      <c r="CN125" s="70"/>
      <c r="CP125" s="81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85"/>
      <c r="DB125" s="85"/>
      <c r="DC125" s="70"/>
      <c r="DE125" s="81"/>
      <c r="DF125" s="30"/>
      <c r="DG125" s="30"/>
      <c r="DH125" s="30"/>
      <c r="DI125" s="30"/>
      <c r="DJ125" s="30"/>
      <c r="DK125" s="30"/>
      <c r="DL125" s="30"/>
      <c r="DM125" s="30"/>
      <c r="DN125" s="30"/>
      <c r="DO125" s="30"/>
      <c r="DP125" s="85"/>
      <c r="DQ125" s="85"/>
      <c r="DR125" s="70"/>
      <c r="DT125" s="81"/>
      <c r="DU125" s="30"/>
      <c r="DV125" s="30"/>
      <c r="DW125" s="30"/>
      <c r="DX125" s="30"/>
      <c r="DY125" s="30"/>
      <c r="DZ125" s="30"/>
      <c r="EA125" s="30"/>
      <c r="EB125" s="30"/>
      <c r="EC125" s="30"/>
      <c r="ED125" s="30"/>
      <c r="EE125" s="85"/>
      <c r="EF125" s="85"/>
      <c r="EG125" s="70"/>
      <c r="EI125" s="81"/>
      <c r="EJ125" s="30"/>
      <c r="EK125" s="30"/>
      <c r="EL125" s="30"/>
      <c r="EM125" s="30"/>
      <c r="EN125" s="30"/>
      <c r="EO125" s="30"/>
      <c r="EP125" s="30"/>
      <c r="EQ125" s="30"/>
      <c r="ER125" s="30"/>
      <c r="ES125" s="30"/>
      <c r="ET125" s="85"/>
      <c r="EU125" s="85"/>
      <c r="EV125" s="70"/>
    </row>
    <row r="126" spans="2:152">
      <c r="B126" s="11">
        <v>0.04</v>
      </c>
      <c r="C126" s="28">
        <f t="shared" si="26"/>
        <v>2.2799999999999998</v>
      </c>
      <c r="D126" s="16"/>
      <c r="E126" s="8"/>
      <c r="F126" s="27">
        <f t="shared" si="27"/>
        <v>-0.15101289134438303</v>
      </c>
      <c r="G126" s="27">
        <f t="shared" si="28"/>
        <v>-1111.6669299999999</v>
      </c>
      <c r="H126" s="27">
        <f t="shared" si="29"/>
        <v>-211.24984053916614</v>
      </c>
      <c r="I126" s="27">
        <f t="shared" si="30"/>
        <v>5.2623326349630766</v>
      </c>
      <c r="J126" s="27">
        <f t="shared" si="31"/>
        <v>-0.76803462520741261</v>
      </c>
      <c r="K126" s="27">
        <f t="shared" si="32"/>
        <v>0.27932518640063581</v>
      </c>
      <c r="L126" s="27">
        <f t="shared" si="33"/>
        <v>0.10883118732071427</v>
      </c>
      <c r="M126" s="17">
        <f>L126/(C126*(1+L126)+1)</f>
        <v>3.0846660917824138E-2</v>
      </c>
      <c r="N126" s="17">
        <f t="shared" si="35"/>
        <v>3.0846660917824138E-2</v>
      </c>
      <c r="O126" s="57">
        <f t="shared" si="36"/>
        <v>3.0846660917824138E-2</v>
      </c>
      <c r="P126" s="17">
        <f>IF(ISERROR(O126),0,IF('R-AFC ISOTOPE'!$G$7=B126,O126,0))</f>
        <v>0</v>
      </c>
      <c r="Q126" s="70"/>
      <c r="S126" s="81"/>
      <c r="T126" s="30"/>
      <c r="U126" s="30"/>
      <c r="W126" s="30"/>
      <c r="X126" s="30"/>
      <c r="Y126" s="30"/>
      <c r="Z126" s="30"/>
      <c r="AA126" s="30"/>
      <c r="AB126" s="30"/>
      <c r="AC126" s="30"/>
      <c r="AD126" s="85"/>
      <c r="AE126" s="85"/>
      <c r="AF126" s="70"/>
      <c r="AH126" s="81"/>
      <c r="AI126" s="30"/>
      <c r="AJ126" s="30"/>
      <c r="AL126" s="30"/>
      <c r="AM126" s="30"/>
      <c r="AN126" s="30"/>
      <c r="AO126" s="30"/>
      <c r="AP126" s="30"/>
      <c r="AQ126" s="30"/>
      <c r="AR126" s="30"/>
      <c r="AS126" s="85"/>
      <c r="AT126" s="85"/>
      <c r="AU126" s="70"/>
      <c r="AW126" s="81"/>
      <c r="AX126" s="30"/>
      <c r="AY126" s="30"/>
      <c r="BA126" s="30"/>
      <c r="BB126" s="30"/>
      <c r="BC126" s="30"/>
      <c r="BD126" s="30"/>
      <c r="BE126" s="30"/>
      <c r="BF126" s="30"/>
      <c r="BG126" s="30"/>
      <c r="BH126" s="85"/>
      <c r="BI126" s="85"/>
      <c r="BJ126" s="70"/>
      <c r="BL126" s="81"/>
      <c r="BM126" s="30"/>
      <c r="BN126" s="30"/>
      <c r="BP126" s="30"/>
      <c r="BQ126" s="30"/>
      <c r="BR126" s="30"/>
      <c r="BS126" s="30"/>
      <c r="BT126" s="30"/>
      <c r="BU126" s="30"/>
      <c r="BV126" s="30"/>
      <c r="BW126" s="85"/>
      <c r="BX126" s="85"/>
      <c r="BY126" s="70"/>
      <c r="CA126" s="81"/>
      <c r="CB126" s="30"/>
      <c r="CC126" s="30"/>
      <c r="CE126" s="30"/>
      <c r="CF126" s="30"/>
      <c r="CG126" s="30"/>
      <c r="CH126" s="30"/>
      <c r="CI126" s="30"/>
      <c r="CJ126" s="30"/>
      <c r="CK126" s="30"/>
      <c r="CL126" s="85"/>
      <c r="CM126" s="85"/>
      <c r="CN126" s="70"/>
      <c r="CP126" s="81"/>
      <c r="CQ126" s="30"/>
      <c r="CR126" s="30"/>
      <c r="CT126" s="30"/>
      <c r="CU126" s="30"/>
      <c r="CV126" s="30"/>
      <c r="CW126" s="30"/>
      <c r="CX126" s="30"/>
      <c r="CY126" s="30"/>
      <c r="CZ126" s="30"/>
      <c r="DA126" s="85"/>
      <c r="DB126" s="85"/>
      <c r="DC126" s="70"/>
      <c r="DE126" s="81"/>
      <c r="DF126" s="30"/>
      <c r="DG126" s="30"/>
      <c r="DI126" s="30"/>
      <c r="DJ126" s="30"/>
      <c r="DK126" s="30"/>
      <c r="DL126" s="30"/>
      <c r="DM126" s="30"/>
      <c r="DN126" s="30"/>
      <c r="DO126" s="30"/>
      <c r="DP126" s="85"/>
      <c r="DQ126" s="85"/>
      <c r="DR126" s="70"/>
      <c r="DT126" s="81"/>
      <c r="DU126" s="30"/>
      <c r="DV126" s="30"/>
      <c r="DX126" s="30"/>
      <c r="DY126" s="30"/>
      <c r="DZ126" s="30"/>
      <c r="EA126" s="30"/>
      <c r="EB126" s="30"/>
      <c r="EC126" s="30"/>
      <c r="ED126" s="30"/>
      <c r="EE126" s="85"/>
      <c r="EF126" s="85"/>
      <c r="EG126" s="70"/>
      <c r="EI126" s="81"/>
      <c r="EJ126" s="30"/>
      <c r="EK126" s="30"/>
      <c r="EM126" s="30"/>
      <c r="EN126" s="30"/>
      <c r="EO126" s="30"/>
      <c r="EP126" s="30"/>
      <c r="EQ126" s="30"/>
      <c r="ER126" s="30"/>
      <c r="ES126" s="30"/>
      <c r="ET126" s="85"/>
      <c r="EU126" s="85"/>
      <c r="EV126" s="70"/>
    </row>
    <row r="127" spans="2:152">
      <c r="B127" s="11">
        <v>0.05</v>
      </c>
      <c r="C127" s="28">
        <f t="shared" si="26"/>
        <v>2.2799999999999998</v>
      </c>
      <c r="D127" s="16"/>
      <c r="E127" s="8"/>
      <c r="F127" s="27">
        <f t="shared" si="27"/>
        <v>-0.19617224880382778</v>
      </c>
      <c r="G127" s="27">
        <f t="shared" si="28"/>
        <v>-1122.08393</v>
      </c>
      <c r="H127" s="27">
        <f t="shared" si="29"/>
        <v>-195.55854258777535</v>
      </c>
      <c r="I127" s="27">
        <f t="shared" si="30"/>
        <v>5.73784154428518</v>
      </c>
      <c r="J127" s="27">
        <f t="shared" si="31"/>
        <v>-0.71821367544130188</v>
      </c>
      <c r="K127" s="27">
        <f t="shared" si="32"/>
        <v>0.28513886378936804</v>
      </c>
      <c r="L127" s="27">
        <f t="shared" si="33"/>
        <v>0.14023591667289911</v>
      </c>
      <c r="M127" s="17">
        <f t="shared" si="34"/>
        <v>3.8957257710878927E-2</v>
      </c>
      <c r="N127" s="17">
        <f t="shared" si="35"/>
        <v>3.8957257710878927E-2</v>
      </c>
      <c r="O127" s="57">
        <f t="shared" si="36"/>
        <v>3.8957257710878927E-2</v>
      </c>
      <c r="P127" s="17">
        <f>IF(ISERROR(O127),0,IF('R-AFC ISOTOPE'!$G$7=B127,O127,0))</f>
        <v>0</v>
      </c>
      <c r="Q127" s="70"/>
      <c r="S127" s="81"/>
      <c r="T127" s="30"/>
      <c r="U127" s="30"/>
      <c r="W127" s="30"/>
      <c r="X127" s="30"/>
      <c r="Y127" s="30"/>
      <c r="Z127" s="30"/>
      <c r="AA127" s="30"/>
      <c r="AB127" s="30"/>
      <c r="AC127" s="30"/>
      <c r="AD127" s="85"/>
      <c r="AE127" s="85"/>
      <c r="AF127" s="70"/>
      <c r="AH127" s="81"/>
      <c r="AI127" s="30"/>
      <c r="AJ127" s="30"/>
      <c r="AL127" s="30"/>
      <c r="AM127" s="30"/>
      <c r="AN127" s="30"/>
      <c r="AO127" s="30"/>
      <c r="AP127" s="30"/>
      <c r="AQ127" s="30"/>
      <c r="AR127" s="30"/>
      <c r="AS127" s="85"/>
      <c r="AT127" s="85"/>
      <c r="AU127" s="70"/>
      <c r="AW127" s="81"/>
      <c r="AX127" s="30"/>
      <c r="AY127" s="30"/>
      <c r="BA127" s="30"/>
      <c r="BB127" s="30"/>
      <c r="BC127" s="30"/>
      <c r="BD127" s="30"/>
      <c r="BE127" s="30"/>
      <c r="BF127" s="30"/>
      <c r="BG127" s="30"/>
      <c r="BH127" s="85"/>
      <c r="BI127" s="85"/>
      <c r="BJ127" s="70"/>
      <c r="BL127" s="81"/>
      <c r="BM127" s="30"/>
      <c r="BN127" s="30"/>
      <c r="BP127" s="30"/>
      <c r="BQ127" s="30"/>
      <c r="BR127" s="30"/>
      <c r="BS127" s="30"/>
      <c r="BT127" s="30"/>
      <c r="BU127" s="30"/>
      <c r="BV127" s="30"/>
      <c r="BW127" s="85"/>
      <c r="BX127" s="85"/>
      <c r="BY127" s="70"/>
      <c r="CA127" s="81"/>
      <c r="CB127" s="30"/>
      <c r="CC127" s="30"/>
      <c r="CE127" s="30"/>
      <c r="CF127" s="30"/>
      <c r="CG127" s="30"/>
      <c r="CH127" s="30"/>
      <c r="CI127" s="30"/>
      <c r="CJ127" s="30"/>
      <c r="CK127" s="30"/>
      <c r="CL127" s="85"/>
      <c r="CM127" s="85"/>
      <c r="CN127" s="70"/>
      <c r="CP127" s="81"/>
      <c r="CQ127" s="30"/>
      <c r="CR127" s="30"/>
      <c r="CT127" s="30"/>
      <c r="CU127" s="30"/>
      <c r="CV127" s="30"/>
      <c r="CW127" s="30"/>
      <c r="CX127" s="30"/>
      <c r="CY127" s="30"/>
      <c r="CZ127" s="30"/>
      <c r="DA127" s="85"/>
      <c r="DB127" s="85"/>
      <c r="DC127" s="70"/>
      <c r="DE127" s="81"/>
      <c r="DF127" s="30"/>
      <c r="DG127" s="30"/>
      <c r="DI127" s="30"/>
      <c r="DJ127" s="30"/>
      <c r="DK127" s="30"/>
      <c r="DL127" s="30"/>
      <c r="DM127" s="30"/>
      <c r="DN127" s="30"/>
      <c r="DO127" s="30"/>
      <c r="DP127" s="85"/>
      <c r="DQ127" s="85"/>
      <c r="DR127" s="70"/>
      <c r="DT127" s="81"/>
      <c r="DU127" s="30"/>
      <c r="DV127" s="30"/>
      <c r="DX127" s="30"/>
      <c r="DY127" s="30"/>
      <c r="DZ127" s="30"/>
      <c r="EA127" s="30"/>
      <c r="EB127" s="30"/>
      <c r="EC127" s="30"/>
      <c r="ED127" s="30"/>
      <c r="EE127" s="85"/>
      <c r="EF127" s="85"/>
      <c r="EG127" s="70"/>
      <c r="EI127" s="81"/>
      <c r="EJ127" s="30"/>
      <c r="EK127" s="30"/>
      <c r="EM127" s="30"/>
      <c r="EN127" s="30"/>
      <c r="EO127" s="30"/>
      <c r="EP127" s="30"/>
      <c r="EQ127" s="30"/>
      <c r="ER127" s="30"/>
      <c r="ES127" s="30"/>
      <c r="ET127" s="85"/>
      <c r="EU127" s="85"/>
      <c r="EV127" s="70"/>
    </row>
    <row r="128" spans="2:152">
      <c r="B128" s="11">
        <v>0.06</v>
      </c>
      <c r="C128" s="28">
        <f t="shared" si="26"/>
        <v>2.2799999999999998</v>
      </c>
      <c r="D128" s="16"/>
      <c r="E128" s="8"/>
      <c r="F128" s="27">
        <f t="shared" si="27"/>
        <v>-0.24501992031872505</v>
      </c>
      <c r="G128" s="27">
        <f t="shared" si="28"/>
        <v>-1132.5009299999999</v>
      </c>
      <c r="H128" s="27">
        <f t="shared" si="29"/>
        <v>-179.8672446363845</v>
      </c>
      <c r="I128" s="27">
        <f t="shared" si="30"/>
        <v>6.2963155536709188</v>
      </c>
      <c r="J128" s="27">
        <f t="shared" si="31"/>
        <v>-0.67112355541740931</v>
      </c>
      <c r="K128" s="27">
        <f t="shared" si="32"/>
        <v>0.29088025130785528</v>
      </c>
      <c r="L128" s="27">
        <f t="shared" si="33"/>
        <v>0.17374846432098365</v>
      </c>
      <c r="M128" s="17">
        <f t="shared" si="34"/>
        <v>4.7263748706615101E-2</v>
      </c>
      <c r="N128" s="17">
        <f t="shared" si="35"/>
        <v>4.7263748706615101E-2</v>
      </c>
      <c r="O128" s="57">
        <f t="shared" si="36"/>
        <v>4.7263748706615101E-2</v>
      </c>
      <c r="P128" s="17">
        <f>IF(ISERROR(O128),0,IF('R-AFC ISOTOPE'!$G$7=B128,O128,0))</f>
        <v>0</v>
      </c>
      <c r="Q128" s="70"/>
      <c r="S128" s="81"/>
      <c r="T128" s="30"/>
      <c r="U128" s="30"/>
      <c r="W128" s="30"/>
      <c r="X128" s="30"/>
      <c r="Y128" s="30"/>
      <c r="Z128" s="30"/>
      <c r="AA128" s="30"/>
      <c r="AB128" s="30"/>
      <c r="AC128" s="30"/>
      <c r="AD128" s="85"/>
      <c r="AE128" s="85"/>
      <c r="AF128" s="70"/>
      <c r="AH128" s="81"/>
      <c r="AI128" s="30"/>
      <c r="AJ128" s="30"/>
      <c r="AL128" s="30"/>
      <c r="AM128" s="30"/>
      <c r="AN128" s="30"/>
      <c r="AO128" s="30"/>
      <c r="AP128" s="30"/>
      <c r="AQ128" s="30"/>
      <c r="AR128" s="30"/>
      <c r="AS128" s="85"/>
      <c r="AT128" s="85"/>
      <c r="AU128" s="70"/>
      <c r="AW128" s="81"/>
      <c r="AX128" s="30"/>
      <c r="AY128" s="30"/>
      <c r="BA128" s="30"/>
      <c r="BB128" s="30"/>
      <c r="BC128" s="30"/>
      <c r="BD128" s="30"/>
      <c r="BE128" s="30"/>
      <c r="BF128" s="30"/>
      <c r="BG128" s="30"/>
      <c r="BH128" s="85"/>
      <c r="BI128" s="85"/>
      <c r="BJ128" s="70"/>
      <c r="BL128" s="81"/>
      <c r="BM128" s="30"/>
      <c r="BN128" s="30"/>
      <c r="BP128" s="30"/>
      <c r="BQ128" s="30"/>
      <c r="BR128" s="30"/>
      <c r="BS128" s="30"/>
      <c r="BT128" s="30"/>
      <c r="BU128" s="30"/>
      <c r="BV128" s="30"/>
      <c r="BW128" s="85"/>
      <c r="BX128" s="85"/>
      <c r="BY128" s="70"/>
      <c r="CA128" s="81"/>
      <c r="CB128" s="30"/>
      <c r="CC128" s="30"/>
      <c r="CE128" s="30"/>
      <c r="CF128" s="30"/>
      <c r="CG128" s="30"/>
      <c r="CH128" s="30"/>
      <c r="CI128" s="30"/>
      <c r="CJ128" s="30"/>
      <c r="CK128" s="30"/>
      <c r="CL128" s="85"/>
      <c r="CM128" s="85"/>
      <c r="CN128" s="70"/>
      <c r="CP128" s="81"/>
      <c r="CQ128" s="30"/>
      <c r="CR128" s="30"/>
      <c r="CT128" s="30"/>
      <c r="CU128" s="30"/>
      <c r="CV128" s="30"/>
      <c r="CW128" s="30"/>
      <c r="CX128" s="30"/>
      <c r="CY128" s="30"/>
      <c r="CZ128" s="30"/>
      <c r="DA128" s="85"/>
      <c r="DB128" s="85"/>
      <c r="DC128" s="70"/>
      <c r="DE128" s="81"/>
      <c r="DF128" s="30"/>
      <c r="DG128" s="30"/>
      <c r="DI128" s="30"/>
      <c r="DJ128" s="30"/>
      <c r="DK128" s="30"/>
      <c r="DL128" s="30"/>
      <c r="DM128" s="30"/>
      <c r="DN128" s="30"/>
      <c r="DO128" s="30"/>
      <c r="DP128" s="85"/>
      <c r="DQ128" s="85"/>
      <c r="DR128" s="70"/>
      <c r="DT128" s="81"/>
      <c r="DU128" s="30"/>
      <c r="DV128" s="30"/>
      <c r="DX128" s="30"/>
      <c r="DY128" s="30"/>
      <c r="DZ128" s="30"/>
      <c r="EA128" s="30"/>
      <c r="EB128" s="30"/>
      <c r="EC128" s="30"/>
      <c r="ED128" s="30"/>
      <c r="EE128" s="85"/>
      <c r="EF128" s="85"/>
      <c r="EG128" s="70"/>
      <c r="EI128" s="81"/>
      <c r="EJ128" s="30"/>
      <c r="EK128" s="30"/>
      <c r="EM128" s="30"/>
      <c r="EN128" s="30"/>
      <c r="EO128" s="30"/>
      <c r="EP128" s="30"/>
      <c r="EQ128" s="30"/>
      <c r="ER128" s="30"/>
      <c r="ES128" s="30"/>
      <c r="ET128" s="85"/>
      <c r="EU128" s="85"/>
      <c r="EV128" s="70"/>
    </row>
    <row r="129" spans="2:152">
      <c r="B129" s="11">
        <v>7.0000000000000007E-2</v>
      </c>
      <c r="C129" s="28">
        <f t="shared" si="26"/>
        <v>2.2799999999999998</v>
      </c>
      <c r="D129" s="16"/>
      <c r="E129" s="8"/>
      <c r="F129" s="27">
        <f t="shared" si="27"/>
        <v>-0.29802699896157842</v>
      </c>
      <c r="G129" s="27">
        <f t="shared" si="28"/>
        <v>-1142.9179299999998</v>
      </c>
      <c r="H129" s="27">
        <f t="shared" si="29"/>
        <v>-164.17594668499365</v>
      </c>
      <c r="I129" s="27">
        <f t="shared" si="30"/>
        <v>6.9615431071211065</v>
      </c>
      <c r="J129" s="27">
        <f t="shared" si="31"/>
        <v>-0.62654572750953774</v>
      </c>
      <c r="K129" s="27">
        <f t="shared" si="32"/>
        <v>0.29648754836965124</v>
      </c>
      <c r="L129" s="27">
        <f t="shared" si="33"/>
        <v>0.20966570469149545</v>
      </c>
      <c r="M129" s="17">
        <f t="shared" si="34"/>
        <v>5.5791270731199966E-2</v>
      </c>
      <c r="N129" s="17">
        <f t="shared" si="35"/>
        <v>5.5791270731199966E-2</v>
      </c>
      <c r="O129" s="57">
        <f t="shared" si="36"/>
        <v>5.5791270731199966E-2</v>
      </c>
      <c r="P129" s="17">
        <f>IF(ISERROR(O129),0,IF('R-AFC ISOTOPE'!$G$7=B129,O129,0))</f>
        <v>0</v>
      </c>
      <c r="Q129" s="70"/>
      <c r="S129" s="81"/>
      <c r="T129" s="30"/>
      <c r="U129" s="30"/>
      <c r="W129" s="30"/>
      <c r="X129" s="30"/>
      <c r="Y129" s="30"/>
      <c r="Z129" s="30"/>
      <c r="AA129" s="30"/>
      <c r="AB129" s="30"/>
      <c r="AC129" s="30"/>
      <c r="AD129" s="85"/>
      <c r="AE129" s="85"/>
      <c r="AF129" s="70"/>
      <c r="AH129" s="81"/>
      <c r="AI129" s="30"/>
      <c r="AJ129" s="30"/>
      <c r="AL129" s="30"/>
      <c r="AM129" s="30"/>
      <c r="AN129" s="30"/>
      <c r="AO129" s="30"/>
      <c r="AP129" s="30"/>
      <c r="AQ129" s="30"/>
      <c r="AR129" s="30"/>
      <c r="AS129" s="85"/>
      <c r="AT129" s="85"/>
      <c r="AU129" s="70"/>
      <c r="AW129" s="81"/>
      <c r="AX129" s="30"/>
      <c r="AY129" s="30"/>
      <c r="BA129" s="30"/>
      <c r="BB129" s="30"/>
      <c r="BC129" s="30"/>
      <c r="BD129" s="30"/>
      <c r="BE129" s="30"/>
      <c r="BF129" s="30"/>
      <c r="BG129" s="30"/>
      <c r="BH129" s="85"/>
      <c r="BI129" s="85"/>
      <c r="BJ129" s="70"/>
      <c r="BL129" s="81"/>
      <c r="BM129" s="30"/>
      <c r="BN129" s="30"/>
      <c r="BP129" s="30"/>
      <c r="BQ129" s="30"/>
      <c r="BR129" s="30"/>
      <c r="BS129" s="30"/>
      <c r="BT129" s="30"/>
      <c r="BU129" s="30"/>
      <c r="BV129" s="30"/>
      <c r="BW129" s="85"/>
      <c r="BX129" s="85"/>
      <c r="BY129" s="70"/>
      <c r="CA129" s="81"/>
      <c r="CB129" s="30"/>
      <c r="CC129" s="30"/>
      <c r="CE129" s="30"/>
      <c r="CF129" s="30"/>
      <c r="CG129" s="30"/>
      <c r="CH129" s="30"/>
      <c r="CI129" s="30"/>
      <c r="CJ129" s="30"/>
      <c r="CK129" s="30"/>
      <c r="CL129" s="85"/>
      <c r="CM129" s="85"/>
      <c r="CN129" s="70"/>
      <c r="CP129" s="81"/>
      <c r="CQ129" s="30"/>
      <c r="CR129" s="30"/>
      <c r="CT129" s="30"/>
      <c r="CU129" s="30"/>
      <c r="CV129" s="30"/>
      <c r="CW129" s="30"/>
      <c r="CX129" s="30"/>
      <c r="CY129" s="30"/>
      <c r="CZ129" s="30"/>
      <c r="DA129" s="85"/>
      <c r="DB129" s="85"/>
      <c r="DC129" s="70"/>
      <c r="DE129" s="81"/>
      <c r="DF129" s="30"/>
      <c r="DG129" s="30"/>
      <c r="DI129" s="30"/>
      <c r="DJ129" s="30"/>
      <c r="DK129" s="30"/>
      <c r="DL129" s="30"/>
      <c r="DM129" s="30"/>
      <c r="DN129" s="30"/>
      <c r="DO129" s="30"/>
      <c r="DP129" s="85"/>
      <c r="DQ129" s="85"/>
      <c r="DR129" s="70"/>
      <c r="DT129" s="81"/>
      <c r="DU129" s="30"/>
      <c r="DV129" s="30"/>
      <c r="DX129" s="30"/>
      <c r="DY129" s="30"/>
      <c r="DZ129" s="30"/>
      <c r="EA129" s="30"/>
      <c r="EB129" s="30"/>
      <c r="EC129" s="30"/>
      <c r="ED129" s="30"/>
      <c r="EE129" s="85"/>
      <c r="EF129" s="85"/>
      <c r="EG129" s="70"/>
      <c r="EI129" s="81"/>
      <c r="EJ129" s="30"/>
      <c r="EK129" s="30"/>
      <c r="EM129" s="30"/>
      <c r="EN129" s="30"/>
      <c r="EO129" s="30"/>
      <c r="EP129" s="30"/>
      <c r="EQ129" s="30"/>
      <c r="ER129" s="30"/>
      <c r="ES129" s="30"/>
      <c r="ET129" s="85"/>
      <c r="EU129" s="85"/>
      <c r="EV129" s="70"/>
    </row>
    <row r="130" spans="2:152">
      <c r="B130" s="11">
        <v>0.08</v>
      </c>
      <c r="C130" s="28">
        <f t="shared" si="26"/>
        <v>2.2799999999999998</v>
      </c>
      <c r="D130" s="16"/>
      <c r="E130" s="8"/>
      <c r="F130" s="27">
        <f t="shared" si="27"/>
        <v>-0.35574837310195223</v>
      </c>
      <c r="G130" s="27">
        <f t="shared" si="28"/>
        <v>-1153.3349300000002</v>
      </c>
      <c r="H130" s="27">
        <f t="shared" si="29"/>
        <v>-148.48464873360291</v>
      </c>
      <c r="I130" s="27">
        <f t="shared" si="30"/>
        <v>7.767368140993514</v>
      </c>
      <c r="J130" s="27">
        <f t="shared" si="31"/>
        <v>-0.58428436651169713</v>
      </c>
      <c r="K130" s="27">
        <f t="shared" si="32"/>
        <v>0.30187481678472261</v>
      </c>
      <c r="L130" s="27">
        <f t="shared" si="33"/>
        <v>0.24835689815033726</v>
      </c>
      <c r="M130" s="17">
        <f t="shared" si="34"/>
        <v>6.4571116657326288E-2</v>
      </c>
      <c r="N130" s="17">
        <f t="shared" si="35"/>
        <v>6.4571116657326288E-2</v>
      </c>
      <c r="O130" s="57">
        <f t="shared" si="36"/>
        <v>6.4571116657326288E-2</v>
      </c>
      <c r="P130" s="17">
        <f>IF(ISERROR(O130),0,IF('R-AFC ISOTOPE'!$G$7=B130,O130,0))</f>
        <v>0</v>
      </c>
      <c r="Q130" s="70"/>
      <c r="S130" s="81"/>
      <c r="T130" s="30"/>
      <c r="U130" s="30"/>
      <c r="W130" s="30"/>
      <c r="X130" s="30"/>
      <c r="Y130" s="30"/>
      <c r="Z130" s="30"/>
      <c r="AA130" s="30"/>
      <c r="AB130" s="30"/>
      <c r="AC130" s="30"/>
      <c r="AD130" s="85"/>
      <c r="AE130" s="85"/>
      <c r="AF130" s="70"/>
      <c r="AH130" s="81"/>
      <c r="AI130" s="30"/>
      <c r="AJ130" s="30"/>
      <c r="AL130" s="30"/>
      <c r="AM130" s="30"/>
      <c r="AN130" s="30"/>
      <c r="AO130" s="30"/>
      <c r="AP130" s="30"/>
      <c r="AQ130" s="30"/>
      <c r="AR130" s="30"/>
      <c r="AS130" s="85"/>
      <c r="AT130" s="85"/>
      <c r="AU130" s="70"/>
      <c r="AW130" s="81"/>
      <c r="AX130" s="30"/>
      <c r="AY130" s="30"/>
      <c r="BA130" s="30"/>
      <c r="BB130" s="30"/>
      <c r="BC130" s="30"/>
      <c r="BD130" s="30"/>
      <c r="BE130" s="30"/>
      <c r="BF130" s="30"/>
      <c r="BG130" s="30"/>
      <c r="BH130" s="85"/>
      <c r="BI130" s="85"/>
      <c r="BJ130" s="70"/>
      <c r="BL130" s="81"/>
      <c r="BM130" s="30"/>
      <c r="BN130" s="30"/>
      <c r="BP130" s="30"/>
      <c r="BQ130" s="30"/>
      <c r="BR130" s="30"/>
      <c r="BS130" s="30"/>
      <c r="BT130" s="30"/>
      <c r="BU130" s="30"/>
      <c r="BV130" s="30"/>
      <c r="BW130" s="85"/>
      <c r="BX130" s="85"/>
      <c r="BY130" s="70"/>
      <c r="CA130" s="81"/>
      <c r="CB130" s="30"/>
      <c r="CC130" s="30"/>
      <c r="CE130" s="30"/>
      <c r="CF130" s="30"/>
      <c r="CG130" s="30"/>
      <c r="CH130" s="30"/>
      <c r="CI130" s="30"/>
      <c r="CJ130" s="30"/>
      <c r="CK130" s="30"/>
      <c r="CL130" s="85"/>
      <c r="CM130" s="85"/>
      <c r="CN130" s="70"/>
      <c r="CP130" s="81"/>
      <c r="CQ130" s="30"/>
      <c r="CR130" s="30"/>
      <c r="CT130" s="30"/>
      <c r="CU130" s="30"/>
      <c r="CV130" s="30"/>
      <c r="CW130" s="30"/>
      <c r="CX130" s="30"/>
      <c r="CY130" s="30"/>
      <c r="CZ130" s="30"/>
      <c r="DA130" s="85"/>
      <c r="DB130" s="85"/>
      <c r="DC130" s="70"/>
      <c r="DE130" s="81"/>
      <c r="DF130" s="30"/>
      <c r="DG130" s="30"/>
      <c r="DI130" s="30"/>
      <c r="DJ130" s="30"/>
      <c r="DK130" s="30"/>
      <c r="DL130" s="30"/>
      <c r="DM130" s="30"/>
      <c r="DN130" s="30"/>
      <c r="DO130" s="30"/>
      <c r="DP130" s="85"/>
      <c r="DQ130" s="85"/>
      <c r="DR130" s="70"/>
      <c r="DT130" s="81"/>
      <c r="DU130" s="30"/>
      <c r="DV130" s="30"/>
      <c r="DX130" s="30"/>
      <c r="DY130" s="30"/>
      <c r="DZ130" s="30"/>
      <c r="EA130" s="30"/>
      <c r="EB130" s="30"/>
      <c r="EC130" s="30"/>
      <c r="ED130" s="30"/>
      <c r="EE130" s="85"/>
      <c r="EF130" s="85"/>
      <c r="EG130" s="70"/>
      <c r="EI130" s="81"/>
      <c r="EJ130" s="30"/>
      <c r="EK130" s="30"/>
      <c r="EM130" s="30"/>
      <c r="EN130" s="30"/>
      <c r="EO130" s="30"/>
      <c r="EP130" s="30"/>
      <c r="EQ130" s="30"/>
      <c r="ER130" s="30"/>
      <c r="ES130" s="30"/>
      <c r="ET130" s="85"/>
      <c r="EU130" s="85"/>
      <c r="EV130" s="70"/>
    </row>
    <row r="131" spans="2:152">
      <c r="B131" s="11">
        <v>0.09</v>
      </c>
      <c r="C131" s="28">
        <f t="shared" si="26"/>
        <v>2.2799999999999998</v>
      </c>
      <c r="D131" s="16"/>
      <c r="E131" s="8"/>
      <c r="F131" s="27">
        <f t="shared" si="27"/>
        <v>-0.4188422247446083</v>
      </c>
      <c r="G131" s="27">
        <f t="shared" si="28"/>
        <v>-1163.7519300000004</v>
      </c>
      <c r="H131" s="27">
        <f t="shared" si="29"/>
        <v>-132.79335078221209</v>
      </c>
      <c r="I131" s="27">
        <f t="shared" si="30"/>
        <v>8.7636310338204613</v>
      </c>
      <c r="J131" s="27">
        <f t="shared" si="31"/>
        <v>-0.54416348375809431</v>
      </c>
      <c r="K131" s="27">
        <f t="shared" si="32"/>
        <v>0.30692039215494143</v>
      </c>
      <c r="L131" s="27">
        <f t="shared" si="33"/>
        <v>0.29029100487494497</v>
      </c>
      <c r="M131" s="17">
        <f t="shared" si="34"/>
        <v>7.3643089246817672E-2</v>
      </c>
      <c r="N131" s="17">
        <f t="shared" si="35"/>
        <v>7.3643089246817672E-2</v>
      </c>
      <c r="O131" s="57">
        <f t="shared" si="36"/>
        <v>7.3643089246817672E-2</v>
      </c>
      <c r="P131" s="17">
        <f>IF(ISERROR(O131),0,IF('R-AFC ISOTOPE'!$G$7=B131,O131,0))</f>
        <v>0</v>
      </c>
      <c r="Q131" s="70"/>
      <c r="S131" s="81"/>
      <c r="T131" s="30"/>
      <c r="U131" s="30"/>
      <c r="W131" s="30"/>
      <c r="X131" s="30"/>
      <c r="Y131" s="30"/>
      <c r="Z131" s="30"/>
      <c r="AA131" s="30"/>
      <c r="AB131" s="30"/>
      <c r="AC131" s="30"/>
      <c r="AD131" s="85"/>
      <c r="AE131" s="85"/>
      <c r="AF131" s="70"/>
      <c r="AH131" s="81"/>
      <c r="AI131" s="30"/>
      <c r="AJ131" s="30"/>
      <c r="AL131" s="30"/>
      <c r="AM131" s="30"/>
      <c r="AN131" s="30"/>
      <c r="AO131" s="30"/>
      <c r="AP131" s="30"/>
      <c r="AQ131" s="30"/>
      <c r="AR131" s="30"/>
      <c r="AS131" s="85"/>
      <c r="AT131" s="85"/>
      <c r="AU131" s="70"/>
      <c r="AW131" s="81"/>
      <c r="AX131" s="30"/>
      <c r="AY131" s="30"/>
      <c r="BA131" s="30"/>
      <c r="BB131" s="30"/>
      <c r="BC131" s="30"/>
      <c r="BD131" s="30"/>
      <c r="BE131" s="30"/>
      <c r="BF131" s="30"/>
      <c r="BG131" s="30"/>
      <c r="BH131" s="85"/>
      <c r="BI131" s="85"/>
      <c r="BJ131" s="70"/>
      <c r="BL131" s="81"/>
      <c r="BM131" s="30"/>
      <c r="BN131" s="30"/>
      <c r="BP131" s="30"/>
      <c r="BQ131" s="30"/>
      <c r="BR131" s="30"/>
      <c r="BS131" s="30"/>
      <c r="BT131" s="30"/>
      <c r="BU131" s="30"/>
      <c r="BV131" s="30"/>
      <c r="BW131" s="85"/>
      <c r="BX131" s="85"/>
      <c r="BY131" s="70"/>
      <c r="CA131" s="81"/>
      <c r="CB131" s="30"/>
      <c r="CC131" s="30"/>
      <c r="CE131" s="30"/>
      <c r="CF131" s="30"/>
      <c r="CG131" s="30"/>
      <c r="CH131" s="30"/>
      <c r="CI131" s="30"/>
      <c r="CJ131" s="30"/>
      <c r="CK131" s="30"/>
      <c r="CL131" s="85"/>
      <c r="CM131" s="85"/>
      <c r="CN131" s="70"/>
      <c r="CP131" s="81"/>
      <c r="CQ131" s="30"/>
      <c r="CR131" s="30"/>
      <c r="CT131" s="30"/>
      <c r="CU131" s="30"/>
      <c r="CV131" s="30"/>
      <c r="CW131" s="30"/>
      <c r="CX131" s="30"/>
      <c r="CY131" s="30"/>
      <c r="CZ131" s="30"/>
      <c r="DA131" s="85"/>
      <c r="DB131" s="85"/>
      <c r="DC131" s="70"/>
      <c r="DE131" s="81"/>
      <c r="DF131" s="30"/>
      <c r="DG131" s="30"/>
      <c r="DI131" s="30"/>
      <c r="DJ131" s="30"/>
      <c r="DK131" s="30"/>
      <c r="DL131" s="30"/>
      <c r="DM131" s="30"/>
      <c r="DN131" s="30"/>
      <c r="DO131" s="30"/>
      <c r="DP131" s="85"/>
      <c r="DQ131" s="85"/>
      <c r="DR131" s="70"/>
      <c r="DT131" s="81"/>
      <c r="DU131" s="30"/>
      <c r="DV131" s="30"/>
      <c r="DX131" s="30"/>
      <c r="DY131" s="30"/>
      <c r="DZ131" s="30"/>
      <c r="EA131" s="30"/>
      <c r="EB131" s="30"/>
      <c r="EC131" s="30"/>
      <c r="ED131" s="30"/>
      <c r="EE131" s="85"/>
      <c r="EF131" s="85"/>
      <c r="EG131" s="70"/>
      <c r="EI131" s="81"/>
      <c r="EJ131" s="30"/>
      <c r="EK131" s="30"/>
      <c r="EM131" s="30"/>
      <c r="EN131" s="30"/>
      <c r="EO131" s="30"/>
      <c r="EP131" s="30"/>
      <c r="EQ131" s="30"/>
      <c r="ER131" s="30"/>
      <c r="ES131" s="30"/>
      <c r="ET131" s="85"/>
      <c r="EU131" s="85"/>
      <c r="EV131" s="70"/>
    </row>
    <row r="132" spans="2:152">
      <c r="B132" s="11">
        <v>0.1</v>
      </c>
      <c r="C132" s="28">
        <f t="shared" si="26"/>
        <v>2.2799999999999998</v>
      </c>
      <c r="D132" s="16"/>
      <c r="E132" s="8"/>
      <c r="F132" s="27">
        <f t="shared" si="27"/>
        <v>-0.48809523809523819</v>
      </c>
      <c r="G132" s="27">
        <f t="shared" si="28"/>
        <v>-1174.1689300000003</v>
      </c>
      <c r="H132" s="27">
        <f t="shared" si="29"/>
        <v>-117.10205283082121</v>
      </c>
      <c r="I132" s="27">
        <f t="shared" si="30"/>
        <v>10.026885964982499</v>
      </c>
      <c r="J132" s="27">
        <f t="shared" si="31"/>
        <v>-0.50602447742807022</v>
      </c>
      <c r="K132" s="27">
        <f t="shared" si="32"/>
        <v>0.31144793785536723</v>
      </c>
      <c r="L132" s="27">
        <f t="shared" si="33"/>
        <v>0.33607898271345182</v>
      </c>
      <c r="M132" s="17">
        <f t="shared" si="34"/>
        <v>8.3059164764496179E-2</v>
      </c>
      <c r="N132" s="17">
        <f t="shared" si="35"/>
        <v>8.3059164764496179E-2</v>
      </c>
      <c r="O132" s="57">
        <f t="shared" si="36"/>
        <v>8.3059164764496179E-2</v>
      </c>
      <c r="P132" s="17">
        <f>IF(ISERROR(O132),0,IF('R-AFC ISOTOPE'!$G$7=B132,O132,0))</f>
        <v>0</v>
      </c>
      <c r="Q132" s="70"/>
      <c r="S132" s="81"/>
      <c r="T132" s="30"/>
      <c r="U132" s="30"/>
      <c r="W132" s="30"/>
      <c r="X132" s="30"/>
      <c r="Y132" s="30"/>
      <c r="Z132" s="30"/>
      <c r="AA132" s="30"/>
      <c r="AB132" s="30"/>
      <c r="AC132" s="30"/>
      <c r="AD132" s="85"/>
      <c r="AE132" s="85"/>
      <c r="AF132" s="70"/>
      <c r="AH132" s="81"/>
      <c r="AI132" s="30"/>
      <c r="AJ132" s="30"/>
      <c r="AL132" s="30"/>
      <c r="AM132" s="30"/>
      <c r="AN132" s="30"/>
      <c r="AO132" s="30"/>
      <c r="AP132" s="30"/>
      <c r="AQ132" s="30"/>
      <c r="AR132" s="30"/>
      <c r="AS132" s="85"/>
      <c r="AT132" s="85"/>
      <c r="AU132" s="70"/>
      <c r="AW132" s="81"/>
      <c r="AX132" s="30"/>
      <c r="AY132" s="30"/>
      <c r="BA132" s="30"/>
      <c r="BB132" s="30"/>
      <c r="BC132" s="30"/>
      <c r="BD132" s="30"/>
      <c r="BE132" s="30"/>
      <c r="BF132" s="30"/>
      <c r="BG132" s="30"/>
      <c r="BH132" s="85"/>
      <c r="BI132" s="85"/>
      <c r="BJ132" s="70"/>
      <c r="BL132" s="81"/>
      <c r="BM132" s="30"/>
      <c r="BN132" s="30"/>
      <c r="BP132" s="30"/>
      <c r="BQ132" s="30"/>
      <c r="BR132" s="30"/>
      <c r="BS132" s="30"/>
      <c r="BT132" s="30"/>
      <c r="BU132" s="30"/>
      <c r="BV132" s="30"/>
      <c r="BW132" s="85"/>
      <c r="BX132" s="85"/>
      <c r="BY132" s="70"/>
      <c r="CA132" s="81"/>
      <c r="CB132" s="30"/>
      <c r="CC132" s="30"/>
      <c r="CE132" s="30"/>
      <c r="CF132" s="30"/>
      <c r="CG132" s="30"/>
      <c r="CH132" s="30"/>
      <c r="CI132" s="30"/>
      <c r="CJ132" s="30"/>
      <c r="CK132" s="30"/>
      <c r="CL132" s="85"/>
      <c r="CM132" s="85"/>
      <c r="CN132" s="70"/>
      <c r="CP132" s="81"/>
      <c r="CQ132" s="30"/>
      <c r="CR132" s="30"/>
      <c r="CT132" s="30"/>
      <c r="CU132" s="30"/>
      <c r="CV132" s="30"/>
      <c r="CW132" s="30"/>
      <c r="CX132" s="30"/>
      <c r="CY132" s="30"/>
      <c r="CZ132" s="30"/>
      <c r="DA132" s="85"/>
      <c r="DB132" s="85"/>
      <c r="DC132" s="70"/>
      <c r="DE132" s="81"/>
      <c r="DF132" s="30"/>
      <c r="DG132" s="30"/>
      <c r="DI132" s="30"/>
      <c r="DJ132" s="30"/>
      <c r="DK132" s="30"/>
      <c r="DL132" s="30"/>
      <c r="DM132" s="30"/>
      <c r="DN132" s="30"/>
      <c r="DO132" s="30"/>
      <c r="DP132" s="85"/>
      <c r="DQ132" s="85"/>
      <c r="DR132" s="70"/>
      <c r="DT132" s="81"/>
      <c r="DU132" s="30"/>
      <c r="DV132" s="30"/>
      <c r="DX132" s="30"/>
      <c r="DY132" s="30"/>
      <c r="DZ132" s="30"/>
      <c r="EA132" s="30"/>
      <c r="EB132" s="30"/>
      <c r="EC132" s="30"/>
      <c r="ED132" s="30"/>
      <c r="EE132" s="85"/>
      <c r="EF132" s="85"/>
      <c r="EG132" s="70"/>
      <c r="EI132" s="81"/>
      <c r="EJ132" s="30"/>
      <c r="EK132" s="30"/>
      <c r="EM132" s="30"/>
      <c r="EN132" s="30"/>
      <c r="EO132" s="30"/>
      <c r="EP132" s="30"/>
      <c r="EQ132" s="30"/>
      <c r="ER132" s="30"/>
      <c r="ES132" s="30"/>
      <c r="ET132" s="85"/>
      <c r="EU132" s="85"/>
      <c r="EV132" s="70"/>
    </row>
    <row r="133" spans="2:152">
      <c r="B133" s="11">
        <v>0.11</v>
      </c>
      <c r="C133" s="28">
        <f t="shared" si="26"/>
        <v>2.2799999999999998</v>
      </c>
      <c r="D133" s="16"/>
      <c r="E133" s="8"/>
      <c r="F133" s="27">
        <f t="shared" si="27"/>
        <v>-0.56445556946182718</v>
      </c>
      <c r="G133" s="27">
        <f t="shared" si="28"/>
        <v>-1184.58593</v>
      </c>
      <c r="H133" s="27">
        <f t="shared" si="29"/>
        <v>-101.41075487943044</v>
      </c>
      <c r="I133" s="27">
        <f t="shared" si="30"/>
        <v>11.681068062340934</v>
      </c>
      <c r="J133" s="27">
        <f t="shared" si="31"/>
        <v>-0.46972403712818717</v>
      </c>
      <c r="K133" s="27">
        <f t="shared" si="32"/>
        <v>0.31519388623472588</v>
      </c>
      <c r="L133" s="27">
        <f t="shared" si="33"/>
        <v>0.38654262491631863</v>
      </c>
      <c r="M133" s="17">
        <f t="shared" si="34"/>
        <v>9.2889488531992623E-2</v>
      </c>
      <c r="N133" s="17">
        <f t="shared" si="35"/>
        <v>9.2889488531992623E-2</v>
      </c>
      <c r="O133" s="57">
        <f t="shared" si="36"/>
        <v>9.2889488531992623E-2</v>
      </c>
      <c r="P133" s="17">
        <f>IF(ISERROR(O133),0,IF('R-AFC ISOTOPE'!$G$7=B133,O133,0))</f>
        <v>0</v>
      </c>
      <c r="Q133" s="70"/>
      <c r="S133" s="81"/>
      <c r="T133" s="30"/>
      <c r="U133" s="30"/>
      <c r="W133" s="30"/>
      <c r="X133" s="30"/>
      <c r="Y133" s="30"/>
      <c r="Z133" s="30"/>
      <c r="AA133" s="30"/>
      <c r="AB133" s="30"/>
      <c r="AC133" s="30"/>
      <c r="AD133" s="85"/>
      <c r="AE133" s="85"/>
      <c r="AF133" s="70"/>
      <c r="AH133" s="81"/>
      <c r="AI133" s="30"/>
      <c r="AJ133" s="30"/>
      <c r="AL133" s="30"/>
      <c r="AM133" s="30"/>
      <c r="AN133" s="30"/>
      <c r="AO133" s="30"/>
      <c r="AP133" s="30"/>
      <c r="AQ133" s="30"/>
      <c r="AR133" s="30"/>
      <c r="AS133" s="85"/>
      <c r="AT133" s="85"/>
      <c r="AU133" s="70"/>
      <c r="AW133" s="81"/>
      <c r="AX133" s="30"/>
      <c r="AY133" s="30"/>
      <c r="BA133" s="30"/>
      <c r="BB133" s="30"/>
      <c r="BC133" s="30"/>
      <c r="BD133" s="30"/>
      <c r="BE133" s="30"/>
      <c r="BF133" s="30"/>
      <c r="BG133" s="30"/>
      <c r="BH133" s="85"/>
      <c r="BI133" s="85"/>
      <c r="BJ133" s="70"/>
      <c r="BL133" s="81"/>
      <c r="BM133" s="30"/>
      <c r="BN133" s="30"/>
      <c r="BP133" s="30"/>
      <c r="BQ133" s="30"/>
      <c r="BR133" s="30"/>
      <c r="BS133" s="30"/>
      <c r="BT133" s="30"/>
      <c r="BU133" s="30"/>
      <c r="BV133" s="30"/>
      <c r="BW133" s="85"/>
      <c r="BX133" s="85"/>
      <c r="BY133" s="70"/>
      <c r="CA133" s="81"/>
      <c r="CB133" s="30"/>
      <c r="CC133" s="30"/>
      <c r="CE133" s="30"/>
      <c r="CF133" s="30"/>
      <c r="CG133" s="30"/>
      <c r="CH133" s="30"/>
      <c r="CI133" s="30"/>
      <c r="CJ133" s="30"/>
      <c r="CK133" s="30"/>
      <c r="CL133" s="85"/>
      <c r="CM133" s="85"/>
      <c r="CN133" s="70"/>
      <c r="CP133" s="81"/>
      <c r="CQ133" s="30"/>
      <c r="CR133" s="30"/>
      <c r="CT133" s="30"/>
      <c r="CU133" s="30"/>
      <c r="CV133" s="30"/>
      <c r="CW133" s="30"/>
      <c r="CX133" s="30"/>
      <c r="CY133" s="30"/>
      <c r="CZ133" s="30"/>
      <c r="DA133" s="85"/>
      <c r="DB133" s="85"/>
      <c r="DC133" s="70"/>
      <c r="DE133" s="81"/>
      <c r="DF133" s="30"/>
      <c r="DG133" s="30"/>
      <c r="DI133" s="30"/>
      <c r="DJ133" s="30"/>
      <c r="DK133" s="30"/>
      <c r="DL133" s="30"/>
      <c r="DM133" s="30"/>
      <c r="DN133" s="30"/>
      <c r="DO133" s="30"/>
      <c r="DP133" s="85"/>
      <c r="DQ133" s="85"/>
      <c r="DR133" s="70"/>
      <c r="DT133" s="81"/>
      <c r="DU133" s="30"/>
      <c r="DV133" s="30"/>
      <c r="DX133" s="30"/>
      <c r="DY133" s="30"/>
      <c r="DZ133" s="30"/>
      <c r="EA133" s="30"/>
      <c r="EB133" s="30"/>
      <c r="EC133" s="30"/>
      <c r="ED133" s="30"/>
      <c r="EE133" s="85"/>
      <c r="EF133" s="85"/>
      <c r="EG133" s="70"/>
      <c r="EI133" s="81"/>
      <c r="EJ133" s="30"/>
      <c r="EK133" s="30"/>
      <c r="EM133" s="30"/>
      <c r="EN133" s="30"/>
      <c r="EO133" s="30"/>
      <c r="EP133" s="30"/>
      <c r="EQ133" s="30"/>
      <c r="ER133" s="30"/>
      <c r="ES133" s="30"/>
      <c r="ET133" s="85"/>
      <c r="EU133" s="85"/>
      <c r="EV133" s="70"/>
    </row>
    <row r="134" spans="2:152">
      <c r="B134" s="11">
        <v>0.12</v>
      </c>
      <c r="C134" s="28">
        <f t="shared" si="26"/>
        <v>2.2799999999999998</v>
      </c>
      <c r="D134" s="16"/>
      <c r="E134" s="8"/>
      <c r="F134" s="27">
        <f t="shared" si="27"/>
        <v>-0.6490765171503956</v>
      </c>
      <c r="G134" s="27">
        <f t="shared" si="28"/>
        <v>-1195.0029300000001</v>
      </c>
      <c r="H134" s="27">
        <f t="shared" si="29"/>
        <v>-85.719456928039563</v>
      </c>
      <c r="I134" s="27">
        <f t="shared" si="30"/>
        <v>13.940859786398208</v>
      </c>
      <c r="J134" s="27">
        <f t="shared" si="31"/>
        <v>-0.43513234438314036</v>
      </c>
      <c r="K134" s="27">
        <f t="shared" si="32"/>
        <v>0.31774783596344619</v>
      </c>
      <c r="L134" s="27">
        <f t="shared" si="33"/>
        <v>0.44283385845116668</v>
      </c>
      <c r="M134" s="17">
        <f t="shared" si="34"/>
        <v>0.10323282844181976</v>
      </c>
      <c r="N134" s="17">
        <f t="shared" si="35"/>
        <v>0.10323282844181976</v>
      </c>
      <c r="O134" s="57">
        <f t="shared" si="36"/>
        <v>0.10323282844181976</v>
      </c>
      <c r="P134" s="17">
        <f>IF(ISERROR(O134),0,IF('R-AFC ISOTOPE'!$G$7=B134,O134,0))</f>
        <v>0</v>
      </c>
      <c r="Q134" s="70"/>
      <c r="S134" s="81"/>
      <c r="T134" s="30"/>
      <c r="U134" s="30"/>
      <c r="W134" s="30"/>
      <c r="X134" s="30"/>
      <c r="Y134" s="30"/>
      <c r="Z134" s="30"/>
      <c r="AA134" s="30"/>
      <c r="AB134" s="30"/>
      <c r="AC134" s="30"/>
      <c r="AD134" s="85"/>
      <c r="AE134" s="85"/>
      <c r="AF134" s="70"/>
      <c r="AH134" s="81"/>
      <c r="AI134" s="30"/>
      <c r="AJ134" s="30"/>
      <c r="AL134" s="30"/>
      <c r="AM134" s="30"/>
      <c r="AN134" s="30"/>
      <c r="AO134" s="30"/>
      <c r="AP134" s="30"/>
      <c r="AQ134" s="30"/>
      <c r="AR134" s="30"/>
      <c r="AS134" s="85"/>
      <c r="AT134" s="85"/>
      <c r="AU134" s="70"/>
      <c r="AW134" s="81"/>
      <c r="AX134" s="30"/>
      <c r="AY134" s="30"/>
      <c r="BA134" s="30"/>
      <c r="BB134" s="30"/>
      <c r="BC134" s="30"/>
      <c r="BD134" s="30"/>
      <c r="BE134" s="30"/>
      <c r="BF134" s="30"/>
      <c r="BG134" s="30"/>
      <c r="BH134" s="85"/>
      <c r="BI134" s="85"/>
      <c r="BJ134" s="70"/>
      <c r="BL134" s="81"/>
      <c r="BM134" s="30"/>
      <c r="BN134" s="30"/>
      <c r="BP134" s="30"/>
      <c r="BQ134" s="30"/>
      <c r="BR134" s="30"/>
      <c r="BS134" s="30"/>
      <c r="BT134" s="30"/>
      <c r="BU134" s="30"/>
      <c r="BV134" s="30"/>
      <c r="BW134" s="85"/>
      <c r="BX134" s="85"/>
      <c r="BY134" s="70"/>
      <c r="CA134" s="81"/>
      <c r="CB134" s="30"/>
      <c r="CC134" s="30"/>
      <c r="CE134" s="30"/>
      <c r="CF134" s="30"/>
      <c r="CG134" s="30"/>
      <c r="CH134" s="30"/>
      <c r="CI134" s="30"/>
      <c r="CJ134" s="30"/>
      <c r="CK134" s="30"/>
      <c r="CL134" s="85"/>
      <c r="CM134" s="85"/>
      <c r="CN134" s="70"/>
      <c r="CP134" s="81"/>
      <c r="CQ134" s="30"/>
      <c r="CR134" s="30"/>
      <c r="CT134" s="30"/>
      <c r="CU134" s="30"/>
      <c r="CV134" s="30"/>
      <c r="CW134" s="30"/>
      <c r="CX134" s="30"/>
      <c r="CY134" s="30"/>
      <c r="CZ134" s="30"/>
      <c r="DA134" s="85"/>
      <c r="DB134" s="85"/>
      <c r="DC134" s="70"/>
      <c r="DE134" s="81"/>
      <c r="DF134" s="30"/>
      <c r="DG134" s="30"/>
      <c r="DI134" s="30"/>
      <c r="DJ134" s="30"/>
      <c r="DK134" s="30"/>
      <c r="DL134" s="30"/>
      <c r="DM134" s="30"/>
      <c r="DN134" s="30"/>
      <c r="DO134" s="30"/>
      <c r="DP134" s="85"/>
      <c r="DQ134" s="85"/>
      <c r="DR134" s="70"/>
      <c r="DT134" s="81"/>
      <c r="DU134" s="30"/>
      <c r="DV134" s="30"/>
      <c r="DX134" s="30"/>
      <c r="DY134" s="30"/>
      <c r="DZ134" s="30"/>
      <c r="EA134" s="30"/>
      <c r="EB134" s="30"/>
      <c r="EC134" s="30"/>
      <c r="ED134" s="30"/>
      <c r="EE134" s="85"/>
      <c r="EF134" s="85"/>
      <c r="EG134" s="70"/>
      <c r="EI134" s="81"/>
      <c r="EJ134" s="30"/>
      <c r="EK134" s="30"/>
      <c r="EM134" s="30"/>
      <c r="EN134" s="30"/>
      <c r="EO134" s="30"/>
      <c r="EP134" s="30"/>
      <c r="EQ134" s="30"/>
      <c r="ER134" s="30"/>
      <c r="ES134" s="30"/>
      <c r="ET134" s="85"/>
      <c r="EU134" s="85"/>
      <c r="EV134" s="70"/>
    </row>
    <row r="135" spans="2:152">
      <c r="B135" s="11">
        <v>0.13</v>
      </c>
      <c r="C135" s="28">
        <f t="shared" si="26"/>
        <v>2.2799999999999998</v>
      </c>
      <c r="D135" s="16"/>
      <c r="E135" s="8"/>
      <c r="F135" s="27">
        <f t="shared" si="27"/>
        <v>-0.74337517433751743</v>
      </c>
      <c r="G135" s="27">
        <f t="shared" si="28"/>
        <v>-1205.41993</v>
      </c>
      <c r="H135" s="27">
        <f t="shared" si="29"/>
        <v>-70.02815897664874</v>
      </c>
      <c r="I135" s="27">
        <f t="shared" si="30"/>
        <v>17.213360276998767</v>
      </c>
      <c r="J135" s="27">
        <f t="shared" si="31"/>
        <v>-0.40213152140459996</v>
      </c>
      <c r="K135" s="27">
        <f t="shared" si="32"/>
        <v>0.3184340221228556</v>
      </c>
      <c r="L135" s="27">
        <f t="shared" si="33"/>
        <v>0.50665922762694271</v>
      </c>
      <c r="M135" s="17">
        <f t="shared" si="34"/>
        <v>0.11423637382559676</v>
      </c>
      <c r="N135" s="17">
        <f t="shared" si="35"/>
        <v>0.11423637382559676</v>
      </c>
      <c r="O135" s="57">
        <f t="shared" si="36"/>
        <v>0.11423637382559676</v>
      </c>
      <c r="P135" s="17">
        <f>IF(ISERROR(O135),0,IF('R-AFC ISOTOPE'!$G$7=B135,O135,0))</f>
        <v>0</v>
      </c>
      <c r="Q135" s="70"/>
      <c r="S135" s="81"/>
      <c r="T135" s="30"/>
      <c r="U135" s="30"/>
      <c r="W135" s="30"/>
      <c r="X135" s="30"/>
      <c r="Y135" s="30"/>
      <c r="Z135" s="30"/>
      <c r="AA135" s="30"/>
      <c r="AB135" s="30"/>
      <c r="AC135" s="30"/>
      <c r="AD135" s="85"/>
      <c r="AE135" s="85"/>
      <c r="AF135" s="70"/>
      <c r="AH135" s="81"/>
      <c r="AI135" s="30"/>
      <c r="AJ135" s="30"/>
      <c r="AL135" s="30"/>
      <c r="AM135" s="30"/>
      <c r="AN135" s="30"/>
      <c r="AO135" s="30"/>
      <c r="AP135" s="30"/>
      <c r="AQ135" s="30"/>
      <c r="AR135" s="30"/>
      <c r="AS135" s="85"/>
      <c r="AT135" s="85"/>
      <c r="AU135" s="70"/>
      <c r="AW135" s="81"/>
      <c r="AX135" s="30"/>
      <c r="AY135" s="30"/>
      <c r="BA135" s="30"/>
      <c r="BB135" s="30"/>
      <c r="BC135" s="30"/>
      <c r="BD135" s="30"/>
      <c r="BE135" s="30"/>
      <c r="BF135" s="30"/>
      <c r="BG135" s="30"/>
      <c r="BH135" s="85"/>
      <c r="BI135" s="85"/>
      <c r="BJ135" s="70"/>
      <c r="BL135" s="81"/>
      <c r="BM135" s="30"/>
      <c r="BN135" s="30"/>
      <c r="BP135" s="30"/>
      <c r="BQ135" s="30"/>
      <c r="BR135" s="30"/>
      <c r="BS135" s="30"/>
      <c r="BT135" s="30"/>
      <c r="BU135" s="30"/>
      <c r="BV135" s="30"/>
      <c r="BW135" s="85"/>
      <c r="BX135" s="85"/>
      <c r="BY135" s="70"/>
      <c r="CA135" s="81"/>
      <c r="CB135" s="30"/>
      <c r="CC135" s="30"/>
      <c r="CE135" s="30"/>
      <c r="CF135" s="30"/>
      <c r="CG135" s="30"/>
      <c r="CH135" s="30"/>
      <c r="CI135" s="30"/>
      <c r="CJ135" s="30"/>
      <c r="CK135" s="30"/>
      <c r="CL135" s="85"/>
      <c r="CM135" s="85"/>
      <c r="CN135" s="70"/>
      <c r="CP135" s="81"/>
      <c r="CQ135" s="30"/>
      <c r="CR135" s="30"/>
      <c r="CT135" s="30"/>
      <c r="CU135" s="30"/>
      <c r="CV135" s="30"/>
      <c r="CW135" s="30"/>
      <c r="CX135" s="30"/>
      <c r="CY135" s="30"/>
      <c r="CZ135" s="30"/>
      <c r="DA135" s="85"/>
      <c r="DB135" s="85"/>
      <c r="DC135" s="70"/>
      <c r="DE135" s="81"/>
      <c r="DF135" s="30"/>
      <c r="DG135" s="30"/>
      <c r="DI135" s="30"/>
      <c r="DJ135" s="30"/>
      <c r="DK135" s="30"/>
      <c r="DL135" s="30"/>
      <c r="DM135" s="30"/>
      <c r="DN135" s="30"/>
      <c r="DO135" s="30"/>
      <c r="DP135" s="85"/>
      <c r="DQ135" s="85"/>
      <c r="DR135" s="70"/>
      <c r="DT135" s="81"/>
      <c r="DU135" s="30"/>
      <c r="DV135" s="30"/>
      <c r="DX135" s="30"/>
      <c r="DY135" s="30"/>
      <c r="DZ135" s="30"/>
      <c r="EA135" s="30"/>
      <c r="EB135" s="30"/>
      <c r="EC135" s="30"/>
      <c r="ED135" s="30"/>
      <c r="EE135" s="85"/>
      <c r="EF135" s="85"/>
      <c r="EG135" s="70"/>
      <c r="EI135" s="81"/>
      <c r="EJ135" s="30"/>
      <c r="EK135" s="30"/>
      <c r="EM135" s="30"/>
      <c r="EN135" s="30"/>
      <c r="EO135" s="30"/>
      <c r="EP135" s="30"/>
      <c r="EQ135" s="30"/>
      <c r="ER135" s="30"/>
      <c r="ES135" s="30"/>
      <c r="ET135" s="85"/>
      <c r="EU135" s="85"/>
      <c r="EV135" s="70"/>
    </row>
    <row r="136" spans="2:152">
      <c r="B136" s="11">
        <v>0.14000000000000001</v>
      </c>
      <c r="C136" s="28">
        <f t="shared" si="26"/>
        <v>2.2799999999999998</v>
      </c>
      <c r="D136" s="16"/>
      <c r="E136" s="8"/>
      <c r="F136" s="27">
        <f t="shared" si="27"/>
        <v>-0.84911242603550308</v>
      </c>
      <c r="G136" s="27">
        <f t="shared" si="28"/>
        <v>-1215.8369299999997</v>
      </c>
      <c r="H136" s="27">
        <f t="shared" si="29"/>
        <v>-54.336861025257861</v>
      </c>
      <c r="I136" s="27">
        <f t="shared" si="30"/>
        <v>22.375914012309838</v>
      </c>
      <c r="J136" s="27">
        <f t="shared" si="31"/>
        <v>-0.37061428907229238</v>
      </c>
      <c r="K136" s="27">
        <f t="shared" si="32"/>
        <v>0.31604720516567791</v>
      </c>
      <c r="L136" s="27">
        <f t="shared" si="33"/>
        <v>0.58075281691553382</v>
      </c>
      <c r="M136" s="17">
        <f t="shared" si="34"/>
        <v>0.12613773493409744</v>
      </c>
      <c r="N136" s="17">
        <f t="shared" si="35"/>
        <v>0.12613773493409744</v>
      </c>
      <c r="O136" s="57">
        <f t="shared" si="36"/>
        <v>0.12613773493409744</v>
      </c>
      <c r="P136" s="17">
        <f>IF(ISERROR(O136),0,IF('R-AFC ISOTOPE'!$G$7=B136,O136,0))</f>
        <v>0</v>
      </c>
      <c r="Q136" s="70"/>
      <c r="S136" s="81"/>
      <c r="T136" s="30"/>
      <c r="U136" s="30"/>
      <c r="W136" s="30"/>
      <c r="X136" s="30"/>
      <c r="Y136" s="30"/>
      <c r="Z136" s="30"/>
      <c r="AA136" s="30"/>
      <c r="AB136" s="30"/>
      <c r="AC136" s="30"/>
      <c r="AD136" s="85"/>
      <c r="AE136" s="85"/>
      <c r="AF136" s="70"/>
      <c r="AH136" s="81"/>
      <c r="AI136" s="30"/>
      <c r="AJ136" s="30"/>
      <c r="AL136" s="30"/>
      <c r="AM136" s="30"/>
      <c r="AN136" s="30"/>
      <c r="AO136" s="30"/>
      <c r="AP136" s="30"/>
      <c r="AQ136" s="30"/>
      <c r="AR136" s="30"/>
      <c r="AS136" s="85"/>
      <c r="AT136" s="85"/>
      <c r="AU136" s="70"/>
      <c r="AW136" s="81"/>
      <c r="AX136" s="30"/>
      <c r="AY136" s="30"/>
      <c r="BA136" s="30"/>
      <c r="BB136" s="30"/>
      <c r="BC136" s="30"/>
      <c r="BD136" s="30"/>
      <c r="BE136" s="30"/>
      <c r="BF136" s="30"/>
      <c r="BG136" s="30"/>
      <c r="BH136" s="85"/>
      <c r="BI136" s="85"/>
      <c r="BJ136" s="70"/>
      <c r="BL136" s="81"/>
      <c r="BM136" s="30"/>
      <c r="BN136" s="30"/>
      <c r="BP136" s="30"/>
      <c r="BQ136" s="30"/>
      <c r="BR136" s="30"/>
      <c r="BS136" s="30"/>
      <c r="BT136" s="30"/>
      <c r="BU136" s="30"/>
      <c r="BV136" s="30"/>
      <c r="BW136" s="85"/>
      <c r="BX136" s="85"/>
      <c r="BY136" s="70"/>
      <c r="CA136" s="81"/>
      <c r="CB136" s="30"/>
      <c r="CC136" s="30"/>
      <c r="CE136" s="30"/>
      <c r="CF136" s="30"/>
      <c r="CG136" s="30"/>
      <c r="CH136" s="30"/>
      <c r="CI136" s="30"/>
      <c r="CJ136" s="30"/>
      <c r="CK136" s="30"/>
      <c r="CL136" s="85"/>
      <c r="CM136" s="85"/>
      <c r="CN136" s="70"/>
      <c r="CP136" s="81"/>
      <c r="CQ136" s="30"/>
      <c r="CR136" s="30"/>
      <c r="CT136" s="30"/>
      <c r="CU136" s="30"/>
      <c r="CV136" s="30"/>
      <c r="CW136" s="30"/>
      <c r="CX136" s="30"/>
      <c r="CY136" s="30"/>
      <c r="CZ136" s="30"/>
      <c r="DA136" s="85"/>
      <c r="DB136" s="85"/>
      <c r="DC136" s="70"/>
      <c r="DE136" s="81"/>
      <c r="DF136" s="30"/>
      <c r="DG136" s="30"/>
      <c r="DI136" s="30"/>
      <c r="DJ136" s="30"/>
      <c r="DK136" s="30"/>
      <c r="DL136" s="30"/>
      <c r="DM136" s="30"/>
      <c r="DN136" s="30"/>
      <c r="DO136" s="30"/>
      <c r="DP136" s="85"/>
      <c r="DQ136" s="85"/>
      <c r="DR136" s="70"/>
      <c r="DT136" s="81"/>
      <c r="DU136" s="30"/>
      <c r="DV136" s="30"/>
      <c r="DX136" s="30"/>
      <c r="DY136" s="30"/>
      <c r="DZ136" s="30"/>
      <c r="EA136" s="30"/>
      <c r="EB136" s="30"/>
      <c r="EC136" s="30"/>
      <c r="ED136" s="30"/>
      <c r="EE136" s="85"/>
      <c r="EF136" s="85"/>
      <c r="EG136" s="70"/>
      <c r="EI136" s="81"/>
      <c r="EJ136" s="30"/>
      <c r="EK136" s="30"/>
      <c r="EM136" s="30"/>
      <c r="EN136" s="30"/>
      <c r="EO136" s="30"/>
      <c r="EP136" s="30"/>
      <c r="EQ136" s="30"/>
      <c r="ER136" s="30"/>
      <c r="ES136" s="30"/>
      <c r="ET136" s="85"/>
      <c r="EU136" s="85"/>
      <c r="EV136" s="70"/>
    </row>
    <row r="137" spans="2:152">
      <c r="B137" s="11">
        <v>0.15</v>
      </c>
      <c r="C137" s="28">
        <f t="shared" si="26"/>
        <v>2.2799999999999998</v>
      </c>
      <c r="D137" s="16"/>
      <c r="E137" s="8"/>
      <c r="F137" s="27">
        <f t="shared" si="27"/>
        <v>-0.96850393700787385</v>
      </c>
      <c r="G137" s="27">
        <f t="shared" si="28"/>
        <v>-1226.2539299999999</v>
      </c>
      <c r="H137" s="27">
        <f t="shared" si="29"/>
        <v>-38.645563073867038</v>
      </c>
      <c r="I137" s="27">
        <f t="shared" si="30"/>
        <v>31.730781814619728</v>
      </c>
      <c r="J137" s="27">
        <f t="shared" si="31"/>
        <v>-0.3404828019321729</v>
      </c>
      <c r="K137" s="27">
        <f t="shared" si="32"/>
        <v>0.30815670336698758</v>
      </c>
      <c r="L137" s="27">
        <f t="shared" si="33"/>
        <v>0.67005295658157882</v>
      </c>
      <c r="M137" s="17">
        <f t="shared" si="34"/>
        <v>0.13937019071564721</v>
      </c>
      <c r="N137" s="17">
        <f t="shared" si="35"/>
        <v>0.13937019071564721</v>
      </c>
      <c r="O137" s="57">
        <f t="shared" si="36"/>
        <v>0.13937019071564721</v>
      </c>
      <c r="P137" s="17">
        <f>IF(ISERROR(O137),0,IF('R-AFC ISOTOPE'!$G$7=B137,O137,0))</f>
        <v>0</v>
      </c>
      <c r="Q137" s="70"/>
      <c r="S137" s="81"/>
      <c r="T137" s="30"/>
      <c r="U137" s="30"/>
      <c r="W137" s="30"/>
      <c r="X137" s="30"/>
      <c r="Y137" s="30"/>
      <c r="Z137" s="30"/>
      <c r="AA137" s="30"/>
      <c r="AB137" s="30"/>
      <c r="AC137" s="30"/>
      <c r="AD137" s="85"/>
      <c r="AE137" s="85"/>
      <c r="AF137" s="70"/>
      <c r="AH137" s="81"/>
      <c r="AI137" s="30"/>
      <c r="AJ137" s="30"/>
      <c r="AL137" s="30"/>
      <c r="AM137" s="30"/>
      <c r="AN137" s="30"/>
      <c r="AO137" s="30"/>
      <c r="AP137" s="30"/>
      <c r="AQ137" s="30"/>
      <c r="AR137" s="30"/>
      <c r="AS137" s="85"/>
      <c r="AT137" s="85"/>
      <c r="AU137" s="70"/>
      <c r="AW137" s="81"/>
      <c r="AX137" s="30"/>
      <c r="AY137" s="30"/>
      <c r="BA137" s="30"/>
      <c r="BB137" s="30"/>
      <c r="BC137" s="30"/>
      <c r="BD137" s="30"/>
      <c r="BE137" s="30"/>
      <c r="BF137" s="30"/>
      <c r="BG137" s="30"/>
      <c r="BH137" s="85"/>
      <c r="BI137" s="85"/>
      <c r="BJ137" s="70"/>
      <c r="BL137" s="81"/>
      <c r="BM137" s="30"/>
      <c r="BN137" s="30"/>
      <c r="BP137" s="30"/>
      <c r="BQ137" s="30"/>
      <c r="BR137" s="30"/>
      <c r="BS137" s="30"/>
      <c r="BT137" s="30"/>
      <c r="BU137" s="30"/>
      <c r="BV137" s="30"/>
      <c r="BW137" s="85"/>
      <c r="BX137" s="85"/>
      <c r="BY137" s="70"/>
      <c r="CA137" s="81"/>
      <c r="CB137" s="30"/>
      <c r="CC137" s="30"/>
      <c r="CE137" s="30"/>
      <c r="CF137" s="30"/>
      <c r="CG137" s="30"/>
      <c r="CH137" s="30"/>
      <c r="CI137" s="30"/>
      <c r="CJ137" s="30"/>
      <c r="CK137" s="30"/>
      <c r="CL137" s="85"/>
      <c r="CM137" s="85"/>
      <c r="CN137" s="70"/>
      <c r="CP137" s="81"/>
      <c r="CQ137" s="30"/>
      <c r="CR137" s="30"/>
      <c r="CT137" s="30"/>
      <c r="CU137" s="30"/>
      <c r="CV137" s="30"/>
      <c r="CW137" s="30"/>
      <c r="CX137" s="30"/>
      <c r="CY137" s="30"/>
      <c r="CZ137" s="30"/>
      <c r="DA137" s="85"/>
      <c r="DB137" s="85"/>
      <c r="DC137" s="70"/>
      <c r="DE137" s="81"/>
      <c r="DF137" s="30"/>
      <c r="DG137" s="30"/>
      <c r="DI137" s="30"/>
      <c r="DJ137" s="30"/>
      <c r="DK137" s="30"/>
      <c r="DL137" s="30"/>
      <c r="DM137" s="30"/>
      <c r="DN137" s="30"/>
      <c r="DO137" s="30"/>
      <c r="DP137" s="85"/>
      <c r="DQ137" s="85"/>
      <c r="DR137" s="70"/>
      <c r="DT137" s="81"/>
      <c r="DU137" s="30"/>
      <c r="DV137" s="30"/>
      <c r="DX137" s="30"/>
      <c r="DY137" s="30"/>
      <c r="DZ137" s="30"/>
      <c r="EA137" s="30"/>
      <c r="EB137" s="30"/>
      <c r="EC137" s="30"/>
      <c r="ED137" s="30"/>
      <c r="EE137" s="85"/>
      <c r="EF137" s="85"/>
      <c r="EG137" s="70"/>
      <c r="EI137" s="81"/>
      <c r="EJ137" s="30"/>
      <c r="EK137" s="30"/>
      <c r="EM137" s="30"/>
      <c r="EN137" s="30"/>
      <c r="EO137" s="30"/>
      <c r="EP137" s="30"/>
      <c r="EQ137" s="30"/>
      <c r="ER137" s="30"/>
      <c r="ES137" s="30"/>
      <c r="ET137" s="85"/>
      <c r="EU137" s="85"/>
      <c r="EV137" s="70"/>
    </row>
    <row r="138" spans="2:152">
      <c r="B138" s="11">
        <v>0.16</v>
      </c>
      <c r="C138" s="28">
        <f t="shared" si="26"/>
        <v>2.2799999999999998</v>
      </c>
      <c r="D138" s="16"/>
      <c r="E138" s="8"/>
      <c r="F138" s="27">
        <f t="shared" si="27"/>
        <v>-1.104377104377104</v>
      </c>
      <c r="G138" s="27">
        <f t="shared" si="28"/>
        <v>-1236.6709299999998</v>
      </c>
      <c r="H138" s="27">
        <f t="shared" si="29"/>
        <v>-22.954265122476158</v>
      </c>
      <c r="I138" s="27">
        <f t="shared" si="30"/>
        <v>53.875431141077442</v>
      </c>
      <c r="J138" s="27">
        <f t="shared" si="31"/>
        <v>-0.31164763355694758</v>
      </c>
      <c r="K138" s="27">
        <f t="shared" si="32"/>
        <v>0.28867964815527997</v>
      </c>
      <c r="L138" s="27">
        <f t="shared" si="33"/>
        <v>0.78556591045477464</v>
      </c>
      <c r="M138" s="17">
        <f t="shared" si="34"/>
        <v>0.15491065386824179</v>
      </c>
      <c r="N138" s="17">
        <f t="shared" si="35"/>
        <v>0.15491065386824179</v>
      </c>
      <c r="O138" s="57">
        <f t="shared" si="36"/>
        <v>0.15491065386824179</v>
      </c>
      <c r="P138" s="17">
        <f>IF(ISERROR(O138),0,IF('R-AFC ISOTOPE'!$G$7=B138,O138,0))</f>
        <v>0</v>
      </c>
      <c r="Q138" s="70"/>
      <c r="S138" s="81"/>
      <c r="T138" s="30"/>
      <c r="U138" s="30"/>
      <c r="W138" s="30"/>
      <c r="X138" s="30"/>
      <c r="Y138" s="30"/>
      <c r="Z138" s="30"/>
      <c r="AA138" s="30"/>
      <c r="AB138" s="30"/>
      <c r="AC138" s="30"/>
      <c r="AD138" s="85"/>
      <c r="AE138" s="85"/>
      <c r="AF138" s="70"/>
      <c r="AH138" s="81"/>
      <c r="AI138" s="30"/>
      <c r="AJ138" s="30"/>
      <c r="AL138" s="30"/>
      <c r="AM138" s="30"/>
      <c r="AN138" s="30"/>
      <c r="AO138" s="30"/>
      <c r="AP138" s="30"/>
      <c r="AQ138" s="30"/>
      <c r="AR138" s="30"/>
      <c r="AS138" s="85"/>
      <c r="AT138" s="85"/>
      <c r="AU138" s="70"/>
      <c r="AW138" s="81"/>
      <c r="AX138" s="30"/>
      <c r="AY138" s="30"/>
      <c r="BA138" s="30"/>
      <c r="BB138" s="30"/>
      <c r="BC138" s="30"/>
      <c r="BD138" s="30"/>
      <c r="BE138" s="30"/>
      <c r="BF138" s="30"/>
      <c r="BG138" s="30"/>
      <c r="BH138" s="85"/>
      <c r="BI138" s="85"/>
      <c r="BJ138" s="70"/>
      <c r="BL138" s="81"/>
      <c r="BM138" s="30"/>
      <c r="BN138" s="30"/>
      <c r="BP138" s="30"/>
      <c r="BQ138" s="30"/>
      <c r="BR138" s="30"/>
      <c r="BS138" s="30"/>
      <c r="BT138" s="30"/>
      <c r="BU138" s="30"/>
      <c r="BV138" s="30"/>
      <c r="BW138" s="85"/>
      <c r="BX138" s="85"/>
      <c r="BY138" s="70"/>
      <c r="CA138" s="81"/>
      <c r="CB138" s="30"/>
      <c r="CC138" s="30"/>
      <c r="CE138" s="30"/>
      <c r="CF138" s="30"/>
      <c r="CG138" s="30"/>
      <c r="CH138" s="30"/>
      <c r="CI138" s="30"/>
      <c r="CJ138" s="30"/>
      <c r="CK138" s="30"/>
      <c r="CL138" s="85"/>
      <c r="CM138" s="85"/>
      <c r="CN138" s="70"/>
      <c r="CP138" s="81"/>
      <c r="CQ138" s="30"/>
      <c r="CR138" s="30"/>
      <c r="CT138" s="30"/>
      <c r="CU138" s="30"/>
      <c r="CV138" s="30"/>
      <c r="CW138" s="30"/>
      <c r="CX138" s="30"/>
      <c r="CY138" s="30"/>
      <c r="CZ138" s="30"/>
      <c r="DA138" s="85"/>
      <c r="DB138" s="85"/>
      <c r="DC138" s="70"/>
      <c r="DE138" s="81"/>
      <c r="DF138" s="30"/>
      <c r="DG138" s="30"/>
      <c r="DI138" s="30"/>
      <c r="DJ138" s="30"/>
      <c r="DK138" s="30"/>
      <c r="DL138" s="30"/>
      <c r="DM138" s="30"/>
      <c r="DN138" s="30"/>
      <c r="DO138" s="30"/>
      <c r="DP138" s="85"/>
      <c r="DQ138" s="85"/>
      <c r="DR138" s="70"/>
      <c r="DT138" s="81"/>
      <c r="DU138" s="30"/>
      <c r="DV138" s="30"/>
      <c r="DX138" s="30"/>
      <c r="DY138" s="30"/>
      <c r="DZ138" s="30"/>
      <c r="EA138" s="30"/>
      <c r="EB138" s="30"/>
      <c r="EC138" s="30"/>
      <c r="ED138" s="30"/>
      <c r="EE138" s="85"/>
      <c r="EF138" s="85"/>
      <c r="EG138" s="70"/>
      <c r="EI138" s="81"/>
      <c r="EJ138" s="30"/>
      <c r="EK138" s="30"/>
      <c r="EM138" s="30"/>
      <c r="EN138" s="30"/>
      <c r="EO138" s="30"/>
      <c r="EP138" s="30"/>
      <c r="EQ138" s="30"/>
      <c r="ER138" s="30"/>
      <c r="ES138" s="30"/>
      <c r="ET138" s="85"/>
      <c r="EU138" s="85"/>
      <c r="EV138" s="70"/>
    </row>
    <row r="139" spans="2:152">
      <c r="B139" s="11">
        <v>0.17</v>
      </c>
      <c r="C139" s="28">
        <f t="shared" si="26"/>
        <v>2.2799999999999998</v>
      </c>
      <c r="D139" s="16"/>
      <c r="E139" s="8"/>
      <c r="F139" s="27">
        <f t="shared" si="27"/>
        <v>-1.2603978300180831</v>
      </c>
      <c r="G139" s="27">
        <f t="shared" si="28"/>
        <v>-1247.0879300000001</v>
      </c>
      <c r="H139" s="27">
        <f t="shared" si="29"/>
        <v>-7.2629671710854495</v>
      </c>
      <c r="I139" s="27">
        <f t="shared" si="30"/>
        <v>171.70502091277152</v>
      </c>
      <c r="J139" s="27">
        <f t="shared" si="31"/>
        <v>-0.2840268901045776</v>
      </c>
      <c r="K139" s="27">
        <f t="shared" si="32"/>
        <v>0.23187906255954699</v>
      </c>
      <c r="L139" s="27">
        <f t="shared" si="33"/>
        <v>0.96813796274140274</v>
      </c>
      <c r="M139" s="17">
        <f t="shared" si="34"/>
        <v>0.1764307286924548</v>
      </c>
      <c r="N139" s="17">
        <f t="shared" si="35"/>
        <v>0.1764307286924548</v>
      </c>
      <c r="O139" s="57">
        <f t="shared" si="36"/>
        <v>0.1764307286924548</v>
      </c>
      <c r="P139" s="17">
        <f>IF(ISERROR(O139),0,IF('R-AFC ISOTOPE'!$G$7=B139,O139,0))</f>
        <v>0.1764307286924548</v>
      </c>
      <c r="Q139" s="70"/>
      <c r="S139" s="81"/>
      <c r="T139" s="30"/>
      <c r="U139" s="30"/>
      <c r="W139" s="30"/>
      <c r="X139" s="30"/>
      <c r="Y139" s="30"/>
      <c r="Z139" s="30"/>
      <c r="AA139" s="30"/>
      <c r="AB139" s="30"/>
      <c r="AC139" s="30"/>
      <c r="AD139" s="85"/>
      <c r="AE139" s="85"/>
      <c r="AF139" s="70"/>
      <c r="AH139" s="81"/>
      <c r="AI139" s="30"/>
      <c r="AJ139" s="30"/>
      <c r="AL139" s="30"/>
      <c r="AM139" s="30"/>
      <c r="AN139" s="30"/>
      <c r="AO139" s="30"/>
      <c r="AP139" s="30"/>
      <c r="AQ139" s="30"/>
      <c r="AR139" s="30"/>
      <c r="AS139" s="85"/>
      <c r="AT139" s="85"/>
      <c r="AU139" s="70"/>
      <c r="AW139" s="81"/>
      <c r="AX139" s="30"/>
      <c r="AY139" s="30"/>
      <c r="BA139" s="30"/>
      <c r="BB139" s="30"/>
      <c r="BC139" s="30"/>
      <c r="BD139" s="30"/>
      <c r="BE139" s="30"/>
      <c r="BF139" s="30"/>
      <c r="BG139" s="30"/>
      <c r="BH139" s="85"/>
      <c r="BI139" s="85"/>
      <c r="BJ139" s="70"/>
      <c r="BL139" s="81"/>
      <c r="BM139" s="30"/>
      <c r="BN139" s="30"/>
      <c r="BP139" s="30"/>
      <c r="BQ139" s="30"/>
      <c r="BR139" s="30"/>
      <c r="BS139" s="30"/>
      <c r="BT139" s="30"/>
      <c r="BU139" s="30"/>
      <c r="BV139" s="30"/>
      <c r="BW139" s="85"/>
      <c r="BX139" s="85"/>
      <c r="BY139" s="70"/>
      <c r="CA139" s="81"/>
      <c r="CB139" s="30"/>
      <c r="CC139" s="30"/>
      <c r="CE139" s="30"/>
      <c r="CF139" s="30"/>
      <c r="CG139" s="30"/>
      <c r="CH139" s="30"/>
      <c r="CI139" s="30"/>
      <c r="CJ139" s="30"/>
      <c r="CK139" s="30"/>
      <c r="CL139" s="85"/>
      <c r="CM139" s="85"/>
      <c r="CN139" s="70"/>
      <c r="CP139" s="81"/>
      <c r="CQ139" s="30"/>
      <c r="CR139" s="30"/>
      <c r="CT139" s="30"/>
      <c r="CU139" s="30"/>
      <c r="CV139" s="30"/>
      <c r="CW139" s="30"/>
      <c r="CX139" s="30"/>
      <c r="CY139" s="30"/>
      <c r="CZ139" s="30"/>
      <c r="DA139" s="85"/>
      <c r="DB139" s="85"/>
      <c r="DC139" s="70"/>
      <c r="DE139" s="81"/>
      <c r="DF139" s="30"/>
      <c r="DG139" s="30"/>
      <c r="DI139" s="30"/>
      <c r="DJ139" s="30"/>
      <c r="DK139" s="30"/>
      <c r="DL139" s="30"/>
      <c r="DM139" s="30"/>
      <c r="DN139" s="30"/>
      <c r="DO139" s="30"/>
      <c r="DP139" s="85"/>
      <c r="DQ139" s="85"/>
      <c r="DR139" s="70"/>
      <c r="DT139" s="81"/>
      <c r="DU139" s="30"/>
      <c r="DV139" s="30"/>
      <c r="DX139" s="30"/>
      <c r="DY139" s="30"/>
      <c r="DZ139" s="30"/>
      <c r="EA139" s="30"/>
      <c r="EB139" s="30"/>
      <c r="EC139" s="30"/>
      <c r="ED139" s="30"/>
      <c r="EE139" s="85"/>
      <c r="EF139" s="85"/>
      <c r="EG139" s="70"/>
      <c r="EI139" s="81"/>
      <c r="EJ139" s="30"/>
      <c r="EK139" s="30"/>
      <c r="EM139" s="30"/>
      <c r="EN139" s="30"/>
      <c r="EO139" s="30"/>
      <c r="EP139" s="30"/>
      <c r="EQ139" s="30"/>
      <c r="ER139" s="30"/>
      <c r="ES139" s="30"/>
      <c r="ET139" s="85"/>
      <c r="EU139" s="85"/>
      <c r="EV139" s="70"/>
    </row>
    <row r="140" spans="2:152">
      <c r="B140" s="11">
        <v>0.18</v>
      </c>
      <c r="C140" s="28">
        <f t="shared" si="26"/>
        <v>2.2799999999999998</v>
      </c>
      <c r="D140" s="16"/>
      <c r="E140" s="8"/>
      <c r="F140" s="27">
        <f t="shared" si="27"/>
        <v>-1.4414062499999996</v>
      </c>
      <c r="G140" s="27">
        <f t="shared" si="28"/>
        <v>-1257.5049300000001</v>
      </c>
      <c r="H140" s="27">
        <f t="shared" si="29"/>
        <v>8.4283307803053162</v>
      </c>
      <c r="I140" s="27">
        <f t="shared" si="30"/>
        <v>-149.19976004482905</v>
      </c>
      <c r="J140" s="27">
        <f t="shared" si="31"/>
        <v>-0.25754543356729981</v>
      </c>
      <c r="K140" s="27" t="e">
        <f t="shared" si="32"/>
        <v>#NUM!</v>
      </c>
      <c r="L140" s="27" t="e">
        <f t="shared" si="33"/>
        <v>#NUM!</v>
      </c>
      <c r="M140" s="17" t="e">
        <f t="shared" si="34"/>
        <v>#NUM!</v>
      </c>
      <c r="N140" s="17" t="e">
        <f t="shared" si="35"/>
        <v>#N/A</v>
      </c>
      <c r="O140" s="57" t="e">
        <f t="shared" si="36"/>
        <v>#N/A</v>
      </c>
      <c r="P140" s="17">
        <f>IF(ISERROR(O140),0,IF('R-AFC ISOTOPE'!$G$7=B140,O140,0))</f>
        <v>0</v>
      </c>
      <c r="Q140" s="70"/>
      <c r="S140" s="81"/>
      <c r="T140" s="30"/>
      <c r="U140" s="30"/>
      <c r="W140" s="30"/>
      <c r="X140" s="30"/>
      <c r="Y140" s="30"/>
      <c r="Z140" s="30"/>
      <c r="AA140" s="30"/>
      <c r="AB140" s="30"/>
      <c r="AC140" s="30"/>
      <c r="AD140" s="85"/>
      <c r="AE140" s="85"/>
      <c r="AF140" s="70"/>
      <c r="AH140" s="81"/>
      <c r="AI140" s="30"/>
      <c r="AJ140" s="30"/>
      <c r="AL140" s="30"/>
      <c r="AM140" s="30"/>
      <c r="AN140" s="30"/>
      <c r="AO140" s="30"/>
      <c r="AP140" s="30"/>
      <c r="AQ140" s="30"/>
      <c r="AR140" s="30"/>
      <c r="AS140" s="85"/>
      <c r="AT140" s="85"/>
      <c r="AU140" s="70"/>
      <c r="AW140" s="81"/>
      <c r="AX140" s="30"/>
      <c r="AY140" s="30"/>
      <c r="BA140" s="30"/>
      <c r="BB140" s="30"/>
      <c r="BC140" s="30"/>
      <c r="BD140" s="30"/>
      <c r="BE140" s="30"/>
      <c r="BF140" s="30"/>
      <c r="BG140" s="30"/>
      <c r="BH140" s="85"/>
      <c r="BI140" s="85"/>
      <c r="BJ140" s="70"/>
      <c r="BL140" s="81"/>
      <c r="BM140" s="30"/>
      <c r="BN140" s="30"/>
      <c r="BP140" s="30"/>
      <c r="BQ140" s="30"/>
      <c r="BR140" s="30"/>
      <c r="BS140" s="30"/>
      <c r="BT140" s="30"/>
      <c r="BU140" s="30"/>
      <c r="BV140" s="30"/>
      <c r="BW140" s="85"/>
      <c r="BX140" s="85"/>
      <c r="BY140" s="70"/>
      <c r="CA140" s="81"/>
      <c r="CB140" s="30"/>
      <c r="CC140" s="30"/>
      <c r="CE140" s="30"/>
      <c r="CF140" s="30"/>
      <c r="CG140" s="30"/>
      <c r="CH140" s="30"/>
      <c r="CI140" s="30"/>
      <c r="CJ140" s="30"/>
      <c r="CK140" s="30"/>
      <c r="CL140" s="85"/>
      <c r="CM140" s="85"/>
      <c r="CN140" s="70"/>
      <c r="CP140" s="81"/>
      <c r="CQ140" s="30"/>
      <c r="CR140" s="30"/>
      <c r="CT140" s="30"/>
      <c r="CU140" s="30"/>
      <c r="CV140" s="30"/>
      <c r="CW140" s="30"/>
      <c r="CX140" s="30"/>
      <c r="CY140" s="30"/>
      <c r="CZ140" s="30"/>
      <c r="DA140" s="85"/>
      <c r="DB140" s="85"/>
      <c r="DC140" s="70"/>
      <c r="DE140" s="81"/>
      <c r="DF140" s="30"/>
      <c r="DG140" s="30"/>
      <c r="DI140" s="30"/>
      <c r="DJ140" s="30"/>
      <c r="DK140" s="30"/>
      <c r="DL140" s="30"/>
      <c r="DM140" s="30"/>
      <c r="DN140" s="30"/>
      <c r="DO140" s="30"/>
      <c r="DP140" s="85"/>
      <c r="DQ140" s="85"/>
      <c r="DR140" s="70"/>
      <c r="DT140" s="81"/>
      <c r="DU140" s="30"/>
      <c r="DV140" s="30"/>
      <c r="DX140" s="30"/>
      <c r="DY140" s="30"/>
      <c r="DZ140" s="30"/>
      <c r="EA140" s="30"/>
      <c r="EB140" s="30"/>
      <c r="EC140" s="30"/>
      <c r="ED140" s="30"/>
      <c r="EE140" s="85"/>
      <c r="EF140" s="85"/>
      <c r="EG140" s="70"/>
      <c r="EI140" s="81"/>
      <c r="EJ140" s="30"/>
      <c r="EK140" s="30"/>
      <c r="EM140" s="30"/>
      <c r="EN140" s="30"/>
      <c r="EO140" s="30"/>
      <c r="EP140" s="30"/>
      <c r="EQ140" s="30"/>
      <c r="ER140" s="30"/>
      <c r="ES140" s="30"/>
      <c r="ET140" s="85"/>
      <c r="EU140" s="85"/>
      <c r="EV140" s="70"/>
    </row>
    <row r="141" spans="2:152">
      <c r="B141" s="11">
        <v>0.19</v>
      </c>
      <c r="C141" s="28">
        <f t="shared" si="26"/>
        <v>2.2799999999999998</v>
      </c>
      <c r="D141" s="16"/>
      <c r="E141" s="8"/>
      <c r="F141" s="27">
        <f t="shared" si="27"/>
        <v>-1.6539278131634818</v>
      </c>
      <c r="G141" s="27">
        <f t="shared" si="28"/>
        <v>-1267.92193</v>
      </c>
      <c r="H141" s="27">
        <f t="shared" si="29"/>
        <v>24.119628731696196</v>
      </c>
      <c r="I141" s="27">
        <f t="shared" si="30"/>
        <v>-52.568053352073065</v>
      </c>
      <c r="J141" s="27">
        <f t="shared" si="31"/>
        <v>-0.23213419919553918</v>
      </c>
      <c r="K141" s="27" t="e">
        <f t="shared" si="32"/>
        <v>#NUM!</v>
      </c>
      <c r="L141" s="27" t="e">
        <f t="shared" si="33"/>
        <v>#NUM!</v>
      </c>
      <c r="M141" s="17" t="e">
        <f t="shared" si="34"/>
        <v>#NUM!</v>
      </c>
      <c r="N141" s="17" t="e">
        <f t="shared" si="35"/>
        <v>#N/A</v>
      </c>
      <c r="O141" s="57" t="e">
        <f t="shared" si="36"/>
        <v>#N/A</v>
      </c>
      <c r="P141" s="17">
        <f>IF(ISERROR(O141),0,IF('R-AFC ISOTOPE'!$G$7=B141,O141,0))</f>
        <v>0</v>
      </c>
      <c r="Q141" s="70"/>
      <c r="S141" s="81"/>
      <c r="T141" s="30"/>
      <c r="U141" s="30"/>
      <c r="W141" s="30"/>
      <c r="X141" s="30"/>
      <c r="Y141" s="30"/>
      <c r="Z141" s="30"/>
      <c r="AA141" s="30"/>
      <c r="AB141" s="30"/>
      <c r="AC141" s="30"/>
      <c r="AD141" s="85"/>
      <c r="AE141" s="85"/>
      <c r="AF141" s="70"/>
      <c r="AH141" s="81"/>
      <c r="AI141" s="30"/>
      <c r="AJ141" s="30"/>
      <c r="AL141" s="30"/>
      <c r="AM141" s="30"/>
      <c r="AN141" s="30"/>
      <c r="AO141" s="30"/>
      <c r="AP141" s="30"/>
      <c r="AQ141" s="30"/>
      <c r="AR141" s="30"/>
      <c r="AS141" s="85"/>
      <c r="AT141" s="85"/>
      <c r="AU141" s="70"/>
      <c r="AW141" s="81"/>
      <c r="AX141" s="30"/>
      <c r="AY141" s="30"/>
      <c r="BA141" s="30"/>
      <c r="BB141" s="30"/>
      <c r="BC141" s="30"/>
      <c r="BD141" s="30"/>
      <c r="BE141" s="30"/>
      <c r="BF141" s="30"/>
      <c r="BG141" s="30"/>
      <c r="BH141" s="85"/>
      <c r="BI141" s="85"/>
      <c r="BJ141" s="70"/>
      <c r="BL141" s="81"/>
      <c r="BM141" s="30"/>
      <c r="BN141" s="30"/>
      <c r="BP141" s="30"/>
      <c r="BQ141" s="30"/>
      <c r="BR141" s="30"/>
      <c r="BS141" s="30"/>
      <c r="BT141" s="30"/>
      <c r="BU141" s="30"/>
      <c r="BV141" s="30"/>
      <c r="BW141" s="85"/>
      <c r="BX141" s="85"/>
      <c r="BY141" s="70"/>
      <c r="CA141" s="81"/>
      <c r="CB141" s="30"/>
      <c r="CC141" s="30"/>
      <c r="CE141" s="30"/>
      <c r="CF141" s="30"/>
      <c r="CG141" s="30"/>
      <c r="CH141" s="30"/>
      <c r="CI141" s="30"/>
      <c r="CJ141" s="30"/>
      <c r="CK141" s="30"/>
      <c r="CL141" s="85"/>
      <c r="CM141" s="85"/>
      <c r="CN141" s="70"/>
      <c r="CP141" s="81"/>
      <c r="CQ141" s="30"/>
      <c r="CR141" s="30"/>
      <c r="CT141" s="30"/>
      <c r="CU141" s="30"/>
      <c r="CV141" s="30"/>
      <c r="CW141" s="30"/>
      <c r="CX141" s="30"/>
      <c r="CY141" s="30"/>
      <c r="CZ141" s="30"/>
      <c r="DA141" s="85"/>
      <c r="DB141" s="85"/>
      <c r="DC141" s="70"/>
      <c r="DE141" s="81"/>
      <c r="DF141" s="30"/>
      <c r="DG141" s="30"/>
      <c r="DI141" s="30"/>
      <c r="DJ141" s="30"/>
      <c r="DK141" s="30"/>
      <c r="DL141" s="30"/>
      <c r="DM141" s="30"/>
      <c r="DN141" s="30"/>
      <c r="DO141" s="30"/>
      <c r="DP141" s="85"/>
      <c r="DQ141" s="85"/>
      <c r="DR141" s="70"/>
      <c r="DT141" s="81"/>
      <c r="DU141" s="30"/>
      <c r="DV141" s="30"/>
      <c r="DX141" s="30"/>
      <c r="DY141" s="30"/>
      <c r="DZ141" s="30"/>
      <c r="EA141" s="30"/>
      <c r="EB141" s="30"/>
      <c r="EC141" s="30"/>
      <c r="ED141" s="30"/>
      <c r="EE141" s="85"/>
      <c r="EF141" s="85"/>
      <c r="EG141" s="70"/>
      <c r="EI141" s="81"/>
      <c r="EJ141" s="30"/>
      <c r="EK141" s="30"/>
      <c r="EM141" s="30"/>
      <c r="EN141" s="30"/>
      <c r="EO141" s="30"/>
      <c r="EP141" s="30"/>
      <c r="EQ141" s="30"/>
      <c r="ER141" s="30"/>
      <c r="ES141" s="30"/>
      <c r="ET141" s="85"/>
      <c r="EU141" s="85"/>
      <c r="EV141" s="70"/>
    </row>
    <row r="142" spans="2:152">
      <c r="B142" s="11">
        <v>0.2</v>
      </c>
      <c r="C142" s="28">
        <f t="shared" si="26"/>
        <v>2.2799999999999998</v>
      </c>
      <c r="D142" s="16"/>
      <c r="E142" s="8"/>
      <c r="F142" s="27">
        <f t="shared" si="27"/>
        <v>-1.9069767441860468</v>
      </c>
      <c r="G142" s="27">
        <f t="shared" si="28"/>
        <v>-1278.3389299999999</v>
      </c>
      <c r="H142" s="27">
        <f t="shared" si="29"/>
        <v>39.810926683087075</v>
      </c>
      <c r="I142" s="27">
        <f t="shared" si="30"/>
        <v>-32.110253051282982</v>
      </c>
      <c r="J142" s="27">
        <f t="shared" si="31"/>
        <v>-0.20772959403960992</v>
      </c>
      <c r="K142" s="27" t="e">
        <f t="shared" si="32"/>
        <v>#NUM!</v>
      </c>
      <c r="L142" s="27" t="e">
        <f t="shared" si="33"/>
        <v>#NUM!</v>
      </c>
      <c r="M142" s="17" t="e">
        <f t="shared" si="34"/>
        <v>#NUM!</v>
      </c>
      <c r="N142" s="17" t="e">
        <f t="shared" si="35"/>
        <v>#N/A</v>
      </c>
      <c r="O142" s="57" t="e">
        <f t="shared" si="36"/>
        <v>#N/A</v>
      </c>
      <c r="P142" s="17">
        <f>IF(ISERROR(O142),0,IF('R-AFC ISOTOPE'!$G$7=B142,O142,0))</f>
        <v>0</v>
      </c>
      <c r="Q142" s="70"/>
      <c r="S142" s="81"/>
      <c r="T142" s="30"/>
      <c r="U142" s="30"/>
      <c r="W142" s="30"/>
      <c r="X142" s="30"/>
      <c r="Y142" s="30"/>
      <c r="Z142" s="30"/>
      <c r="AA142" s="30"/>
      <c r="AB142" s="30"/>
      <c r="AC142" s="30"/>
      <c r="AD142" s="85"/>
      <c r="AE142" s="85"/>
      <c r="AF142" s="70"/>
      <c r="AH142" s="81"/>
      <c r="AI142" s="30"/>
      <c r="AJ142" s="30"/>
      <c r="AL142" s="30"/>
      <c r="AM142" s="30"/>
      <c r="AN142" s="30"/>
      <c r="AO142" s="30"/>
      <c r="AP142" s="30"/>
      <c r="AQ142" s="30"/>
      <c r="AR142" s="30"/>
      <c r="AS142" s="85"/>
      <c r="AT142" s="85"/>
      <c r="AU142" s="70"/>
      <c r="AW142" s="81"/>
      <c r="AX142" s="30"/>
      <c r="AY142" s="30"/>
      <c r="BA142" s="30"/>
      <c r="BB142" s="30"/>
      <c r="BC142" s="30"/>
      <c r="BD142" s="30"/>
      <c r="BE142" s="30"/>
      <c r="BF142" s="30"/>
      <c r="BG142" s="30"/>
      <c r="BH142" s="85"/>
      <c r="BI142" s="85"/>
      <c r="BJ142" s="70"/>
      <c r="BL142" s="81"/>
      <c r="BM142" s="30"/>
      <c r="BN142" s="30"/>
      <c r="BP142" s="30"/>
      <c r="BQ142" s="30"/>
      <c r="BR142" s="30"/>
      <c r="BS142" s="30"/>
      <c r="BT142" s="30"/>
      <c r="BU142" s="30"/>
      <c r="BV142" s="30"/>
      <c r="BW142" s="85"/>
      <c r="BX142" s="85"/>
      <c r="BY142" s="70"/>
      <c r="CA142" s="81"/>
      <c r="CB142" s="30"/>
      <c r="CC142" s="30"/>
      <c r="CE142" s="30"/>
      <c r="CF142" s="30"/>
      <c r="CG142" s="30"/>
      <c r="CH142" s="30"/>
      <c r="CI142" s="30"/>
      <c r="CJ142" s="30"/>
      <c r="CK142" s="30"/>
      <c r="CL142" s="85"/>
      <c r="CM142" s="85"/>
      <c r="CN142" s="70"/>
      <c r="CP142" s="81"/>
      <c r="CQ142" s="30"/>
      <c r="CR142" s="30"/>
      <c r="CT142" s="30"/>
      <c r="CU142" s="30"/>
      <c r="CV142" s="30"/>
      <c r="CW142" s="30"/>
      <c r="CX142" s="30"/>
      <c r="CY142" s="30"/>
      <c r="CZ142" s="30"/>
      <c r="DA142" s="85"/>
      <c r="DB142" s="85"/>
      <c r="DC142" s="70"/>
      <c r="DE142" s="81"/>
      <c r="DF142" s="30"/>
      <c r="DG142" s="30"/>
      <c r="DI142" s="30"/>
      <c r="DJ142" s="30"/>
      <c r="DK142" s="30"/>
      <c r="DL142" s="30"/>
      <c r="DM142" s="30"/>
      <c r="DN142" s="30"/>
      <c r="DO142" s="30"/>
      <c r="DP142" s="85"/>
      <c r="DQ142" s="85"/>
      <c r="DR142" s="70"/>
      <c r="DT142" s="81"/>
      <c r="DU142" s="30"/>
      <c r="DV142" s="30"/>
      <c r="DX142" s="30"/>
      <c r="DY142" s="30"/>
      <c r="DZ142" s="30"/>
      <c r="EA142" s="30"/>
      <c r="EB142" s="30"/>
      <c r="EC142" s="30"/>
      <c r="ED142" s="30"/>
      <c r="EE142" s="85"/>
      <c r="EF142" s="85"/>
      <c r="EG142" s="70"/>
      <c r="EI142" s="81"/>
      <c r="EJ142" s="30"/>
      <c r="EK142" s="30"/>
      <c r="EM142" s="30"/>
      <c r="EN142" s="30"/>
      <c r="EO142" s="30"/>
      <c r="EP142" s="30"/>
      <c r="EQ142" s="30"/>
      <c r="ER142" s="30"/>
      <c r="ES142" s="30"/>
      <c r="ET142" s="85"/>
      <c r="EU142" s="85"/>
      <c r="EV142" s="70"/>
    </row>
    <row r="143" spans="2:152">
      <c r="B143" s="11">
        <v>0.21</v>
      </c>
      <c r="C143" s="28">
        <f t="shared" si="26"/>
        <v>2.2799999999999998</v>
      </c>
      <c r="D143" s="16"/>
      <c r="E143" s="8"/>
      <c r="F143" s="27">
        <f t="shared" si="27"/>
        <v>-2.2133676092544983</v>
      </c>
      <c r="G143" s="27">
        <f t="shared" si="28"/>
        <v>-1288.7559299999998</v>
      </c>
      <c r="H143" s="27">
        <f t="shared" si="29"/>
        <v>55.502224634477898</v>
      </c>
      <c r="I143" s="27">
        <f t="shared" si="30"/>
        <v>-23.219896832737522</v>
      </c>
      <c r="J143" s="27">
        <f t="shared" si="31"/>
        <v>-0.18427296558086548</v>
      </c>
      <c r="K143" s="27" t="e">
        <f t="shared" si="32"/>
        <v>#NUM!</v>
      </c>
      <c r="L143" s="27" t="e">
        <f t="shared" si="33"/>
        <v>#NUM!</v>
      </c>
      <c r="M143" s="17" t="e">
        <f t="shared" si="34"/>
        <v>#NUM!</v>
      </c>
      <c r="N143" s="17" t="e">
        <f t="shared" si="35"/>
        <v>#N/A</v>
      </c>
      <c r="O143" s="57" t="e">
        <f t="shared" si="36"/>
        <v>#N/A</v>
      </c>
      <c r="P143" s="17">
        <f>IF(ISERROR(O143),0,IF('R-AFC ISOTOPE'!$G$7=B143,O143,0))</f>
        <v>0</v>
      </c>
      <c r="Q143" s="70"/>
      <c r="S143" s="81"/>
      <c r="T143" s="30"/>
      <c r="U143" s="30"/>
      <c r="W143" s="30"/>
      <c r="X143" s="30"/>
      <c r="Y143" s="30"/>
      <c r="Z143" s="30"/>
      <c r="AA143" s="30"/>
      <c r="AB143" s="30"/>
      <c r="AC143" s="30"/>
      <c r="AD143" s="85"/>
      <c r="AE143" s="85"/>
      <c r="AF143" s="70"/>
      <c r="AH143" s="81"/>
      <c r="AI143" s="30"/>
      <c r="AJ143" s="30"/>
      <c r="AL143" s="30"/>
      <c r="AM143" s="30"/>
      <c r="AN143" s="30"/>
      <c r="AO143" s="30"/>
      <c r="AP143" s="30"/>
      <c r="AQ143" s="30"/>
      <c r="AR143" s="30"/>
      <c r="AS143" s="85"/>
      <c r="AT143" s="85"/>
      <c r="AU143" s="70"/>
      <c r="AW143" s="81"/>
      <c r="AX143" s="30"/>
      <c r="AY143" s="30"/>
      <c r="BA143" s="30"/>
      <c r="BB143" s="30"/>
      <c r="BC143" s="30"/>
      <c r="BD143" s="30"/>
      <c r="BE143" s="30"/>
      <c r="BF143" s="30"/>
      <c r="BG143" s="30"/>
      <c r="BH143" s="85"/>
      <c r="BI143" s="85"/>
      <c r="BJ143" s="70"/>
      <c r="BL143" s="81"/>
      <c r="BM143" s="30"/>
      <c r="BN143" s="30"/>
      <c r="BP143" s="30"/>
      <c r="BQ143" s="30"/>
      <c r="BR143" s="30"/>
      <c r="BS143" s="30"/>
      <c r="BT143" s="30"/>
      <c r="BU143" s="30"/>
      <c r="BV143" s="30"/>
      <c r="BW143" s="85"/>
      <c r="BX143" s="85"/>
      <c r="BY143" s="70"/>
      <c r="CA143" s="81"/>
      <c r="CB143" s="30"/>
      <c r="CC143" s="30"/>
      <c r="CE143" s="30"/>
      <c r="CF143" s="30"/>
      <c r="CG143" s="30"/>
      <c r="CH143" s="30"/>
      <c r="CI143" s="30"/>
      <c r="CJ143" s="30"/>
      <c r="CK143" s="30"/>
      <c r="CL143" s="85"/>
      <c r="CM143" s="85"/>
      <c r="CN143" s="70"/>
      <c r="CP143" s="81"/>
      <c r="CQ143" s="30"/>
      <c r="CR143" s="30"/>
      <c r="CT143" s="30"/>
      <c r="CU143" s="30"/>
      <c r="CV143" s="30"/>
      <c r="CW143" s="30"/>
      <c r="CX143" s="30"/>
      <c r="CY143" s="30"/>
      <c r="CZ143" s="30"/>
      <c r="DA143" s="85"/>
      <c r="DB143" s="85"/>
      <c r="DC143" s="70"/>
      <c r="DE143" s="81"/>
      <c r="DF143" s="30"/>
      <c r="DG143" s="30"/>
      <c r="DI143" s="30"/>
      <c r="DJ143" s="30"/>
      <c r="DK143" s="30"/>
      <c r="DL143" s="30"/>
      <c r="DM143" s="30"/>
      <c r="DN143" s="30"/>
      <c r="DO143" s="30"/>
      <c r="DP143" s="85"/>
      <c r="DQ143" s="85"/>
      <c r="DR143" s="70"/>
      <c r="DT143" s="81"/>
      <c r="DU143" s="30"/>
      <c r="DV143" s="30"/>
      <c r="DX143" s="30"/>
      <c r="DY143" s="30"/>
      <c r="DZ143" s="30"/>
      <c r="EA143" s="30"/>
      <c r="EB143" s="30"/>
      <c r="EC143" s="30"/>
      <c r="ED143" s="30"/>
      <c r="EE143" s="85"/>
      <c r="EF143" s="85"/>
      <c r="EG143" s="70"/>
      <c r="EI143" s="81"/>
      <c r="EJ143" s="30"/>
      <c r="EK143" s="30"/>
      <c r="EM143" s="30"/>
      <c r="EN143" s="30"/>
      <c r="EO143" s="30"/>
      <c r="EP143" s="30"/>
      <c r="EQ143" s="30"/>
      <c r="ER143" s="30"/>
      <c r="ES143" s="30"/>
      <c r="ET143" s="85"/>
      <c r="EU143" s="85"/>
      <c r="EV143" s="70"/>
    </row>
    <row r="144" spans="2:152">
      <c r="B144" s="11">
        <v>0.22</v>
      </c>
      <c r="C144" s="28">
        <f t="shared" si="26"/>
        <v>2.2799999999999998</v>
      </c>
      <c r="D144" s="16"/>
      <c r="E144" s="8"/>
      <c r="F144" s="27">
        <f t="shared" si="27"/>
        <v>-2.5919540229885047</v>
      </c>
      <c r="G144" s="27">
        <f t="shared" si="28"/>
        <v>-1299.1729299999997</v>
      </c>
      <c r="H144" s="27">
        <f t="shared" si="29"/>
        <v>71.19352258586872</v>
      </c>
      <c r="I144" s="27">
        <f t="shared" si="30"/>
        <v>-18.248470967748883</v>
      </c>
      <c r="J144" s="27">
        <f t="shared" si="31"/>
        <v>-0.16171013110486246</v>
      </c>
      <c r="K144" s="27" t="e">
        <f t="shared" si="32"/>
        <v>#NUM!</v>
      </c>
      <c r="L144" s="27" t="e">
        <f t="shared" si="33"/>
        <v>#NUM!</v>
      </c>
      <c r="M144" s="17" t="e">
        <f t="shared" si="34"/>
        <v>#NUM!</v>
      </c>
      <c r="N144" s="17" t="e">
        <f t="shared" si="35"/>
        <v>#N/A</v>
      </c>
      <c r="O144" s="57" t="e">
        <f t="shared" si="36"/>
        <v>#N/A</v>
      </c>
      <c r="P144" s="17">
        <f>IF(ISERROR(O144),0,IF('R-AFC ISOTOPE'!$G$7=B144,O144,0))</f>
        <v>0</v>
      </c>
      <c r="Q144" s="70"/>
      <c r="S144" s="81"/>
      <c r="T144" s="30"/>
      <c r="U144" s="30"/>
      <c r="W144" s="30"/>
      <c r="X144" s="30"/>
      <c r="Y144" s="30"/>
      <c r="Z144" s="30"/>
      <c r="AA144" s="30"/>
      <c r="AB144" s="30"/>
      <c r="AC144" s="30"/>
      <c r="AD144" s="85"/>
      <c r="AE144" s="85"/>
      <c r="AF144" s="70"/>
      <c r="AH144" s="81"/>
      <c r="AI144" s="30"/>
      <c r="AJ144" s="30"/>
      <c r="AL144" s="30"/>
      <c r="AM144" s="30"/>
      <c r="AN144" s="30"/>
      <c r="AO144" s="30"/>
      <c r="AP144" s="30"/>
      <c r="AQ144" s="30"/>
      <c r="AR144" s="30"/>
      <c r="AS144" s="85"/>
      <c r="AT144" s="85"/>
      <c r="AU144" s="70"/>
      <c r="AW144" s="81"/>
      <c r="AX144" s="30"/>
      <c r="AY144" s="30"/>
      <c r="BA144" s="30"/>
      <c r="BB144" s="30"/>
      <c r="BC144" s="30"/>
      <c r="BD144" s="30"/>
      <c r="BE144" s="30"/>
      <c r="BF144" s="30"/>
      <c r="BG144" s="30"/>
      <c r="BH144" s="85"/>
      <c r="BI144" s="85"/>
      <c r="BJ144" s="70"/>
      <c r="BL144" s="81"/>
      <c r="BM144" s="30"/>
      <c r="BN144" s="30"/>
      <c r="BP144" s="30"/>
      <c r="BQ144" s="30"/>
      <c r="BR144" s="30"/>
      <c r="BS144" s="30"/>
      <c r="BT144" s="30"/>
      <c r="BU144" s="30"/>
      <c r="BV144" s="30"/>
      <c r="BW144" s="85"/>
      <c r="BX144" s="85"/>
      <c r="BY144" s="70"/>
      <c r="CA144" s="81"/>
      <c r="CB144" s="30"/>
      <c r="CC144" s="30"/>
      <c r="CE144" s="30"/>
      <c r="CF144" s="30"/>
      <c r="CG144" s="30"/>
      <c r="CH144" s="30"/>
      <c r="CI144" s="30"/>
      <c r="CJ144" s="30"/>
      <c r="CK144" s="30"/>
      <c r="CL144" s="85"/>
      <c r="CM144" s="85"/>
      <c r="CN144" s="70"/>
      <c r="CP144" s="81"/>
      <c r="CQ144" s="30"/>
      <c r="CR144" s="30"/>
      <c r="CT144" s="30"/>
      <c r="CU144" s="30"/>
      <c r="CV144" s="30"/>
      <c r="CW144" s="30"/>
      <c r="CX144" s="30"/>
      <c r="CY144" s="30"/>
      <c r="CZ144" s="30"/>
      <c r="DA144" s="85"/>
      <c r="DB144" s="85"/>
      <c r="DC144" s="70"/>
      <c r="DE144" s="81"/>
      <c r="DF144" s="30"/>
      <c r="DG144" s="30"/>
      <c r="DI144" s="30"/>
      <c r="DJ144" s="30"/>
      <c r="DK144" s="30"/>
      <c r="DL144" s="30"/>
      <c r="DM144" s="30"/>
      <c r="DN144" s="30"/>
      <c r="DO144" s="30"/>
      <c r="DP144" s="85"/>
      <c r="DQ144" s="85"/>
      <c r="DR144" s="70"/>
      <c r="DT144" s="81"/>
      <c r="DU144" s="30"/>
      <c r="DV144" s="30"/>
      <c r="DX144" s="30"/>
      <c r="DY144" s="30"/>
      <c r="DZ144" s="30"/>
      <c r="EA144" s="30"/>
      <c r="EB144" s="30"/>
      <c r="EC144" s="30"/>
      <c r="ED144" s="30"/>
      <c r="EE144" s="85"/>
      <c r="EF144" s="85"/>
      <c r="EG144" s="70"/>
      <c r="EI144" s="81"/>
      <c r="EJ144" s="30"/>
      <c r="EK144" s="30"/>
      <c r="EM144" s="30"/>
      <c r="EN144" s="30"/>
      <c r="EO144" s="30"/>
      <c r="EP144" s="30"/>
      <c r="EQ144" s="30"/>
      <c r="ER144" s="30"/>
      <c r="ES144" s="30"/>
      <c r="ET144" s="85"/>
      <c r="EU144" s="85"/>
      <c r="EV144" s="70"/>
    </row>
    <row r="145" spans="2:152">
      <c r="B145" s="11">
        <v>0.23</v>
      </c>
      <c r="C145" s="28">
        <f t="shared" si="26"/>
        <v>2.2799999999999998</v>
      </c>
      <c r="D145" s="16"/>
      <c r="E145" s="8"/>
      <c r="F145" s="27">
        <f t="shared" si="27"/>
        <v>-3.0716612377850154</v>
      </c>
      <c r="G145" s="27">
        <f t="shared" si="28"/>
        <v>-1309.5899300000001</v>
      </c>
      <c r="H145" s="27">
        <f t="shared" si="29"/>
        <v>86.884820537259543</v>
      </c>
      <c r="I145" s="27">
        <f t="shared" si="30"/>
        <v>-15.072712608509075</v>
      </c>
      <c r="J145" s="27">
        <f t="shared" si="31"/>
        <v>-0.1399909598671682</v>
      </c>
      <c r="K145" s="27" t="e">
        <f t="shared" si="32"/>
        <v>#NUM!</v>
      </c>
      <c r="L145" s="27" t="e">
        <f t="shared" si="33"/>
        <v>#NUM!</v>
      </c>
      <c r="M145" s="17" t="e">
        <f t="shared" si="34"/>
        <v>#NUM!</v>
      </c>
      <c r="N145" s="17" t="e">
        <f t="shared" si="35"/>
        <v>#N/A</v>
      </c>
      <c r="O145" s="57" t="e">
        <f t="shared" si="36"/>
        <v>#N/A</v>
      </c>
      <c r="P145" s="17">
        <f>IF(ISERROR(O145),0,IF('R-AFC ISOTOPE'!$G$7=B145,O145,0))</f>
        <v>0</v>
      </c>
      <c r="Q145" s="70"/>
      <c r="S145" s="81"/>
      <c r="T145" s="30"/>
      <c r="U145" s="30"/>
      <c r="W145" s="30"/>
      <c r="X145" s="30"/>
      <c r="Y145" s="30"/>
      <c r="Z145" s="30"/>
      <c r="AA145" s="30"/>
      <c r="AB145" s="30"/>
      <c r="AC145" s="30"/>
      <c r="AD145" s="85"/>
      <c r="AE145" s="85"/>
      <c r="AF145" s="70"/>
      <c r="AH145" s="81"/>
      <c r="AI145" s="30"/>
      <c r="AJ145" s="30"/>
      <c r="AL145" s="30"/>
      <c r="AM145" s="30"/>
      <c r="AN145" s="30"/>
      <c r="AO145" s="30"/>
      <c r="AP145" s="30"/>
      <c r="AQ145" s="30"/>
      <c r="AR145" s="30"/>
      <c r="AS145" s="85"/>
      <c r="AT145" s="85"/>
      <c r="AU145" s="70"/>
      <c r="AW145" s="81"/>
      <c r="AX145" s="30"/>
      <c r="AY145" s="30"/>
      <c r="BA145" s="30"/>
      <c r="BB145" s="30"/>
      <c r="BC145" s="30"/>
      <c r="BD145" s="30"/>
      <c r="BE145" s="30"/>
      <c r="BF145" s="30"/>
      <c r="BG145" s="30"/>
      <c r="BH145" s="85"/>
      <c r="BI145" s="85"/>
      <c r="BJ145" s="70"/>
      <c r="BL145" s="81"/>
      <c r="BM145" s="30"/>
      <c r="BN145" s="30"/>
      <c r="BP145" s="30"/>
      <c r="BQ145" s="30"/>
      <c r="BR145" s="30"/>
      <c r="BS145" s="30"/>
      <c r="BT145" s="30"/>
      <c r="BU145" s="30"/>
      <c r="BV145" s="30"/>
      <c r="BW145" s="85"/>
      <c r="BX145" s="85"/>
      <c r="BY145" s="70"/>
      <c r="CA145" s="81"/>
      <c r="CB145" s="30"/>
      <c r="CC145" s="30"/>
      <c r="CE145" s="30"/>
      <c r="CF145" s="30"/>
      <c r="CG145" s="30"/>
      <c r="CH145" s="30"/>
      <c r="CI145" s="30"/>
      <c r="CJ145" s="30"/>
      <c r="CK145" s="30"/>
      <c r="CL145" s="85"/>
      <c r="CM145" s="85"/>
      <c r="CN145" s="70"/>
      <c r="CP145" s="81"/>
      <c r="CQ145" s="30"/>
      <c r="CR145" s="30"/>
      <c r="CT145" s="30"/>
      <c r="CU145" s="30"/>
      <c r="CV145" s="30"/>
      <c r="CW145" s="30"/>
      <c r="CX145" s="30"/>
      <c r="CY145" s="30"/>
      <c r="CZ145" s="30"/>
      <c r="DA145" s="85"/>
      <c r="DB145" s="85"/>
      <c r="DC145" s="70"/>
      <c r="DE145" s="81"/>
      <c r="DF145" s="30"/>
      <c r="DG145" s="30"/>
      <c r="DI145" s="30"/>
      <c r="DJ145" s="30"/>
      <c r="DK145" s="30"/>
      <c r="DL145" s="30"/>
      <c r="DM145" s="30"/>
      <c r="DN145" s="30"/>
      <c r="DO145" s="30"/>
      <c r="DP145" s="85"/>
      <c r="DQ145" s="85"/>
      <c r="DR145" s="70"/>
      <c r="DT145" s="81"/>
      <c r="DU145" s="30"/>
      <c r="DV145" s="30"/>
      <c r="DX145" s="30"/>
      <c r="DY145" s="30"/>
      <c r="DZ145" s="30"/>
      <c r="EA145" s="30"/>
      <c r="EB145" s="30"/>
      <c r="EC145" s="30"/>
      <c r="ED145" s="30"/>
      <c r="EE145" s="85"/>
      <c r="EF145" s="85"/>
      <c r="EG145" s="70"/>
      <c r="EI145" s="81"/>
      <c r="EJ145" s="30"/>
      <c r="EK145" s="30"/>
      <c r="EM145" s="30"/>
      <c r="EN145" s="30"/>
      <c r="EO145" s="30"/>
      <c r="EP145" s="30"/>
      <c r="EQ145" s="30"/>
      <c r="ER145" s="30"/>
      <c r="ES145" s="30"/>
      <c r="ET145" s="85"/>
      <c r="EU145" s="85"/>
      <c r="EV145" s="70"/>
    </row>
    <row r="146" spans="2:152">
      <c r="B146" s="11">
        <v>0.24</v>
      </c>
      <c r="C146" s="28">
        <f t="shared" si="26"/>
        <v>2.2799999999999998</v>
      </c>
      <c r="D146" s="16"/>
      <c r="E146" s="8"/>
      <c r="F146" s="27">
        <f t="shared" si="27"/>
        <v>-3.6992481203007497</v>
      </c>
      <c r="G146" s="27">
        <f t="shared" si="28"/>
        <v>-1320.0069300000002</v>
      </c>
      <c r="H146" s="27">
        <f t="shared" si="29"/>
        <v>102.57611848865031</v>
      </c>
      <c r="I146" s="27">
        <f t="shared" si="30"/>
        <v>-12.868559947957618</v>
      </c>
      <c r="J146" s="27">
        <f t="shared" si="31"/>
        <v>-0.11906900126958446</v>
      </c>
      <c r="K146" s="27" t="e">
        <f t="shared" si="32"/>
        <v>#NUM!</v>
      </c>
      <c r="L146" s="27" t="e">
        <f t="shared" si="33"/>
        <v>#NUM!</v>
      </c>
      <c r="M146" s="17" t="e">
        <f t="shared" si="34"/>
        <v>#NUM!</v>
      </c>
      <c r="N146" s="17" t="e">
        <f t="shared" si="35"/>
        <v>#N/A</v>
      </c>
      <c r="O146" s="57" t="e">
        <f t="shared" si="36"/>
        <v>#N/A</v>
      </c>
      <c r="P146" s="17">
        <f>IF(ISERROR(O146),0,IF('R-AFC ISOTOPE'!$G$7=B146,O146,0))</f>
        <v>0</v>
      </c>
      <c r="Q146" s="70"/>
      <c r="S146" s="81"/>
      <c r="T146" s="30"/>
      <c r="U146" s="30"/>
      <c r="W146" s="30"/>
      <c r="X146" s="30"/>
      <c r="Y146" s="30"/>
      <c r="Z146" s="30"/>
      <c r="AA146" s="30"/>
      <c r="AB146" s="30"/>
      <c r="AC146" s="30"/>
      <c r="AD146" s="85"/>
      <c r="AE146" s="85"/>
      <c r="AF146" s="70"/>
      <c r="AH146" s="81"/>
      <c r="AI146" s="30"/>
      <c r="AJ146" s="30"/>
      <c r="AL146" s="30"/>
      <c r="AM146" s="30"/>
      <c r="AN146" s="30"/>
      <c r="AO146" s="30"/>
      <c r="AP146" s="30"/>
      <c r="AQ146" s="30"/>
      <c r="AR146" s="30"/>
      <c r="AS146" s="85"/>
      <c r="AT146" s="85"/>
      <c r="AU146" s="70"/>
      <c r="AW146" s="81"/>
      <c r="AX146" s="30"/>
      <c r="AY146" s="30"/>
      <c r="BA146" s="30"/>
      <c r="BB146" s="30"/>
      <c r="BC146" s="30"/>
      <c r="BD146" s="30"/>
      <c r="BE146" s="30"/>
      <c r="BF146" s="30"/>
      <c r="BG146" s="30"/>
      <c r="BH146" s="85"/>
      <c r="BI146" s="85"/>
      <c r="BJ146" s="70"/>
      <c r="BL146" s="81"/>
      <c r="BM146" s="30"/>
      <c r="BN146" s="30"/>
      <c r="BP146" s="30"/>
      <c r="BQ146" s="30"/>
      <c r="BR146" s="30"/>
      <c r="BS146" s="30"/>
      <c r="BT146" s="30"/>
      <c r="BU146" s="30"/>
      <c r="BV146" s="30"/>
      <c r="BW146" s="85"/>
      <c r="BX146" s="85"/>
      <c r="BY146" s="70"/>
      <c r="CA146" s="81"/>
      <c r="CB146" s="30"/>
      <c r="CC146" s="30"/>
      <c r="CE146" s="30"/>
      <c r="CF146" s="30"/>
      <c r="CG146" s="30"/>
      <c r="CH146" s="30"/>
      <c r="CI146" s="30"/>
      <c r="CJ146" s="30"/>
      <c r="CK146" s="30"/>
      <c r="CL146" s="85"/>
      <c r="CM146" s="85"/>
      <c r="CN146" s="70"/>
      <c r="CP146" s="81"/>
      <c r="CQ146" s="30"/>
      <c r="CR146" s="30"/>
      <c r="CT146" s="30"/>
      <c r="CU146" s="30"/>
      <c r="CV146" s="30"/>
      <c r="CW146" s="30"/>
      <c r="CX146" s="30"/>
      <c r="CY146" s="30"/>
      <c r="CZ146" s="30"/>
      <c r="DA146" s="85"/>
      <c r="DB146" s="85"/>
      <c r="DC146" s="70"/>
      <c r="DE146" s="81"/>
      <c r="DF146" s="30"/>
      <c r="DG146" s="30"/>
      <c r="DI146" s="30"/>
      <c r="DJ146" s="30"/>
      <c r="DK146" s="30"/>
      <c r="DL146" s="30"/>
      <c r="DM146" s="30"/>
      <c r="DN146" s="30"/>
      <c r="DO146" s="30"/>
      <c r="DP146" s="85"/>
      <c r="DQ146" s="85"/>
      <c r="DR146" s="70"/>
      <c r="DT146" s="81"/>
      <c r="DU146" s="30"/>
      <c r="DV146" s="30"/>
      <c r="DX146" s="30"/>
      <c r="DY146" s="30"/>
      <c r="DZ146" s="30"/>
      <c r="EA146" s="30"/>
      <c r="EB146" s="30"/>
      <c r="EC146" s="30"/>
      <c r="ED146" s="30"/>
      <c r="EE146" s="85"/>
      <c r="EF146" s="85"/>
      <c r="EG146" s="70"/>
      <c r="EI146" s="81"/>
      <c r="EJ146" s="30"/>
      <c r="EK146" s="30"/>
      <c r="EM146" s="30"/>
      <c r="EN146" s="30"/>
      <c r="EO146" s="30"/>
      <c r="EP146" s="30"/>
      <c r="EQ146" s="30"/>
      <c r="ER146" s="30"/>
      <c r="ES146" s="30"/>
      <c r="ET146" s="85"/>
      <c r="EU146" s="85"/>
      <c r="EV146" s="70"/>
    </row>
    <row r="147" spans="2:152">
      <c r="B147" s="11">
        <v>0.25</v>
      </c>
      <c r="C147" s="28">
        <f t="shared" si="26"/>
        <v>2.2799999999999998</v>
      </c>
      <c r="D147" s="16"/>
      <c r="E147" s="8"/>
      <c r="F147" s="27">
        <f t="shared" si="27"/>
        <v>-4.5555555555555545</v>
      </c>
      <c r="G147" s="27">
        <f t="shared" si="28"/>
        <v>-1330.4239299999999</v>
      </c>
      <c r="H147" s="27">
        <f t="shared" si="29"/>
        <v>118.26741644004113</v>
      </c>
      <c r="I147" s="27">
        <f t="shared" si="30"/>
        <v>-11.24928547563643</v>
      </c>
      <c r="J147" s="27">
        <f t="shared" si="31"/>
        <v>-9.8901153242391904E-2</v>
      </c>
      <c r="K147" s="27" t="e">
        <f t="shared" si="32"/>
        <v>#NUM!</v>
      </c>
      <c r="L147" s="27" t="e">
        <f t="shared" si="33"/>
        <v>#NUM!</v>
      </c>
      <c r="M147" s="17" t="e">
        <f t="shared" si="34"/>
        <v>#NUM!</v>
      </c>
      <c r="N147" s="17" t="e">
        <f t="shared" si="35"/>
        <v>#N/A</v>
      </c>
      <c r="O147" s="57" t="e">
        <f t="shared" si="36"/>
        <v>#N/A</v>
      </c>
      <c r="P147" s="17">
        <f>IF(ISERROR(O147),0,IF('R-AFC ISOTOPE'!$G$7=B147,O147,0))</f>
        <v>0</v>
      </c>
      <c r="Q147" s="70"/>
      <c r="S147" s="81"/>
      <c r="T147" s="30"/>
      <c r="U147" s="30"/>
      <c r="W147" s="30"/>
      <c r="X147" s="30"/>
      <c r="Y147" s="30"/>
      <c r="Z147" s="30"/>
      <c r="AA147" s="30"/>
      <c r="AB147" s="30"/>
      <c r="AC147" s="30"/>
      <c r="AD147" s="85"/>
      <c r="AE147" s="85"/>
      <c r="AF147" s="70"/>
      <c r="AH147" s="81"/>
      <c r="AI147" s="30"/>
      <c r="AJ147" s="30"/>
      <c r="AL147" s="30"/>
      <c r="AM147" s="30"/>
      <c r="AN147" s="30"/>
      <c r="AO147" s="30"/>
      <c r="AP147" s="30"/>
      <c r="AQ147" s="30"/>
      <c r="AR147" s="30"/>
      <c r="AS147" s="85"/>
      <c r="AT147" s="85"/>
      <c r="AU147" s="70"/>
      <c r="AW147" s="81"/>
      <c r="AX147" s="30"/>
      <c r="AY147" s="30"/>
      <c r="BA147" s="30"/>
      <c r="BB147" s="30"/>
      <c r="BC147" s="30"/>
      <c r="BD147" s="30"/>
      <c r="BE147" s="30"/>
      <c r="BF147" s="30"/>
      <c r="BG147" s="30"/>
      <c r="BH147" s="85"/>
      <c r="BI147" s="85"/>
      <c r="BJ147" s="70"/>
      <c r="BL147" s="81"/>
      <c r="BM147" s="30"/>
      <c r="BN147" s="30"/>
      <c r="BP147" s="30"/>
      <c r="BQ147" s="30"/>
      <c r="BR147" s="30"/>
      <c r="BS147" s="30"/>
      <c r="BT147" s="30"/>
      <c r="BU147" s="30"/>
      <c r="BV147" s="30"/>
      <c r="BW147" s="85"/>
      <c r="BX147" s="85"/>
      <c r="BY147" s="70"/>
      <c r="CA147" s="81"/>
      <c r="CB147" s="30"/>
      <c r="CC147" s="30"/>
      <c r="CE147" s="30"/>
      <c r="CF147" s="30"/>
      <c r="CG147" s="30"/>
      <c r="CH147" s="30"/>
      <c r="CI147" s="30"/>
      <c r="CJ147" s="30"/>
      <c r="CK147" s="30"/>
      <c r="CL147" s="85"/>
      <c r="CM147" s="85"/>
      <c r="CN147" s="70"/>
      <c r="CP147" s="81"/>
      <c r="CQ147" s="30"/>
      <c r="CR147" s="30"/>
      <c r="CT147" s="30"/>
      <c r="CU147" s="30"/>
      <c r="CV147" s="30"/>
      <c r="CW147" s="30"/>
      <c r="CX147" s="30"/>
      <c r="CY147" s="30"/>
      <c r="CZ147" s="30"/>
      <c r="DA147" s="85"/>
      <c r="DB147" s="85"/>
      <c r="DC147" s="70"/>
      <c r="DE147" s="81"/>
      <c r="DF147" s="30"/>
      <c r="DG147" s="30"/>
      <c r="DI147" s="30"/>
      <c r="DJ147" s="30"/>
      <c r="DK147" s="30"/>
      <c r="DL147" s="30"/>
      <c r="DM147" s="30"/>
      <c r="DN147" s="30"/>
      <c r="DO147" s="30"/>
      <c r="DP147" s="85"/>
      <c r="DQ147" s="85"/>
      <c r="DR147" s="70"/>
      <c r="DT147" s="81"/>
      <c r="DU147" s="30"/>
      <c r="DV147" s="30"/>
      <c r="DX147" s="30"/>
      <c r="DY147" s="30"/>
      <c r="DZ147" s="30"/>
      <c r="EA147" s="30"/>
      <c r="EB147" s="30"/>
      <c r="EC147" s="30"/>
      <c r="ED147" s="30"/>
      <c r="EE147" s="85"/>
      <c r="EF147" s="85"/>
      <c r="EG147" s="70"/>
      <c r="EI147" s="81"/>
      <c r="EJ147" s="30"/>
      <c r="EK147" s="30"/>
      <c r="EM147" s="30"/>
      <c r="EN147" s="30"/>
      <c r="EO147" s="30"/>
      <c r="EP147" s="30"/>
      <c r="EQ147" s="30"/>
      <c r="ER147" s="30"/>
      <c r="ES147" s="30"/>
      <c r="ET147" s="85"/>
      <c r="EU147" s="85"/>
      <c r="EV147" s="70"/>
    </row>
    <row r="148" spans="2:152">
      <c r="B148" s="11">
        <v>0.26</v>
      </c>
      <c r="C148" s="28">
        <f t="shared" si="26"/>
        <v>2.2799999999999998</v>
      </c>
      <c r="D148" s="16"/>
      <c r="E148" s="8"/>
      <c r="F148" s="27">
        <f t="shared" si="27"/>
        <v>-5.7934782608695654</v>
      </c>
      <c r="G148" s="27">
        <f t="shared" si="28"/>
        <v>-1340.8409300000001</v>
      </c>
      <c r="H148" s="27">
        <f t="shared" si="29"/>
        <v>133.95871439143195</v>
      </c>
      <c r="I148" s="27">
        <f t="shared" si="30"/>
        <v>-10.009359496255069</v>
      </c>
      <c r="J148" s="27">
        <f t="shared" si="31"/>
        <v>-7.9447365850262214E-2</v>
      </c>
      <c r="K148" s="27" t="e">
        <f t="shared" si="32"/>
        <v>#NUM!</v>
      </c>
      <c r="L148" s="27" t="e">
        <f t="shared" si="33"/>
        <v>#NUM!</v>
      </c>
      <c r="M148" s="17" t="e">
        <f t="shared" si="34"/>
        <v>#NUM!</v>
      </c>
      <c r="N148" s="17" t="e">
        <f t="shared" si="35"/>
        <v>#N/A</v>
      </c>
      <c r="O148" s="57" t="e">
        <f t="shared" si="36"/>
        <v>#N/A</v>
      </c>
      <c r="P148" s="17">
        <f>IF(ISERROR(O148),0,IF('R-AFC ISOTOPE'!$G$7=B148,O148,0))</f>
        <v>0</v>
      </c>
      <c r="Q148" s="70"/>
      <c r="S148" s="81"/>
      <c r="T148" s="30"/>
      <c r="U148" s="30"/>
      <c r="W148" s="30"/>
      <c r="X148" s="30"/>
      <c r="Y148" s="30"/>
      <c r="Z148" s="30"/>
      <c r="AA148" s="30"/>
      <c r="AB148" s="30"/>
      <c r="AC148" s="30"/>
      <c r="AD148" s="85"/>
      <c r="AE148" s="85"/>
      <c r="AF148" s="70"/>
      <c r="AH148" s="81"/>
      <c r="AI148" s="30"/>
      <c r="AJ148" s="30"/>
      <c r="AL148" s="30"/>
      <c r="AM148" s="30"/>
      <c r="AN148" s="30"/>
      <c r="AO148" s="30"/>
      <c r="AP148" s="30"/>
      <c r="AQ148" s="30"/>
      <c r="AR148" s="30"/>
      <c r="AS148" s="85"/>
      <c r="AT148" s="85"/>
      <c r="AU148" s="70"/>
      <c r="AW148" s="81"/>
      <c r="AX148" s="30"/>
      <c r="AY148" s="30"/>
      <c r="BA148" s="30"/>
      <c r="BB148" s="30"/>
      <c r="BC148" s="30"/>
      <c r="BD148" s="30"/>
      <c r="BE148" s="30"/>
      <c r="BF148" s="30"/>
      <c r="BG148" s="30"/>
      <c r="BH148" s="85"/>
      <c r="BI148" s="85"/>
      <c r="BJ148" s="70"/>
      <c r="BL148" s="81"/>
      <c r="BM148" s="30"/>
      <c r="BN148" s="30"/>
      <c r="BP148" s="30"/>
      <c r="BQ148" s="30"/>
      <c r="BR148" s="30"/>
      <c r="BS148" s="30"/>
      <c r="BT148" s="30"/>
      <c r="BU148" s="30"/>
      <c r="BV148" s="30"/>
      <c r="BW148" s="85"/>
      <c r="BX148" s="85"/>
      <c r="BY148" s="70"/>
      <c r="CA148" s="81"/>
      <c r="CB148" s="30"/>
      <c r="CC148" s="30"/>
      <c r="CE148" s="30"/>
      <c r="CF148" s="30"/>
      <c r="CG148" s="30"/>
      <c r="CH148" s="30"/>
      <c r="CI148" s="30"/>
      <c r="CJ148" s="30"/>
      <c r="CK148" s="30"/>
      <c r="CL148" s="85"/>
      <c r="CM148" s="85"/>
      <c r="CN148" s="70"/>
      <c r="CP148" s="81"/>
      <c r="CQ148" s="30"/>
      <c r="CR148" s="30"/>
      <c r="CT148" s="30"/>
      <c r="CU148" s="30"/>
      <c r="CV148" s="30"/>
      <c r="CW148" s="30"/>
      <c r="CX148" s="30"/>
      <c r="CY148" s="30"/>
      <c r="CZ148" s="30"/>
      <c r="DA148" s="85"/>
      <c r="DB148" s="85"/>
      <c r="DC148" s="70"/>
      <c r="DE148" s="81"/>
      <c r="DF148" s="30"/>
      <c r="DG148" s="30"/>
      <c r="DI148" s="30"/>
      <c r="DJ148" s="30"/>
      <c r="DK148" s="30"/>
      <c r="DL148" s="30"/>
      <c r="DM148" s="30"/>
      <c r="DN148" s="30"/>
      <c r="DO148" s="30"/>
      <c r="DP148" s="85"/>
      <c r="DQ148" s="85"/>
      <c r="DR148" s="70"/>
      <c r="DT148" s="81"/>
      <c r="DU148" s="30"/>
      <c r="DV148" s="30"/>
      <c r="DX148" s="30"/>
      <c r="DY148" s="30"/>
      <c r="DZ148" s="30"/>
      <c r="EA148" s="30"/>
      <c r="EB148" s="30"/>
      <c r="EC148" s="30"/>
      <c r="ED148" s="30"/>
      <c r="EE148" s="85"/>
      <c r="EF148" s="85"/>
      <c r="EG148" s="70"/>
      <c r="EI148" s="81"/>
      <c r="EJ148" s="30"/>
      <c r="EK148" s="30"/>
      <c r="EM148" s="30"/>
      <c r="EN148" s="30"/>
      <c r="EO148" s="30"/>
      <c r="EP148" s="30"/>
      <c r="EQ148" s="30"/>
      <c r="ER148" s="30"/>
      <c r="ES148" s="30"/>
      <c r="ET148" s="85"/>
      <c r="EU148" s="85"/>
      <c r="EV148" s="70"/>
    </row>
    <row r="149" spans="2:152">
      <c r="B149" s="11">
        <v>0.27</v>
      </c>
      <c r="C149" s="28">
        <f t="shared" si="26"/>
        <v>2.2799999999999998</v>
      </c>
      <c r="D149" s="16"/>
      <c r="E149" s="8"/>
      <c r="F149" s="27">
        <f t="shared" si="27"/>
        <v>-7.7412587412587452</v>
      </c>
      <c r="G149" s="27">
        <f t="shared" si="28"/>
        <v>-1351.25793</v>
      </c>
      <c r="H149" s="27">
        <f t="shared" si="29"/>
        <v>149.65001234282283</v>
      </c>
      <c r="I149" s="27">
        <f t="shared" si="30"/>
        <v>-9.0294541834349928</v>
      </c>
      <c r="J149" s="27">
        <f t="shared" si="31"/>
        <v>-6.0670375832825509E-2</v>
      </c>
      <c r="K149" s="27" t="e">
        <f t="shared" si="32"/>
        <v>#NUM!</v>
      </c>
      <c r="L149" s="27" t="e">
        <f t="shared" si="33"/>
        <v>#NUM!</v>
      </c>
      <c r="M149" s="17" t="e">
        <f t="shared" si="34"/>
        <v>#NUM!</v>
      </c>
      <c r="N149" s="17" t="e">
        <f t="shared" si="35"/>
        <v>#N/A</v>
      </c>
      <c r="O149" s="57" t="e">
        <f t="shared" si="36"/>
        <v>#N/A</v>
      </c>
      <c r="P149" s="17">
        <f>IF(ISERROR(O149),0,IF('R-AFC ISOTOPE'!$G$7=B149,O149,0))</f>
        <v>0</v>
      </c>
      <c r="Q149" s="70"/>
      <c r="S149" s="81"/>
      <c r="T149" s="30"/>
      <c r="U149" s="30"/>
      <c r="W149" s="30"/>
      <c r="X149" s="30"/>
      <c r="Y149" s="30"/>
      <c r="Z149" s="30"/>
      <c r="AA149" s="30"/>
      <c r="AB149" s="30"/>
      <c r="AC149" s="30"/>
      <c r="AD149" s="85"/>
      <c r="AE149" s="85"/>
      <c r="AF149" s="70"/>
      <c r="AH149" s="81"/>
      <c r="AI149" s="30"/>
      <c r="AJ149" s="30"/>
      <c r="AL149" s="30"/>
      <c r="AM149" s="30"/>
      <c r="AN149" s="30"/>
      <c r="AO149" s="30"/>
      <c r="AP149" s="30"/>
      <c r="AQ149" s="30"/>
      <c r="AR149" s="30"/>
      <c r="AS149" s="85"/>
      <c r="AT149" s="85"/>
      <c r="AU149" s="70"/>
      <c r="AW149" s="81"/>
      <c r="AX149" s="30"/>
      <c r="AY149" s="30"/>
      <c r="BA149" s="30"/>
      <c r="BB149" s="30"/>
      <c r="BC149" s="30"/>
      <c r="BD149" s="30"/>
      <c r="BE149" s="30"/>
      <c r="BF149" s="30"/>
      <c r="BG149" s="30"/>
      <c r="BH149" s="85"/>
      <c r="BI149" s="85"/>
      <c r="BJ149" s="70"/>
      <c r="BL149" s="81"/>
      <c r="BM149" s="30"/>
      <c r="BN149" s="30"/>
      <c r="BP149" s="30"/>
      <c r="BQ149" s="30"/>
      <c r="BR149" s="30"/>
      <c r="BS149" s="30"/>
      <c r="BT149" s="30"/>
      <c r="BU149" s="30"/>
      <c r="BV149" s="30"/>
      <c r="BW149" s="85"/>
      <c r="BX149" s="85"/>
      <c r="BY149" s="70"/>
      <c r="CA149" s="81"/>
      <c r="CB149" s="30"/>
      <c r="CC149" s="30"/>
      <c r="CE149" s="30"/>
      <c r="CF149" s="30"/>
      <c r="CG149" s="30"/>
      <c r="CH149" s="30"/>
      <c r="CI149" s="30"/>
      <c r="CJ149" s="30"/>
      <c r="CK149" s="30"/>
      <c r="CL149" s="85"/>
      <c r="CM149" s="85"/>
      <c r="CN149" s="70"/>
      <c r="CP149" s="81"/>
      <c r="CQ149" s="30"/>
      <c r="CR149" s="30"/>
      <c r="CT149" s="30"/>
      <c r="CU149" s="30"/>
      <c r="CV149" s="30"/>
      <c r="CW149" s="30"/>
      <c r="CX149" s="30"/>
      <c r="CY149" s="30"/>
      <c r="CZ149" s="30"/>
      <c r="DA149" s="85"/>
      <c r="DB149" s="85"/>
      <c r="DC149" s="70"/>
      <c r="DE149" s="81"/>
      <c r="DF149" s="30"/>
      <c r="DG149" s="30"/>
      <c r="DI149" s="30"/>
      <c r="DJ149" s="30"/>
      <c r="DK149" s="30"/>
      <c r="DL149" s="30"/>
      <c r="DM149" s="30"/>
      <c r="DN149" s="30"/>
      <c r="DO149" s="30"/>
      <c r="DP149" s="85"/>
      <c r="DQ149" s="85"/>
      <c r="DR149" s="70"/>
      <c r="DT149" s="81"/>
      <c r="DU149" s="30"/>
      <c r="DV149" s="30"/>
      <c r="DX149" s="30"/>
      <c r="DY149" s="30"/>
      <c r="DZ149" s="30"/>
      <c r="EA149" s="30"/>
      <c r="EB149" s="30"/>
      <c r="EC149" s="30"/>
      <c r="ED149" s="30"/>
      <c r="EE149" s="85"/>
      <c r="EF149" s="85"/>
      <c r="EG149" s="70"/>
      <c r="EI149" s="81"/>
      <c r="EJ149" s="30"/>
      <c r="EK149" s="30"/>
      <c r="EM149" s="30"/>
      <c r="EN149" s="30"/>
      <c r="EO149" s="30"/>
      <c r="EP149" s="30"/>
      <c r="EQ149" s="30"/>
      <c r="ER149" s="30"/>
      <c r="ES149" s="30"/>
      <c r="ET149" s="85"/>
      <c r="EU149" s="85"/>
      <c r="EV149" s="70"/>
    </row>
    <row r="150" spans="2:152">
      <c r="B150" s="11">
        <v>0.28000000000000003</v>
      </c>
      <c r="C150" s="28">
        <f t="shared" si="26"/>
        <v>2.2799999999999998</v>
      </c>
      <c r="D150" s="16"/>
      <c r="E150" s="8"/>
      <c r="F150" s="27">
        <f t="shared" si="27"/>
        <v>-11.254901960784313</v>
      </c>
      <c r="G150" s="27">
        <f t="shared" si="28"/>
        <v>-1361.6749299999997</v>
      </c>
      <c r="H150" s="27">
        <f t="shared" si="29"/>
        <v>165.34131029421371</v>
      </c>
      <c r="I150" s="27">
        <f t="shared" si="30"/>
        <v>-8.2355397303734375</v>
      </c>
      <c r="J150" s="27">
        <f t="shared" si="31"/>
        <v>-4.253546837753773E-2</v>
      </c>
      <c r="K150" s="27" t="e">
        <f t="shared" si="32"/>
        <v>#NUM!</v>
      </c>
      <c r="L150" s="27" t="e">
        <f t="shared" si="33"/>
        <v>#NUM!</v>
      </c>
      <c r="M150" s="17" t="e">
        <f t="shared" si="34"/>
        <v>#NUM!</v>
      </c>
      <c r="N150" s="17" t="e">
        <f t="shared" si="35"/>
        <v>#N/A</v>
      </c>
      <c r="O150" s="57" t="e">
        <f t="shared" si="36"/>
        <v>#N/A</v>
      </c>
      <c r="P150" s="17">
        <f>IF(ISERROR(O150),0,IF('R-AFC ISOTOPE'!$G$7=B150,O150,0))</f>
        <v>0</v>
      </c>
      <c r="Q150" s="70"/>
      <c r="S150" s="81"/>
      <c r="T150" s="30"/>
      <c r="U150" s="30"/>
      <c r="W150" s="30"/>
      <c r="X150" s="30"/>
      <c r="Y150" s="30"/>
      <c r="Z150" s="30"/>
      <c r="AA150" s="30"/>
      <c r="AB150" s="30"/>
      <c r="AC150" s="30"/>
      <c r="AD150" s="85"/>
      <c r="AE150" s="85"/>
      <c r="AF150" s="70"/>
      <c r="AH150" s="81"/>
      <c r="AI150" s="30"/>
      <c r="AJ150" s="30"/>
      <c r="AL150" s="30"/>
      <c r="AM150" s="30"/>
      <c r="AN150" s="30"/>
      <c r="AO150" s="30"/>
      <c r="AP150" s="30"/>
      <c r="AQ150" s="30"/>
      <c r="AR150" s="30"/>
      <c r="AS150" s="85"/>
      <c r="AT150" s="85"/>
      <c r="AU150" s="70"/>
      <c r="AW150" s="81"/>
      <c r="AX150" s="30"/>
      <c r="AY150" s="30"/>
      <c r="BA150" s="30"/>
      <c r="BB150" s="30"/>
      <c r="BC150" s="30"/>
      <c r="BD150" s="30"/>
      <c r="BE150" s="30"/>
      <c r="BF150" s="30"/>
      <c r="BG150" s="30"/>
      <c r="BH150" s="85"/>
      <c r="BI150" s="85"/>
      <c r="BJ150" s="70"/>
      <c r="BL150" s="81"/>
      <c r="BM150" s="30"/>
      <c r="BN150" s="30"/>
      <c r="BP150" s="30"/>
      <c r="BQ150" s="30"/>
      <c r="BR150" s="30"/>
      <c r="BS150" s="30"/>
      <c r="BT150" s="30"/>
      <c r="BU150" s="30"/>
      <c r="BV150" s="30"/>
      <c r="BW150" s="85"/>
      <c r="BX150" s="85"/>
      <c r="BY150" s="70"/>
      <c r="CA150" s="81"/>
      <c r="CB150" s="30"/>
      <c r="CC150" s="30"/>
      <c r="CE150" s="30"/>
      <c r="CF150" s="30"/>
      <c r="CG150" s="30"/>
      <c r="CH150" s="30"/>
      <c r="CI150" s="30"/>
      <c r="CJ150" s="30"/>
      <c r="CK150" s="30"/>
      <c r="CL150" s="85"/>
      <c r="CM150" s="85"/>
      <c r="CN150" s="70"/>
      <c r="CP150" s="81"/>
      <c r="CQ150" s="30"/>
      <c r="CR150" s="30"/>
      <c r="CT150" s="30"/>
      <c r="CU150" s="30"/>
      <c r="CV150" s="30"/>
      <c r="CW150" s="30"/>
      <c r="CX150" s="30"/>
      <c r="CY150" s="30"/>
      <c r="CZ150" s="30"/>
      <c r="DA150" s="85"/>
      <c r="DB150" s="85"/>
      <c r="DC150" s="70"/>
      <c r="DE150" s="81"/>
      <c r="DF150" s="30"/>
      <c r="DG150" s="30"/>
      <c r="DI150" s="30"/>
      <c r="DJ150" s="30"/>
      <c r="DK150" s="30"/>
      <c r="DL150" s="30"/>
      <c r="DM150" s="30"/>
      <c r="DN150" s="30"/>
      <c r="DO150" s="30"/>
      <c r="DP150" s="85"/>
      <c r="DQ150" s="85"/>
      <c r="DR150" s="70"/>
      <c r="DT150" s="81"/>
      <c r="DU150" s="30"/>
      <c r="DV150" s="30"/>
      <c r="DX150" s="30"/>
      <c r="DY150" s="30"/>
      <c r="DZ150" s="30"/>
      <c r="EA150" s="30"/>
      <c r="EB150" s="30"/>
      <c r="EC150" s="30"/>
      <c r="ED150" s="30"/>
      <c r="EE150" s="85"/>
      <c r="EF150" s="85"/>
      <c r="EG150" s="70"/>
      <c r="EI150" s="81"/>
      <c r="EJ150" s="30"/>
      <c r="EK150" s="30"/>
      <c r="EM150" s="30"/>
      <c r="EN150" s="30"/>
      <c r="EO150" s="30"/>
      <c r="EP150" s="30"/>
      <c r="EQ150" s="30"/>
      <c r="ER150" s="30"/>
      <c r="ES150" s="30"/>
      <c r="ET150" s="85"/>
      <c r="EU150" s="85"/>
      <c r="EV150" s="70"/>
    </row>
    <row r="151" spans="2:152">
      <c r="B151" s="11">
        <v>0.28999999999999998</v>
      </c>
      <c r="C151" s="28">
        <f t="shared" si="26"/>
        <v>2.2799999999999998</v>
      </c>
      <c r="D151" s="16"/>
      <c r="E151" s="8"/>
      <c r="F151" s="27">
        <f t="shared" si="27"/>
        <v>-19.491803278688451</v>
      </c>
      <c r="G151" s="27">
        <f t="shared" si="28"/>
        <v>-1372.0919299999998</v>
      </c>
      <c r="H151" s="27">
        <f t="shared" si="29"/>
        <v>181.03260824560448</v>
      </c>
      <c r="I151" s="27">
        <f t="shared" si="30"/>
        <v>-7.5792529494935046</v>
      </c>
      <c r="J151" s="27">
        <f t="shared" si="31"/>
        <v>-2.5010262920389041E-2</v>
      </c>
      <c r="K151" s="27" t="e">
        <f t="shared" si="32"/>
        <v>#NUM!</v>
      </c>
      <c r="L151" s="27" t="e">
        <f t="shared" si="33"/>
        <v>#NUM!</v>
      </c>
      <c r="M151" s="17" t="e">
        <f t="shared" si="34"/>
        <v>#NUM!</v>
      </c>
      <c r="N151" s="17" t="e">
        <f t="shared" si="35"/>
        <v>#N/A</v>
      </c>
      <c r="O151" s="57" t="e">
        <f t="shared" si="36"/>
        <v>#N/A</v>
      </c>
      <c r="P151" s="17">
        <f>IF(ISERROR(O151),0,IF('R-AFC ISOTOPE'!$G$7=B151,O151,0))</f>
        <v>0</v>
      </c>
      <c r="Q151" s="70"/>
      <c r="S151" s="81"/>
      <c r="T151" s="30"/>
      <c r="U151" s="30"/>
      <c r="W151" s="30"/>
      <c r="X151" s="30"/>
      <c r="Y151" s="30"/>
      <c r="Z151" s="30"/>
      <c r="AA151" s="30"/>
      <c r="AB151" s="30"/>
      <c r="AC151" s="30"/>
      <c r="AD151" s="85"/>
      <c r="AE151" s="85"/>
      <c r="AF151" s="70"/>
      <c r="AH151" s="81"/>
      <c r="AI151" s="30"/>
      <c r="AJ151" s="30"/>
      <c r="AL151" s="30"/>
      <c r="AM151" s="30"/>
      <c r="AN151" s="30"/>
      <c r="AO151" s="30"/>
      <c r="AP151" s="30"/>
      <c r="AQ151" s="30"/>
      <c r="AR151" s="30"/>
      <c r="AS151" s="85"/>
      <c r="AT151" s="85"/>
      <c r="AU151" s="70"/>
      <c r="AW151" s="81"/>
      <c r="AX151" s="30"/>
      <c r="AY151" s="30"/>
      <c r="BA151" s="30"/>
      <c r="BB151" s="30"/>
      <c r="BC151" s="30"/>
      <c r="BD151" s="30"/>
      <c r="BE151" s="30"/>
      <c r="BF151" s="30"/>
      <c r="BG151" s="30"/>
      <c r="BH151" s="85"/>
      <c r="BI151" s="85"/>
      <c r="BJ151" s="70"/>
      <c r="BL151" s="81"/>
      <c r="BM151" s="30"/>
      <c r="BN151" s="30"/>
      <c r="BP151" s="30"/>
      <c r="BQ151" s="30"/>
      <c r="BR151" s="30"/>
      <c r="BS151" s="30"/>
      <c r="BT151" s="30"/>
      <c r="BU151" s="30"/>
      <c r="BV151" s="30"/>
      <c r="BW151" s="85"/>
      <c r="BX151" s="85"/>
      <c r="BY151" s="70"/>
      <c r="CA151" s="81"/>
      <c r="CB151" s="30"/>
      <c r="CC151" s="30"/>
      <c r="CE151" s="30"/>
      <c r="CF151" s="30"/>
      <c r="CG151" s="30"/>
      <c r="CH151" s="30"/>
      <c r="CI151" s="30"/>
      <c r="CJ151" s="30"/>
      <c r="CK151" s="30"/>
      <c r="CL151" s="85"/>
      <c r="CM151" s="85"/>
      <c r="CN151" s="70"/>
      <c r="CP151" s="81"/>
      <c r="CQ151" s="30"/>
      <c r="CR151" s="30"/>
      <c r="CT151" s="30"/>
      <c r="CU151" s="30"/>
      <c r="CV151" s="30"/>
      <c r="CW151" s="30"/>
      <c r="CX151" s="30"/>
      <c r="CY151" s="30"/>
      <c r="CZ151" s="30"/>
      <c r="DA151" s="85"/>
      <c r="DB151" s="85"/>
      <c r="DC151" s="70"/>
      <c r="DE151" s="81"/>
      <c r="DF151" s="30"/>
      <c r="DG151" s="30"/>
      <c r="DI151" s="30"/>
      <c r="DJ151" s="30"/>
      <c r="DK151" s="30"/>
      <c r="DL151" s="30"/>
      <c r="DM151" s="30"/>
      <c r="DN151" s="30"/>
      <c r="DO151" s="30"/>
      <c r="DP151" s="85"/>
      <c r="DQ151" s="85"/>
      <c r="DR151" s="70"/>
      <c r="DT151" s="81"/>
      <c r="DU151" s="30"/>
      <c r="DV151" s="30"/>
      <c r="DX151" s="30"/>
      <c r="DY151" s="30"/>
      <c r="DZ151" s="30"/>
      <c r="EA151" s="30"/>
      <c r="EB151" s="30"/>
      <c r="EC151" s="30"/>
      <c r="ED151" s="30"/>
      <c r="EE151" s="85"/>
      <c r="EF151" s="85"/>
      <c r="EG151" s="70"/>
      <c r="EI151" s="81"/>
      <c r="EJ151" s="30"/>
      <c r="EK151" s="30"/>
      <c r="EM151" s="30"/>
      <c r="EN151" s="30"/>
      <c r="EO151" s="30"/>
      <c r="EP151" s="30"/>
      <c r="EQ151" s="30"/>
      <c r="ER151" s="30"/>
      <c r="ES151" s="30"/>
      <c r="ET151" s="85"/>
      <c r="EU151" s="85"/>
      <c r="EV151" s="70"/>
    </row>
    <row r="152" spans="2:152">
      <c r="B152" s="11">
        <v>0.3</v>
      </c>
      <c r="C152" s="28">
        <f t="shared" si="26"/>
        <v>2.2799999999999998</v>
      </c>
      <c r="D152" s="16"/>
      <c r="E152" s="8"/>
      <c r="F152" s="27">
        <f t="shared" si="27"/>
        <v>-61.49999999999951</v>
      </c>
      <c r="G152" s="27">
        <f t="shared" si="28"/>
        <v>-1382.50893</v>
      </c>
      <c r="H152" s="27">
        <f t="shared" si="29"/>
        <v>196.72390619699536</v>
      </c>
      <c r="I152" s="27">
        <f t="shared" si="30"/>
        <v>-7.0276610338124508</v>
      </c>
      <c r="J152" s="27">
        <f t="shared" si="31"/>
        <v>-8.064520193810645E-3</v>
      </c>
      <c r="K152" s="27" t="e">
        <f t="shared" si="32"/>
        <v>#NUM!</v>
      </c>
      <c r="L152" s="27" t="e">
        <f t="shared" si="33"/>
        <v>#NUM!</v>
      </c>
      <c r="M152" s="17" t="e">
        <f t="shared" si="34"/>
        <v>#NUM!</v>
      </c>
      <c r="N152" s="17" t="e">
        <f t="shared" si="35"/>
        <v>#N/A</v>
      </c>
      <c r="O152" s="57" t="e">
        <f t="shared" si="36"/>
        <v>#N/A</v>
      </c>
      <c r="P152" s="17">
        <f>IF(ISERROR(O152),0,IF('R-AFC ISOTOPE'!$G$7=B152,O152,0))</f>
        <v>0</v>
      </c>
      <c r="Q152" s="70"/>
      <c r="S152" s="81"/>
      <c r="T152" s="30"/>
      <c r="U152" s="30"/>
      <c r="W152" s="30"/>
      <c r="X152" s="30"/>
      <c r="Y152" s="30"/>
      <c r="Z152" s="30"/>
      <c r="AA152" s="30"/>
      <c r="AB152" s="30"/>
      <c r="AC152" s="30"/>
      <c r="AD152" s="85"/>
      <c r="AE152" s="85"/>
      <c r="AF152" s="70"/>
      <c r="AH152" s="81"/>
      <c r="AI152" s="30"/>
      <c r="AJ152" s="30"/>
      <c r="AL152" s="30"/>
      <c r="AM152" s="30"/>
      <c r="AN152" s="30"/>
      <c r="AO152" s="30"/>
      <c r="AP152" s="30"/>
      <c r="AQ152" s="30"/>
      <c r="AR152" s="30"/>
      <c r="AS152" s="85"/>
      <c r="AT152" s="85"/>
      <c r="AU152" s="70"/>
      <c r="AW152" s="81"/>
      <c r="AX152" s="30"/>
      <c r="AY152" s="30"/>
      <c r="BA152" s="30"/>
      <c r="BB152" s="30"/>
      <c r="BC152" s="30"/>
      <c r="BD152" s="30"/>
      <c r="BE152" s="30"/>
      <c r="BF152" s="30"/>
      <c r="BG152" s="30"/>
      <c r="BH152" s="85"/>
      <c r="BI152" s="85"/>
      <c r="BJ152" s="70"/>
      <c r="BL152" s="81"/>
      <c r="BM152" s="30"/>
      <c r="BN152" s="30"/>
      <c r="BP152" s="30"/>
      <c r="BQ152" s="30"/>
      <c r="BR152" s="30"/>
      <c r="BS152" s="30"/>
      <c r="BT152" s="30"/>
      <c r="BU152" s="30"/>
      <c r="BV152" s="30"/>
      <c r="BW152" s="85"/>
      <c r="BX152" s="85"/>
      <c r="BY152" s="70"/>
      <c r="CA152" s="81"/>
      <c r="CB152" s="30"/>
      <c r="CC152" s="30"/>
      <c r="CE152" s="30"/>
      <c r="CF152" s="30"/>
      <c r="CG152" s="30"/>
      <c r="CH152" s="30"/>
      <c r="CI152" s="30"/>
      <c r="CJ152" s="30"/>
      <c r="CK152" s="30"/>
      <c r="CL152" s="85"/>
      <c r="CM152" s="85"/>
      <c r="CN152" s="70"/>
      <c r="CP152" s="81"/>
      <c r="CQ152" s="30"/>
      <c r="CR152" s="30"/>
      <c r="CT152" s="30"/>
      <c r="CU152" s="30"/>
      <c r="CV152" s="30"/>
      <c r="CW152" s="30"/>
      <c r="CX152" s="30"/>
      <c r="CY152" s="30"/>
      <c r="CZ152" s="30"/>
      <c r="DA152" s="85"/>
      <c r="DB152" s="85"/>
      <c r="DC152" s="70"/>
      <c r="DE152" s="81"/>
      <c r="DF152" s="30"/>
      <c r="DG152" s="30"/>
      <c r="DI152" s="30"/>
      <c r="DJ152" s="30"/>
      <c r="DK152" s="30"/>
      <c r="DL152" s="30"/>
      <c r="DM152" s="30"/>
      <c r="DN152" s="30"/>
      <c r="DO152" s="30"/>
      <c r="DP152" s="85"/>
      <c r="DQ152" s="85"/>
      <c r="DR152" s="70"/>
      <c r="DT152" s="81"/>
      <c r="DU152" s="30"/>
      <c r="DV152" s="30"/>
      <c r="DX152" s="30"/>
      <c r="DY152" s="30"/>
      <c r="DZ152" s="30"/>
      <c r="EA152" s="30"/>
      <c r="EB152" s="30"/>
      <c r="EC152" s="30"/>
      <c r="ED152" s="30"/>
      <c r="EE152" s="85"/>
      <c r="EF152" s="85"/>
      <c r="EG152" s="70"/>
      <c r="EI152" s="81"/>
      <c r="EJ152" s="30"/>
      <c r="EK152" s="30"/>
      <c r="EM152" s="30"/>
      <c r="EN152" s="30"/>
      <c r="EO152" s="30"/>
      <c r="EP152" s="30"/>
      <c r="EQ152" s="30"/>
      <c r="ER152" s="30"/>
      <c r="ES152" s="30"/>
      <c r="ET152" s="85"/>
      <c r="EU152" s="85"/>
      <c r="EV152" s="70"/>
    </row>
    <row r="153" spans="2:152">
      <c r="B153" s="11">
        <v>0.31</v>
      </c>
      <c r="C153" s="28">
        <f t="shared" si="26"/>
        <v>2.2799999999999998</v>
      </c>
      <c r="D153" s="16"/>
      <c r="E153" s="8"/>
      <c r="F153" s="27">
        <f t="shared" si="27"/>
        <v>60.523809523809788</v>
      </c>
      <c r="G153" s="27">
        <f t="shared" si="28"/>
        <v>-1392.9259299999999</v>
      </c>
      <c r="H153" s="27">
        <f t="shared" si="29"/>
        <v>212.41520414838612</v>
      </c>
      <c r="I153" s="27">
        <f t="shared" si="30"/>
        <v>-6.5575622780135294</v>
      </c>
      <c r="J153" s="27">
        <f t="shared" si="31"/>
        <v>8.3300318970804376E-3</v>
      </c>
      <c r="K153" s="27" t="e">
        <f t="shared" si="32"/>
        <v>#NUM!</v>
      </c>
      <c r="L153" s="27" t="e">
        <f t="shared" si="33"/>
        <v>#NUM!</v>
      </c>
      <c r="M153" s="17" t="e">
        <f t="shared" si="34"/>
        <v>#NUM!</v>
      </c>
      <c r="N153" s="17" t="e">
        <f t="shared" si="35"/>
        <v>#N/A</v>
      </c>
      <c r="O153" s="57" t="e">
        <f t="shared" si="36"/>
        <v>#N/A</v>
      </c>
      <c r="P153" s="17">
        <f>IF(ISERROR(O153),0,IF('R-AFC ISOTOPE'!$G$7=B153,O153,0))</f>
        <v>0</v>
      </c>
      <c r="Q153" s="70"/>
      <c r="S153" s="81"/>
      <c r="T153" s="30"/>
      <c r="U153" s="30"/>
      <c r="W153" s="30"/>
      <c r="X153" s="30"/>
      <c r="Y153" s="30"/>
      <c r="Z153" s="30"/>
      <c r="AA153" s="30"/>
      <c r="AB153" s="30"/>
      <c r="AC153" s="30"/>
      <c r="AD153" s="85"/>
      <c r="AE153" s="85"/>
      <c r="AF153" s="70"/>
      <c r="AH153" s="81"/>
      <c r="AI153" s="30"/>
      <c r="AJ153" s="30"/>
      <c r="AL153" s="30"/>
      <c r="AM153" s="30"/>
      <c r="AN153" s="30"/>
      <c r="AO153" s="30"/>
      <c r="AP153" s="30"/>
      <c r="AQ153" s="30"/>
      <c r="AR153" s="30"/>
      <c r="AS153" s="85"/>
      <c r="AT153" s="85"/>
      <c r="AU153" s="70"/>
      <c r="AW153" s="81"/>
      <c r="AX153" s="30"/>
      <c r="AY153" s="30"/>
      <c r="BA153" s="30"/>
      <c r="BB153" s="30"/>
      <c r="BC153" s="30"/>
      <c r="BD153" s="30"/>
      <c r="BE153" s="30"/>
      <c r="BF153" s="30"/>
      <c r="BG153" s="30"/>
      <c r="BH153" s="85"/>
      <c r="BI153" s="85"/>
      <c r="BJ153" s="70"/>
      <c r="BL153" s="81"/>
      <c r="BM153" s="30"/>
      <c r="BN153" s="30"/>
      <c r="BP153" s="30"/>
      <c r="BQ153" s="30"/>
      <c r="BR153" s="30"/>
      <c r="BS153" s="30"/>
      <c r="BT153" s="30"/>
      <c r="BU153" s="30"/>
      <c r="BV153" s="30"/>
      <c r="BW153" s="85"/>
      <c r="BX153" s="85"/>
      <c r="BY153" s="70"/>
      <c r="CA153" s="81"/>
      <c r="CB153" s="30"/>
      <c r="CC153" s="30"/>
      <c r="CE153" s="30"/>
      <c r="CF153" s="30"/>
      <c r="CG153" s="30"/>
      <c r="CH153" s="30"/>
      <c r="CI153" s="30"/>
      <c r="CJ153" s="30"/>
      <c r="CK153" s="30"/>
      <c r="CL153" s="85"/>
      <c r="CM153" s="85"/>
      <c r="CN153" s="70"/>
      <c r="CP153" s="81"/>
      <c r="CQ153" s="30"/>
      <c r="CR153" s="30"/>
      <c r="CT153" s="30"/>
      <c r="CU153" s="30"/>
      <c r="CV153" s="30"/>
      <c r="CW153" s="30"/>
      <c r="CX153" s="30"/>
      <c r="CY153" s="30"/>
      <c r="CZ153" s="30"/>
      <c r="DA153" s="85"/>
      <c r="DB153" s="85"/>
      <c r="DC153" s="70"/>
      <c r="DE153" s="81"/>
      <c r="DF153" s="30"/>
      <c r="DG153" s="30"/>
      <c r="DI153" s="30"/>
      <c r="DJ153" s="30"/>
      <c r="DK153" s="30"/>
      <c r="DL153" s="30"/>
      <c r="DM153" s="30"/>
      <c r="DN153" s="30"/>
      <c r="DO153" s="30"/>
      <c r="DP153" s="85"/>
      <c r="DQ153" s="85"/>
      <c r="DR153" s="70"/>
      <c r="DT153" s="81"/>
      <c r="DU153" s="30"/>
      <c r="DV153" s="30"/>
      <c r="DX153" s="30"/>
      <c r="DY153" s="30"/>
      <c r="DZ153" s="30"/>
      <c r="EA153" s="30"/>
      <c r="EB153" s="30"/>
      <c r="EC153" s="30"/>
      <c r="ED153" s="30"/>
      <c r="EE153" s="85"/>
      <c r="EF153" s="85"/>
      <c r="EG153" s="70"/>
      <c r="EI153" s="81"/>
      <c r="EJ153" s="30"/>
      <c r="EK153" s="30"/>
      <c r="EM153" s="30"/>
      <c r="EN153" s="30"/>
      <c r="EO153" s="30"/>
      <c r="EP153" s="30"/>
      <c r="EQ153" s="30"/>
      <c r="ER153" s="30"/>
      <c r="ES153" s="30"/>
      <c r="ET153" s="85"/>
      <c r="EU153" s="85"/>
      <c r="EV153" s="70"/>
    </row>
    <row r="154" spans="2:152">
      <c r="B154" s="11">
        <v>0.32</v>
      </c>
      <c r="C154" s="28">
        <f t="shared" si="26"/>
        <v>2.2799999999999998</v>
      </c>
      <c r="D154" s="16"/>
      <c r="E154" s="8"/>
      <c r="F154" s="27">
        <f t="shared" si="27"/>
        <v>21.161290322580701</v>
      </c>
      <c r="G154" s="27">
        <f t="shared" si="28"/>
        <v>-1403.3429299999998</v>
      </c>
      <c r="H154" s="27">
        <f t="shared" si="29"/>
        <v>228.10650209977712</v>
      </c>
      <c r="I154" s="27">
        <f t="shared" si="30"/>
        <v>-6.1521390976665673</v>
      </c>
      <c r="J154" s="27">
        <f t="shared" si="31"/>
        <v>2.4199855679086432E-2</v>
      </c>
      <c r="K154" s="27" t="e">
        <f t="shared" si="32"/>
        <v>#NUM!</v>
      </c>
      <c r="L154" s="27" t="e">
        <f t="shared" si="33"/>
        <v>#NUM!</v>
      </c>
      <c r="M154" s="17" t="e">
        <f t="shared" si="34"/>
        <v>#NUM!</v>
      </c>
      <c r="N154" s="17" t="e">
        <f t="shared" si="35"/>
        <v>#N/A</v>
      </c>
      <c r="O154" s="57" t="e">
        <f t="shared" si="36"/>
        <v>#N/A</v>
      </c>
      <c r="P154" s="17">
        <f>IF(ISERROR(O154),0,IF('R-AFC ISOTOPE'!$G$7=B154,O154,0))</f>
        <v>0</v>
      </c>
      <c r="Q154" s="70"/>
      <c r="S154" s="81"/>
      <c r="T154" s="30"/>
      <c r="U154" s="30"/>
      <c r="W154" s="30"/>
      <c r="X154" s="30"/>
      <c r="Y154" s="30"/>
      <c r="Z154" s="30"/>
      <c r="AA154" s="30"/>
      <c r="AB154" s="30"/>
      <c r="AC154" s="30"/>
      <c r="AD154" s="85"/>
      <c r="AE154" s="85"/>
      <c r="AF154" s="70"/>
      <c r="AH154" s="81"/>
      <c r="AI154" s="30"/>
      <c r="AJ154" s="30"/>
      <c r="AL154" s="30"/>
      <c r="AM154" s="30"/>
      <c r="AN154" s="30"/>
      <c r="AO154" s="30"/>
      <c r="AP154" s="30"/>
      <c r="AQ154" s="30"/>
      <c r="AR154" s="30"/>
      <c r="AS154" s="85"/>
      <c r="AT154" s="85"/>
      <c r="AU154" s="70"/>
      <c r="AW154" s="81"/>
      <c r="AX154" s="30"/>
      <c r="AY154" s="30"/>
      <c r="BA154" s="30"/>
      <c r="BB154" s="30"/>
      <c r="BC154" s="30"/>
      <c r="BD154" s="30"/>
      <c r="BE154" s="30"/>
      <c r="BF154" s="30"/>
      <c r="BG154" s="30"/>
      <c r="BH154" s="85"/>
      <c r="BI154" s="85"/>
      <c r="BJ154" s="70"/>
      <c r="BL154" s="81"/>
      <c r="BM154" s="30"/>
      <c r="BN154" s="30"/>
      <c r="BP154" s="30"/>
      <c r="BQ154" s="30"/>
      <c r="BR154" s="30"/>
      <c r="BS154" s="30"/>
      <c r="BT154" s="30"/>
      <c r="BU154" s="30"/>
      <c r="BV154" s="30"/>
      <c r="BW154" s="85"/>
      <c r="BX154" s="85"/>
      <c r="BY154" s="70"/>
      <c r="CA154" s="81"/>
      <c r="CB154" s="30"/>
      <c r="CC154" s="30"/>
      <c r="CE154" s="30"/>
      <c r="CF154" s="30"/>
      <c r="CG154" s="30"/>
      <c r="CH154" s="30"/>
      <c r="CI154" s="30"/>
      <c r="CJ154" s="30"/>
      <c r="CK154" s="30"/>
      <c r="CL154" s="85"/>
      <c r="CM154" s="85"/>
      <c r="CN154" s="70"/>
      <c r="CP154" s="81"/>
      <c r="CQ154" s="30"/>
      <c r="CR154" s="30"/>
      <c r="CT154" s="30"/>
      <c r="CU154" s="30"/>
      <c r="CV154" s="30"/>
      <c r="CW154" s="30"/>
      <c r="CX154" s="30"/>
      <c r="CY154" s="30"/>
      <c r="CZ154" s="30"/>
      <c r="DA154" s="85"/>
      <c r="DB154" s="85"/>
      <c r="DC154" s="70"/>
      <c r="DE154" s="81"/>
      <c r="DF154" s="30"/>
      <c r="DG154" s="30"/>
      <c r="DI154" s="30"/>
      <c r="DJ154" s="30"/>
      <c r="DK154" s="30"/>
      <c r="DL154" s="30"/>
      <c r="DM154" s="30"/>
      <c r="DN154" s="30"/>
      <c r="DO154" s="30"/>
      <c r="DP154" s="85"/>
      <c r="DQ154" s="85"/>
      <c r="DR154" s="70"/>
      <c r="DT154" s="81"/>
      <c r="DU154" s="30"/>
      <c r="DV154" s="30"/>
      <c r="DX154" s="30"/>
      <c r="DY154" s="30"/>
      <c r="DZ154" s="30"/>
      <c r="EA154" s="30"/>
      <c r="EB154" s="30"/>
      <c r="EC154" s="30"/>
      <c r="ED154" s="30"/>
      <c r="EE154" s="85"/>
      <c r="EF154" s="85"/>
      <c r="EG154" s="70"/>
      <c r="EI154" s="81"/>
      <c r="EJ154" s="30"/>
      <c r="EK154" s="30"/>
      <c r="EM154" s="30"/>
      <c r="EN154" s="30"/>
      <c r="EO154" s="30"/>
      <c r="EP154" s="30"/>
      <c r="EQ154" s="30"/>
      <c r="ER154" s="30"/>
      <c r="ES154" s="30"/>
      <c r="ET154" s="85"/>
      <c r="EU154" s="85"/>
      <c r="EV154" s="70"/>
    </row>
    <row r="155" spans="2:152">
      <c r="B155" s="11">
        <v>0.33</v>
      </c>
      <c r="C155" s="28">
        <f t="shared" si="26"/>
        <v>2.2799999999999998</v>
      </c>
      <c r="D155" s="16"/>
      <c r="E155" s="8"/>
      <c r="F155" s="27">
        <f t="shared" si="27"/>
        <v>13.135922330097083</v>
      </c>
      <c r="G155" s="27">
        <f t="shared" si="28"/>
        <v>-1413.7599300000002</v>
      </c>
      <c r="H155" s="27">
        <f t="shared" si="29"/>
        <v>243.79780005116777</v>
      </c>
      <c r="I155" s="27">
        <f t="shared" si="30"/>
        <v>-5.7989035573876517</v>
      </c>
      <c r="J155" s="27">
        <f t="shared" si="31"/>
        <v>3.9569746239793632E-2</v>
      </c>
      <c r="K155" s="27" t="e">
        <f t="shared" si="32"/>
        <v>#NUM!</v>
      </c>
      <c r="L155" s="27" t="e">
        <f t="shared" si="33"/>
        <v>#NUM!</v>
      </c>
      <c r="M155" s="17" t="e">
        <f t="shared" si="34"/>
        <v>#NUM!</v>
      </c>
      <c r="N155" s="17" t="e">
        <f t="shared" si="35"/>
        <v>#N/A</v>
      </c>
      <c r="O155" s="57" t="e">
        <f t="shared" si="36"/>
        <v>#N/A</v>
      </c>
      <c r="P155" s="17">
        <f>IF(ISERROR(O155),0,IF('R-AFC ISOTOPE'!$G$7=B155,O155,0))</f>
        <v>0</v>
      </c>
      <c r="Q155" s="70"/>
      <c r="S155" s="81"/>
      <c r="T155" s="30"/>
      <c r="U155" s="30"/>
      <c r="W155" s="30"/>
      <c r="X155" s="30"/>
      <c r="Y155" s="30"/>
      <c r="Z155" s="30"/>
      <c r="AA155" s="30"/>
      <c r="AB155" s="30"/>
      <c r="AC155" s="30"/>
      <c r="AD155" s="85"/>
      <c r="AE155" s="85"/>
      <c r="AF155" s="70"/>
      <c r="AH155" s="81"/>
      <c r="AI155" s="30"/>
      <c r="AJ155" s="30"/>
      <c r="AL155" s="30"/>
      <c r="AM155" s="30"/>
      <c r="AN155" s="30"/>
      <c r="AO155" s="30"/>
      <c r="AP155" s="30"/>
      <c r="AQ155" s="30"/>
      <c r="AR155" s="30"/>
      <c r="AS155" s="85"/>
      <c r="AT155" s="85"/>
      <c r="AU155" s="70"/>
      <c r="AW155" s="81"/>
      <c r="AX155" s="30"/>
      <c r="AY155" s="30"/>
      <c r="BA155" s="30"/>
      <c r="BB155" s="30"/>
      <c r="BC155" s="30"/>
      <c r="BD155" s="30"/>
      <c r="BE155" s="30"/>
      <c r="BF155" s="30"/>
      <c r="BG155" s="30"/>
      <c r="BH155" s="85"/>
      <c r="BI155" s="85"/>
      <c r="BJ155" s="70"/>
      <c r="BL155" s="81"/>
      <c r="BM155" s="30"/>
      <c r="BN155" s="30"/>
      <c r="BP155" s="30"/>
      <c r="BQ155" s="30"/>
      <c r="BR155" s="30"/>
      <c r="BS155" s="30"/>
      <c r="BT155" s="30"/>
      <c r="BU155" s="30"/>
      <c r="BV155" s="30"/>
      <c r="BW155" s="85"/>
      <c r="BX155" s="85"/>
      <c r="BY155" s="70"/>
      <c r="CA155" s="81"/>
      <c r="CB155" s="30"/>
      <c r="CC155" s="30"/>
      <c r="CE155" s="30"/>
      <c r="CF155" s="30"/>
      <c r="CG155" s="30"/>
      <c r="CH155" s="30"/>
      <c r="CI155" s="30"/>
      <c r="CJ155" s="30"/>
      <c r="CK155" s="30"/>
      <c r="CL155" s="85"/>
      <c r="CM155" s="85"/>
      <c r="CN155" s="70"/>
      <c r="CP155" s="81"/>
      <c r="CQ155" s="30"/>
      <c r="CR155" s="30"/>
      <c r="CT155" s="30"/>
      <c r="CU155" s="30"/>
      <c r="CV155" s="30"/>
      <c r="CW155" s="30"/>
      <c r="CX155" s="30"/>
      <c r="CY155" s="30"/>
      <c r="CZ155" s="30"/>
      <c r="DA155" s="85"/>
      <c r="DB155" s="85"/>
      <c r="DC155" s="70"/>
      <c r="DE155" s="81"/>
      <c r="DF155" s="30"/>
      <c r="DG155" s="30"/>
      <c r="DI155" s="30"/>
      <c r="DJ155" s="30"/>
      <c r="DK155" s="30"/>
      <c r="DL155" s="30"/>
      <c r="DM155" s="30"/>
      <c r="DN155" s="30"/>
      <c r="DO155" s="30"/>
      <c r="DP155" s="85"/>
      <c r="DQ155" s="85"/>
      <c r="DR155" s="70"/>
      <c r="DT155" s="81"/>
      <c r="DU155" s="30"/>
      <c r="DV155" s="30"/>
      <c r="DX155" s="30"/>
      <c r="DY155" s="30"/>
      <c r="DZ155" s="30"/>
      <c r="EA155" s="30"/>
      <c r="EB155" s="30"/>
      <c r="EC155" s="30"/>
      <c r="ED155" s="30"/>
      <c r="EE155" s="85"/>
      <c r="EF155" s="85"/>
      <c r="EG155" s="70"/>
      <c r="EI155" s="81"/>
      <c r="EJ155" s="30"/>
      <c r="EK155" s="30"/>
      <c r="EM155" s="30"/>
      <c r="EN155" s="30"/>
      <c r="EO155" s="30"/>
      <c r="EP155" s="30"/>
      <c r="EQ155" s="30"/>
      <c r="ER155" s="30"/>
      <c r="ES155" s="30"/>
      <c r="ET155" s="85"/>
      <c r="EU155" s="85"/>
      <c r="EV155" s="70"/>
    </row>
    <row r="156" spans="2:152">
      <c r="B156" s="11">
        <v>0.34</v>
      </c>
      <c r="C156" s="28">
        <f t="shared" si="26"/>
        <v>2.2799999999999998</v>
      </c>
      <c r="D156" s="16"/>
      <c r="E156" s="8"/>
      <c r="F156" s="27">
        <f t="shared" si="27"/>
        <v>9.6805555555555571</v>
      </c>
      <c r="G156" s="27">
        <f t="shared" si="28"/>
        <v>-1424.1769299999996</v>
      </c>
      <c r="H156" s="27">
        <f t="shared" si="29"/>
        <v>259.48909800255865</v>
      </c>
      <c r="I156" s="27">
        <f t="shared" si="30"/>
        <v>-5.4883883021010647</v>
      </c>
      <c r="J156" s="27">
        <f t="shared" si="31"/>
        <v>5.4462960695423911E-2</v>
      </c>
      <c r="K156" s="27" t="e">
        <f t="shared" si="32"/>
        <v>#NUM!</v>
      </c>
      <c r="L156" s="27" t="e">
        <f t="shared" si="33"/>
        <v>#NUM!</v>
      </c>
      <c r="M156" s="17" t="e">
        <f t="shared" si="34"/>
        <v>#NUM!</v>
      </c>
      <c r="N156" s="17" t="e">
        <f t="shared" si="35"/>
        <v>#N/A</v>
      </c>
      <c r="O156" s="57" t="e">
        <f t="shared" si="36"/>
        <v>#N/A</v>
      </c>
      <c r="P156" s="17">
        <f>IF(ISERROR(O156),0,IF('R-AFC ISOTOPE'!$G$7=B156,O156,0))</f>
        <v>0</v>
      </c>
      <c r="Q156" s="70"/>
      <c r="S156" s="81"/>
      <c r="T156" s="30"/>
      <c r="U156" s="30"/>
      <c r="W156" s="30"/>
      <c r="X156" s="30"/>
      <c r="Y156" s="30"/>
      <c r="Z156" s="30"/>
      <c r="AA156" s="30"/>
      <c r="AB156" s="30"/>
      <c r="AC156" s="30"/>
      <c r="AD156" s="85"/>
      <c r="AE156" s="85"/>
      <c r="AF156" s="70"/>
      <c r="AH156" s="81"/>
      <c r="AI156" s="30"/>
      <c r="AJ156" s="30"/>
      <c r="AL156" s="30"/>
      <c r="AM156" s="30"/>
      <c r="AN156" s="30"/>
      <c r="AO156" s="30"/>
      <c r="AP156" s="30"/>
      <c r="AQ156" s="30"/>
      <c r="AR156" s="30"/>
      <c r="AS156" s="85"/>
      <c r="AT156" s="85"/>
      <c r="AU156" s="70"/>
      <c r="AW156" s="81"/>
      <c r="AX156" s="30"/>
      <c r="AY156" s="30"/>
      <c r="BA156" s="30"/>
      <c r="BB156" s="30"/>
      <c r="BC156" s="30"/>
      <c r="BD156" s="30"/>
      <c r="BE156" s="30"/>
      <c r="BF156" s="30"/>
      <c r="BG156" s="30"/>
      <c r="BH156" s="85"/>
      <c r="BI156" s="85"/>
      <c r="BJ156" s="70"/>
      <c r="BL156" s="81"/>
      <c r="BM156" s="30"/>
      <c r="BN156" s="30"/>
      <c r="BP156" s="30"/>
      <c r="BQ156" s="30"/>
      <c r="BR156" s="30"/>
      <c r="BS156" s="30"/>
      <c r="BT156" s="30"/>
      <c r="BU156" s="30"/>
      <c r="BV156" s="30"/>
      <c r="BW156" s="85"/>
      <c r="BX156" s="85"/>
      <c r="BY156" s="70"/>
      <c r="CA156" s="81"/>
      <c r="CB156" s="30"/>
      <c r="CC156" s="30"/>
      <c r="CE156" s="30"/>
      <c r="CF156" s="30"/>
      <c r="CG156" s="30"/>
      <c r="CH156" s="30"/>
      <c r="CI156" s="30"/>
      <c r="CJ156" s="30"/>
      <c r="CK156" s="30"/>
      <c r="CL156" s="85"/>
      <c r="CM156" s="85"/>
      <c r="CN156" s="70"/>
      <c r="CP156" s="81"/>
      <c r="CQ156" s="30"/>
      <c r="CR156" s="30"/>
      <c r="CT156" s="30"/>
      <c r="CU156" s="30"/>
      <c r="CV156" s="30"/>
      <c r="CW156" s="30"/>
      <c r="CX156" s="30"/>
      <c r="CY156" s="30"/>
      <c r="CZ156" s="30"/>
      <c r="DA156" s="85"/>
      <c r="DB156" s="85"/>
      <c r="DC156" s="70"/>
      <c r="DE156" s="81"/>
      <c r="DF156" s="30"/>
      <c r="DG156" s="30"/>
      <c r="DI156" s="30"/>
      <c r="DJ156" s="30"/>
      <c r="DK156" s="30"/>
      <c r="DL156" s="30"/>
      <c r="DM156" s="30"/>
      <c r="DN156" s="30"/>
      <c r="DO156" s="30"/>
      <c r="DP156" s="85"/>
      <c r="DQ156" s="85"/>
      <c r="DR156" s="70"/>
      <c r="DT156" s="81"/>
      <c r="DU156" s="30"/>
      <c r="DV156" s="30"/>
      <c r="DX156" s="30"/>
      <c r="DY156" s="30"/>
      <c r="DZ156" s="30"/>
      <c r="EA156" s="30"/>
      <c r="EB156" s="30"/>
      <c r="EC156" s="30"/>
      <c r="ED156" s="30"/>
      <c r="EE156" s="85"/>
      <c r="EF156" s="85"/>
      <c r="EG156" s="70"/>
      <c r="EI156" s="81"/>
      <c r="EJ156" s="30"/>
      <c r="EK156" s="30"/>
      <c r="EM156" s="30"/>
      <c r="EN156" s="30"/>
      <c r="EO156" s="30"/>
      <c r="EP156" s="30"/>
      <c r="EQ156" s="30"/>
      <c r="ER156" s="30"/>
      <c r="ES156" s="30"/>
      <c r="ET156" s="85"/>
      <c r="EU156" s="85"/>
      <c r="EV156" s="70"/>
    </row>
    <row r="157" spans="2:152">
      <c r="B157" s="11">
        <v>0.35</v>
      </c>
      <c r="C157" s="28">
        <f t="shared" si="26"/>
        <v>2.2799999999999998</v>
      </c>
      <c r="D157" s="16"/>
      <c r="E157" s="8"/>
      <c r="F157" s="27">
        <f t="shared" si="27"/>
        <v>7.7567567567567606</v>
      </c>
      <c r="G157" s="27">
        <f t="shared" si="28"/>
        <v>-1434.59393</v>
      </c>
      <c r="H157" s="27">
        <f t="shared" si="29"/>
        <v>275.18039595394941</v>
      </c>
      <c r="I157" s="27">
        <f t="shared" si="30"/>
        <v>-5.2132853615054575</v>
      </c>
      <c r="J157" s="27">
        <f t="shared" si="31"/>
        <v>6.8901335615146886E-2</v>
      </c>
      <c r="K157" s="27" t="e">
        <f t="shared" si="32"/>
        <v>#NUM!</v>
      </c>
      <c r="L157" s="27" t="e">
        <f t="shared" si="33"/>
        <v>#NUM!</v>
      </c>
      <c r="M157" s="17" t="e">
        <f t="shared" si="34"/>
        <v>#NUM!</v>
      </c>
      <c r="N157" s="17" t="e">
        <f t="shared" si="35"/>
        <v>#N/A</v>
      </c>
      <c r="O157" s="57" t="e">
        <f t="shared" si="36"/>
        <v>#N/A</v>
      </c>
      <c r="P157" s="17">
        <f>IF(ISERROR(O157),0,IF('R-AFC ISOTOPE'!$G$7=B157,O157,0))</f>
        <v>0</v>
      </c>
      <c r="Q157" s="70"/>
      <c r="S157" s="81"/>
      <c r="T157" s="30"/>
      <c r="U157" s="30"/>
      <c r="W157" s="30"/>
      <c r="X157" s="30"/>
      <c r="Y157" s="30"/>
      <c r="Z157" s="30"/>
      <c r="AA157" s="30"/>
      <c r="AB157" s="30"/>
      <c r="AC157" s="30"/>
      <c r="AD157" s="85"/>
      <c r="AE157" s="85"/>
      <c r="AF157" s="70"/>
      <c r="AH157" s="81"/>
      <c r="AI157" s="30"/>
      <c r="AJ157" s="30"/>
      <c r="AL157" s="30"/>
      <c r="AM157" s="30"/>
      <c r="AN157" s="30"/>
      <c r="AO157" s="30"/>
      <c r="AP157" s="30"/>
      <c r="AQ157" s="30"/>
      <c r="AR157" s="30"/>
      <c r="AS157" s="85"/>
      <c r="AT157" s="85"/>
      <c r="AU157" s="70"/>
      <c r="AW157" s="81"/>
      <c r="AX157" s="30"/>
      <c r="AY157" s="30"/>
      <c r="BA157" s="30"/>
      <c r="BB157" s="30"/>
      <c r="BC157" s="30"/>
      <c r="BD157" s="30"/>
      <c r="BE157" s="30"/>
      <c r="BF157" s="30"/>
      <c r="BG157" s="30"/>
      <c r="BH157" s="85"/>
      <c r="BI157" s="85"/>
      <c r="BJ157" s="70"/>
      <c r="BL157" s="81"/>
      <c r="BM157" s="30"/>
      <c r="BN157" s="30"/>
      <c r="BP157" s="30"/>
      <c r="BQ157" s="30"/>
      <c r="BR157" s="30"/>
      <c r="BS157" s="30"/>
      <c r="BT157" s="30"/>
      <c r="BU157" s="30"/>
      <c r="BV157" s="30"/>
      <c r="BW157" s="85"/>
      <c r="BX157" s="85"/>
      <c r="BY157" s="70"/>
      <c r="CA157" s="81"/>
      <c r="CB157" s="30"/>
      <c r="CC157" s="30"/>
      <c r="CE157" s="30"/>
      <c r="CF157" s="30"/>
      <c r="CG157" s="30"/>
      <c r="CH157" s="30"/>
      <c r="CI157" s="30"/>
      <c r="CJ157" s="30"/>
      <c r="CK157" s="30"/>
      <c r="CL157" s="85"/>
      <c r="CM157" s="85"/>
      <c r="CN157" s="70"/>
      <c r="CP157" s="81"/>
      <c r="CQ157" s="30"/>
      <c r="CR157" s="30"/>
      <c r="CT157" s="30"/>
      <c r="CU157" s="30"/>
      <c r="CV157" s="30"/>
      <c r="CW157" s="30"/>
      <c r="CX157" s="30"/>
      <c r="CY157" s="30"/>
      <c r="CZ157" s="30"/>
      <c r="DA157" s="85"/>
      <c r="DB157" s="85"/>
      <c r="DC157" s="70"/>
      <c r="DE157" s="81"/>
      <c r="DF157" s="30"/>
      <c r="DG157" s="30"/>
      <c r="DI157" s="30"/>
      <c r="DJ157" s="30"/>
      <c r="DK157" s="30"/>
      <c r="DL157" s="30"/>
      <c r="DM157" s="30"/>
      <c r="DN157" s="30"/>
      <c r="DO157" s="30"/>
      <c r="DP157" s="85"/>
      <c r="DQ157" s="85"/>
      <c r="DR157" s="70"/>
      <c r="DT157" s="81"/>
      <c r="DU157" s="30"/>
      <c r="DV157" s="30"/>
      <c r="DX157" s="30"/>
      <c r="DY157" s="30"/>
      <c r="DZ157" s="30"/>
      <c r="EA157" s="30"/>
      <c r="EB157" s="30"/>
      <c r="EC157" s="30"/>
      <c r="ED157" s="30"/>
      <c r="EE157" s="85"/>
      <c r="EF157" s="85"/>
      <c r="EG157" s="70"/>
      <c r="EI157" s="81"/>
      <c r="EJ157" s="30"/>
      <c r="EK157" s="30"/>
      <c r="EM157" s="30"/>
      <c r="EN157" s="30"/>
      <c r="EO157" s="30"/>
      <c r="EP157" s="30"/>
      <c r="EQ157" s="30"/>
      <c r="ER157" s="30"/>
      <c r="ES157" s="30"/>
      <c r="ET157" s="85"/>
      <c r="EU157" s="85"/>
      <c r="EV157" s="70"/>
    </row>
    <row r="158" spans="2:152">
      <c r="B158" s="11">
        <v>0.36</v>
      </c>
      <c r="C158" s="28">
        <f t="shared" si="26"/>
        <v>2.2799999999999998</v>
      </c>
      <c r="D158" s="16"/>
      <c r="E158" s="8"/>
      <c r="F158" s="27">
        <f t="shared" si="27"/>
        <v>6.530973451327438</v>
      </c>
      <c r="G158" s="27">
        <f t="shared" si="28"/>
        <v>-1445.0109299999999</v>
      </c>
      <c r="H158" s="27">
        <f t="shared" si="29"/>
        <v>290.87169390534018</v>
      </c>
      <c r="I158" s="27">
        <f t="shared" si="30"/>
        <v>-4.9678637016851042</v>
      </c>
      <c r="J158" s="27">
        <f t="shared" si="31"/>
        <v>8.2905393848768202E-2</v>
      </c>
      <c r="K158" s="27" t="e">
        <f t="shared" si="32"/>
        <v>#NUM!</v>
      </c>
      <c r="L158" s="27" t="e">
        <f t="shared" si="33"/>
        <v>#NUM!</v>
      </c>
      <c r="M158" s="17" t="e">
        <f t="shared" si="34"/>
        <v>#NUM!</v>
      </c>
      <c r="N158" s="17" t="e">
        <f t="shared" si="35"/>
        <v>#N/A</v>
      </c>
      <c r="O158" s="57" t="e">
        <f t="shared" si="36"/>
        <v>#N/A</v>
      </c>
      <c r="P158" s="17">
        <f>IF(ISERROR(O158),0,IF('R-AFC ISOTOPE'!$G$7=B158,O158,0))</f>
        <v>0</v>
      </c>
      <c r="Q158" s="70"/>
      <c r="S158" s="81"/>
      <c r="T158" s="30"/>
      <c r="U158" s="30"/>
      <c r="W158" s="30"/>
      <c r="X158" s="30"/>
      <c r="Y158" s="30"/>
      <c r="Z158" s="30"/>
      <c r="AA158" s="30"/>
      <c r="AB158" s="30"/>
      <c r="AC158" s="30"/>
      <c r="AD158" s="85"/>
      <c r="AE158" s="85"/>
      <c r="AF158" s="70"/>
      <c r="AH158" s="81"/>
      <c r="AI158" s="30"/>
      <c r="AJ158" s="30"/>
      <c r="AL158" s="30"/>
      <c r="AM158" s="30"/>
      <c r="AN158" s="30"/>
      <c r="AO158" s="30"/>
      <c r="AP158" s="30"/>
      <c r="AQ158" s="30"/>
      <c r="AR158" s="30"/>
      <c r="AS158" s="85"/>
      <c r="AT158" s="85"/>
      <c r="AU158" s="70"/>
      <c r="AW158" s="81"/>
      <c r="AX158" s="30"/>
      <c r="AY158" s="30"/>
      <c r="BA158" s="30"/>
      <c r="BB158" s="30"/>
      <c r="BC158" s="30"/>
      <c r="BD158" s="30"/>
      <c r="BE158" s="30"/>
      <c r="BF158" s="30"/>
      <c r="BG158" s="30"/>
      <c r="BH158" s="85"/>
      <c r="BI158" s="85"/>
      <c r="BJ158" s="70"/>
      <c r="BL158" s="81"/>
      <c r="BM158" s="30"/>
      <c r="BN158" s="30"/>
      <c r="BP158" s="30"/>
      <c r="BQ158" s="30"/>
      <c r="BR158" s="30"/>
      <c r="BS158" s="30"/>
      <c r="BT158" s="30"/>
      <c r="BU158" s="30"/>
      <c r="BV158" s="30"/>
      <c r="BW158" s="85"/>
      <c r="BX158" s="85"/>
      <c r="BY158" s="70"/>
      <c r="CA158" s="81"/>
      <c r="CB158" s="30"/>
      <c r="CC158" s="30"/>
      <c r="CE158" s="30"/>
      <c r="CF158" s="30"/>
      <c r="CG158" s="30"/>
      <c r="CH158" s="30"/>
      <c r="CI158" s="30"/>
      <c r="CJ158" s="30"/>
      <c r="CK158" s="30"/>
      <c r="CL158" s="85"/>
      <c r="CM158" s="85"/>
      <c r="CN158" s="70"/>
      <c r="CP158" s="81"/>
      <c r="CQ158" s="30"/>
      <c r="CR158" s="30"/>
      <c r="CT158" s="30"/>
      <c r="CU158" s="30"/>
      <c r="CV158" s="30"/>
      <c r="CW158" s="30"/>
      <c r="CX158" s="30"/>
      <c r="CY158" s="30"/>
      <c r="CZ158" s="30"/>
      <c r="DA158" s="85"/>
      <c r="DB158" s="85"/>
      <c r="DC158" s="70"/>
      <c r="DE158" s="81"/>
      <c r="DF158" s="30"/>
      <c r="DG158" s="30"/>
      <c r="DI158" s="30"/>
      <c r="DJ158" s="30"/>
      <c r="DK158" s="30"/>
      <c r="DL158" s="30"/>
      <c r="DM158" s="30"/>
      <c r="DN158" s="30"/>
      <c r="DO158" s="30"/>
      <c r="DP158" s="85"/>
      <c r="DQ158" s="85"/>
      <c r="DR158" s="70"/>
      <c r="DT158" s="81"/>
      <c r="DU158" s="30"/>
      <c r="DV158" s="30"/>
      <c r="DX158" s="30"/>
      <c r="DY158" s="30"/>
      <c r="DZ158" s="30"/>
      <c r="EA158" s="30"/>
      <c r="EB158" s="30"/>
      <c r="EC158" s="30"/>
      <c r="ED158" s="30"/>
      <c r="EE158" s="85"/>
      <c r="EF158" s="85"/>
      <c r="EG158" s="70"/>
      <c r="EI158" s="81"/>
      <c r="EJ158" s="30"/>
      <c r="EK158" s="30"/>
      <c r="EM158" s="30"/>
      <c r="EN158" s="30"/>
      <c r="EO158" s="30"/>
      <c r="EP158" s="30"/>
      <c r="EQ158" s="30"/>
      <c r="ER158" s="30"/>
      <c r="ES158" s="30"/>
      <c r="ET158" s="85"/>
      <c r="EU158" s="85"/>
      <c r="EV158" s="70"/>
    </row>
    <row r="159" spans="2:152">
      <c r="B159" s="11">
        <v>0.37</v>
      </c>
      <c r="C159" s="28">
        <f t="shared" si="26"/>
        <v>2.2799999999999998</v>
      </c>
      <c r="D159" s="16"/>
      <c r="E159" s="8"/>
      <c r="F159" s="27">
        <f t="shared" si="27"/>
        <v>5.6816479400749058</v>
      </c>
      <c r="G159" s="27">
        <f t="shared" si="28"/>
        <v>-1455.4279300000003</v>
      </c>
      <c r="H159" s="27">
        <f t="shared" si="29"/>
        <v>306.56299185673106</v>
      </c>
      <c r="I159" s="27">
        <f t="shared" si="30"/>
        <v>-4.7475656509777897</v>
      </c>
      <c r="J159" s="27">
        <f t="shared" si="31"/>
        <v>9.6494441856903618E-2</v>
      </c>
      <c r="K159" s="27" t="e">
        <f t="shared" si="32"/>
        <v>#NUM!</v>
      </c>
      <c r="L159" s="27" t="e">
        <f t="shared" si="33"/>
        <v>#NUM!</v>
      </c>
      <c r="M159" s="17" t="e">
        <f t="shared" si="34"/>
        <v>#NUM!</v>
      </c>
      <c r="N159" s="17" t="e">
        <f t="shared" si="35"/>
        <v>#N/A</v>
      </c>
      <c r="O159" s="57" t="e">
        <f t="shared" si="36"/>
        <v>#N/A</v>
      </c>
      <c r="P159" s="17">
        <f>IF(ISERROR(O159),0,IF('R-AFC ISOTOPE'!$G$7=B159,O159,0))</f>
        <v>0</v>
      </c>
      <c r="Q159" s="70"/>
      <c r="S159" s="81"/>
      <c r="T159" s="30"/>
      <c r="U159" s="30"/>
      <c r="W159" s="30"/>
      <c r="X159" s="30"/>
      <c r="Y159" s="30"/>
      <c r="Z159" s="30"/>
      <c r="AA159" s="30"/>
      <c r="AB159" s="30"/>
      <c r="AC159" s="30"/>
      <c r="AD159" s="85"/>
      <c r="AE159" s="85"/>
      <c r="AF159" s="70"/>
      <c r="AH159" s="81"/>
      <c r="AI159" s="30"/>
      <c r="AJ159" s="30"/>
      <c r="AL159" s="30"/>
      <c r="AM159" s="30"/>
      <c r="AN159" s="30"/>
      <c r="AO159" s="30"/>
      <c r="AP159" s="30"/>
      <c r="AQ159" s="30"/>
      <c r="AR159" s="30"/>
      <c r="AS159" s="85"/>
      <c r="AT159" s="85"/>
      <c r="AU159" s="70"/>
      <c r="AW159" s="81"/>
      <c r="AX159" s="30"/>
      <c r="AY159" s="30"/>
      <c r="BA159" s="30"/>
      <c r="BB159" s="30"/>
      <c r="BC159" s="30"/>
      <c r="BD159" s="30"/>
      <c r="BE159" s="30"/>
      <c r="BF159" s="30"/>
      <c r="BG159" s="30"/>
      <c r="BH159" s="85"/>
      <c r="BI159" s="85"/>
      <c r="BJ159" s="70"/>
      <c r="BL159" s="81"/>
      <c r="BM159" s="30"/>
      <c r="BN159" s="30"/>
      <c r="BP159" s="30"/>
      <c r="BQ159" s="30"/>
      <c r="BR159" s="30"/>
      <c r="BS159" s="30"/>
      <c r="BT159" s="30"/>
      <c r="BU159" s="30"/>
      <c r="BV159" s="30"/>
      <c r="BW159" s="85"/>
      <c r="BX159" s="85"/>
      <c r="BY159" s="70"/>
      <c r="CA159" s="81"/>
      <c r="CB159" s="30"/>
      <c r="CC159" s="30"/>
      <c r="CE159" s="30"/>
      <c r="CF159" s="30"/>
      <c r="CG159" s="30"/>
      <c r="CH159" s="30"/>
      <c r="CI159" s="30"/>
      <c r="CJ159" s="30"/>
      <c r="CK159" s="30"/>
      <c r="CL159" s="85"/>
      <c r="CM159" s="85"/>
      <c r="CN159" s="70"/>
      <c r="CP159" s="81"/>
      <c r="CQ159" s="30"/>
      <c r="CR159" s="30"/>
      <c r="CT159" s="30"/>
      <c r="CU159" s="30"/>
      <c r="CV159" s="30"/>
      <c r="CW159" s="30"/>
      <c r="CX159" s="30"/>
      <c r="CY159" s="30"/>
      <c r="CZ159" s="30"/>
      <c r="DA159" s="85"/>
      <c r="DB159" s="85"/>
      <c r="DC159" s="70"/>
      <c r="DE159" s="81"/>
      <c r="DF159" s="30"/>
      <c r="DG159" s="30"/>
      <c r="DI159" s="30"/>
      <c r="DJ159" s="30"/>
      <c r="DK159" s="30"/>
      <c r="DL159" s="30"/>
      <c r="DM159" s="30"/>
      <c r="DN159" s="30"/>
      <c r="DO159" s="30"/>
      <c r="DP159" s="85"/>
      <c r="DQ159" s="85"/>
      <c r="DR159" s="70"/>
      <c r="DT159" s="81"/>
      <c r="DU159" s="30"/>
      <c r="DV159" s="30"/>
      <c r="DX159" s="30"/>
      <c r="DY159" s="30"/>
      <c r="DZ159" s="30"/>
      <c r="EA159" s="30"/>
      <c r="EB159" s="30"/>
      <c r="EC159" s="30"/>
      <c r="ED159" s="30"/>
      <c r="EE159" s="85"/>
      <c r="EF159" s="85"/>
      <c r="EG159" s="70"/>
      <c r="EI159" s="81"/>
      <c r="EJ159" s="30"/>
      <c r="EK159" s="30"/>
      <c r="EM159" s="30"/>
      <c r="EN159" s="30"/>
      <c r="EO159" s="30"/>
      <c r="EP159" s="30"/>
      <c r="EQ159" s="30"/>
      <c r="ER159" s="30"/>
      <c r="ES159" s="30"/>
      <c r="ET159" s="85"/>
      <c r="EU159" s="85"/>
      <c r="EV159" s="70"/>
    </row>
    <row r="160" spans="2:152">
      <c r="B160" s="11">
        <v>0.38</v>
      </c>
      <c r="C160" s="28">
        <f t="shared" si="26"/>
        <v>2.2799999999999998</v>
      </c>
      <c r="D160" s="16"/>
      <c r="E160" s="8"/>
      <c r="F160" s="27">
        <f t="shared" si="27"/>
        <v>5.058441558441559</v>
      </c>
      <c r="G160" s="27">
        <f t="shared" si="28"/>
        <v>-1465.8449300000002</v>
      </c>
      <c r="H160" s="27">
        <f t="shared" si="29"/>
        <v>322.25428980812183</v>
      </c>
      <c r="I160" s="27">
        <f t="shared" si="30"/>
        <v>-4.5487212315243362</v>
      </c>
      <c r="J160" s="27">
        <f t="shared" si="31"/>
        <v>0.10968665851436006</v>
      </c>
      <c r="K160" s="27" t="e">
        <f t="shared" si="32"/>
        <v>#NUM!</v>
      </c>
      <c r="L160" s="27" t="e">
        <f t="shared" si="33"/>
        <v>#NUM!</v>
      </c>
      <c r="M160" s="17" t="e">
        <f t="shared" si="34"/>
        <v>#NUM!</v>
      </c>
      <c r="N160" s="17" t="e">
        <f t="shared" si="35"/>
        <v>#N/A</v>
      </c>
      <c r="O160" s="57" t="e">
        <f t="shared" si="36"/>
        <v>#N/A</v>
      </c>
      <c r="P160" s="17">
        <f>IF(ISERROR(O160),0,IF('R-AFC ISOTOPE'!$G$7=B160,O160,0))</f>
        <v>0</v>
      </c>
      <c r="Q160" s="70"/>
      <c r="S160" s="81"/>
      <c r="T160" s="30"/>
      <c r="U160" s="30"/>
      <c r="W160" s="30"/>
      <c r="X160" s="30"/>
      <c r="Y160" s="30"/>
      <c r="Z160" s="30"/>
      <c r="AA160" s="30"/>
      <c r="AB160" s="30"/>
      <c r="AC160" s="30"/>
      <c r="AD160" s="85"/>
      <c r="AE160" s="85"/>
      <c r="AF160" s="70"/>
      <c r="AH160" s="81"/>
      <c r="AI160" s="30"/>
      <c r="AJ160" s="30"/>
      <c r="AL160" s="30"/>
      <c r="AM160" s="30"/>
      <c r="AN160" s="30"/>
      <c r="AO160" s="30"/>
      <c r="AP160" s="30"/>
      <c r="AQ160" s="30"/>
      <c r="AR160" s="30"/>
      <c r="AS160" s="85"/>
      <c r="AT160" s="85"/>
      <c r="AU160" s="70"/>
      <c r="AW160" s="81"/>
      <c r="AX160" s="30"/>
      <c r="AY160" s="30"/>
      <c r="BA160" s="30"/>
      <c r="BB160" s="30"/>
      <c r="BC160" s="30"/>
      <c r="BD160" s="30"/>
      <c r="BE160" s="30"/>
      <c r="BF160" s="30"/>
      <c r="BG160" s="30"/>
      <c r="BH160" s="85"/>
      <c r="BI160" s="85"/>
      <c r="BJ160" s="70"/>
      <c r="BL160" s="81"/>
      <c r="BM160" s="30"/>
      <c r="BN160" s="30"/>
      <c r="BP160" s="30"/>
      <c r="BQ160" s="30"/>
      <c r="BR160" s="30"/>
      <c r="BS160" s="30"/>
      <c r="BT160" s="30"/>
      <c r="BU160" s="30"/>
      <c r="BV160" s="30"/>
      <c r="BW160" s="85"/>
      <c r="BX160" s="85"/>
      <c r="BY160" s="70"/>
      <c r="CA160" s="81"/>
      <c r="CB160" s="30"/>
      <c r="CC160" s="30"/>
      <c r="CE160" s="30"/>
      <c r="CF160" s="30"/>
      <c r="CG160" s="30"/>
      <c r="CH160" s="30"/>
      <c r="CI160" s="30"/>
      <c r="CJ160" s="30"/>
      <c r="CK160" s="30"/>
      <c r="CL160" s="85"/>
      <c r="CM160" s="85"/>
      <c r="CN160" s="70"/>
      <c r="CP160" s="81"/>
      <c r="CQ160" s="30"/>
      <c r="CR160" s="30"/>
      <c r="CT160" s="30"/>
      <c r="CU160" s="30"/>
      <c r="CV160" s="30"/>
      <c r="CW160" s="30"/>
      <c r="CX160" s="30"/>
      <c r="CY160" s="30"/>
      <c r="CZ160" s="30"/>
      <c r="DA160" s="85"/>
      <c r="DB160" s="85"/>
      <c r="DC160" s="70"/>
      <c r="DE160" s="81"/>
      <c r="DF160" s="30"/>
      <c r="DG160" s="30"/>
      <c r="DI160" s="30"/>
      <c r="DJ160" s="30"/>
      <c r="DK160" s="30"/>
      <c r="DL160" s="30"/>
      <c r="DM160" s="30"/>
      <c r="DN160" s="30"/>
      <c r="DO160" s="30"/>
      <c r="DP160" s="85"/>
      <c r="DQ160" s="85"/>
      <c r="DR160" s="70"/>
      <c r="DT160" s="81"/>
      <c r="DU160" s="30"/>
      <c r="DV160" s="30"/>
      <c r="DX160" s="30"/>
      <c r="DY160" s="30"/>
      <c r="DZ160" s="30"/>
      <c r="EA160" s="30"/>
      <c r="EB160" s="30"/>
      <c r="EC160" s="30"/>
      <c r="ED160" s="30"/>
      <c r="EE160" s="85"/>
      <c r="EF160" s="85"/>
      <c r="EG160" s="70"/>
      <c r="EI160" s="81"/>
      <c r="EJ160" s="30"/>
      <c r="EK160" s="30"/>
      <c r="EM160" s="30"/>
      <c r="EN160" s="30"/>
      <c r="EO160" s="30"/>
      <c r="EP160" s="30"/>
      <c r="EQ160" s="30"/>
      <c r="ER160" s="30"/>
      <c r="ES160" s="30"/>
      <c r="ET160" s="85"/>
      <c r="EU160" s="85"/>
      <c r="EV160" s="70"/>
    </row>
    <row r="161" spans="2:152">
      <c r="B161" s="11">
        <v>0.39</v>
      </c>
      <c r="C161" s="28">
        <f t="shared" si="26"/>
        <v>2.2799999999999998</v>
      </c>
      <c r="D161" s="16"/>
      <c r="E161" s="8"/>
      <c r="F161" s="27">
        <f t="shared" si="27"/>
        <v>4.5816618911174798</v>
      </c>
      <c r="G161" s="27">
        <f t="shared" si="28"/>
        <v>-1476.2619300000001</v>
      </c>
      <c r="H161" s="27">
        <f t="shared" si="29"/>
        <v>337.94558775951282</v>
      </c>
      <c r="I161" s="27">
        <f t="shared" si="30"/>
        <v>-4.3683420747914319</v>
      </c>
      <c r="J161" s="27">
        <f t="shared" si="31"/>
        <v>0.12249917624568976</v>
      </c>
      <c r="K161" s="27" t="e">
        <f t="shared" si="32"/>
        <v>#NUM!</v>
      </c>
      <c r="L161" s="27" t="e">
        <f t="shared" si="33"/>
        <v>#NUM!</v>
      </c>
      <c r="M161" s="17" t="e">
        <f t="shared" si="34"/>
        <v>#NUM!</v>
      </c>
      <c r="N161" s="17" t="e">
        <f t="shared" si="35"/>
        <v>#N/A</v>
      </c>
      <c r="O161" s="57" t="e">
        <f t="shared" si="36"/>
        <v>#N/A</v>
      </c>
      <c r="P161" s="17">
        <f>IF(ISERROR(O161),0,IF('R-AFC ISOTOPE'!$G$7=B161,O161,0))</f>
        <v>0</v>
      </c>
      <c r="Q161" s="70"/>
      <c r="S161" s="81"/>
      <c r="T161" s="30"/>
      <c r="U161" s="30"/>
      <c r="W161" s="30"/>
      <c r="X161" s="30"/>
      <c r="Y161" s="30"/>
      <c r="Z161" s="30"/>
      <c r="AA161" s="30"/>
      <c r="AB161" s="30"/>
      <c r="AC161" s="30"/>
      <c r="AD161" s="85"/>
      <c r="AE161" s="85"/>
      <c r="AF161" s="70"/>
      <c r="AH161" s="81"/>
      <c r="AI161" s="30"/>
      <c r="AJ161" s="30"/>
      <c r="AL161" s="30"/>
      <c r="AM161" s="30"/>
      <c r="AN161" s="30"/>
      <c r="AO161" s="30"/>
      <c r="AP161" s="30"/>
      <c r="AQ161" s="30"/>
      <c r="AR161" s="30"/>
      <c r="AS161" s="85"/>
      <c r="AT161" s="85"/>
      <c r="AU161" s="70"/>
      <c r="AW161" s="81"/>
      <c r="AX161" s="30"/>
      <c r="AY161" s="30"/>
      <c r="BA161" s="30"/>
      <c r="BB161" s="30"/>
      <c r="BC161" s="30"/>
      <c r="BD161" s="30"/>
      <c r="BE161" s="30"/>
      <c r="BF161" s="30"/>
      <c r="BG161" s="30"/>
      <c r="BH161" s="85"/>
      <c r="BI161" s="85"/>
      <c r="BJ161" s="70"/>
      <c r="BL161" s="81"/>
      <c r="BM161" s="30"/>
      <c r="BN161" s="30"/>
      <c r="BP161" s="30"/>
      <c r="BQ161" s="30"/>
      <c r="BR161" s="30"/>
      <c r="BS161" s="30"/>
      <c r="BT161" s="30"/>
      <c r="BU161" s="30"/>
      <c r="BV161" s="30"/>
      <c r="BW161" s="85"/>
      <c r="BX161" s="85"/>
      <c r="BY161" s="70"/>
      <c r="CA161" s="81"/>
      <c r="CB161" s="30"/>
      <c r="CC161" s="30"/>
      <c r="CE161" s="30"/>
      <c r="CF161" s="30"/>
      <c r="CG161" s="30"/>
      <c r="CH161" s="30"/>
      <c r="CI161" s="30"/>
      <c r="CJ161" s="30"/>
      <c r="CK161" s="30"/>
      <c r="CL161" s="85"/>
      <c r="CM161" s="85"/>
      <c r="CN161" s="70"/>
      <c r="CP161" s="81"/>
      <c r="CQ161" s="30"/>
      <c r="CR161" s="30"/>
      <c r="CT161" s="30"/>
      <c r="CU161" s="30"/>
      <c r="CV161" s="30"/>
      <c r="CW161" s="30"/>
      <c r="CX161" s="30"/>
      <c r="CY161" s="30"/>
      <c r="CZ161" s="30"/>
      <c r="DA161" s="85"/>
      <c r="DB161" s="85"/>
      <c r="DC161" s="70"/>
      <c r="DE161" s="81"/>
      <c r="DF161" s="30"/>
      <c r="DG161" s="30"/>
      <c r="DI161" s="30"/>
      <c r="DJ161" s="30"/>
      <c r="DK161" s="30"/>
      <c r="DL161" s="30"/>
      <c r="DM161" s="30"/>
      <c r="DN161" s="30"/>
      <c r="DO161" s="30"/>
      <c r="DP161" s="85"/>
      <c r="DQ161" s="85"/>
      <c r="DR161" s="70"/>
      <c r="DT161" s="81"/>
      <c r="DU161" s="30"/>
      <c r="DV161" s="30"/>
      <c r="DX161" s="30"/>
      <c r="DY161" s="30"/>
      <c r="DZ161" s="30"/>
      <c r="EA161" s="30"/>
      <c r="EB161" s="30"/>
      <c r="EC161" s="30"/>
      <c r="ED161" s="30"/>
      <c r="EE161" s="85"/>
      <c r="EF161" s="85"/>
      <c r="EG161" s="70"/>
      <c r="EI161" s="81"/>
      <c r="EJ161" s="30"/>
      <c r="EK161" s="30"/>
      <c r="EM161" s="30"/>
      <c r="EN161" s="30"/>
      <c r="EO161" s="30"/>
      <c r="EP161" s="30"/>
      <c r="EQ161" s="30"/>
      <c r="ER161" s="30"/>
      <c r="ES161" s="30"/>
      <c r="ET161" s="85"/>
      <c r="EU161" s="85"/>
      <c r="EV161" s="70"/>
    </row>
    <row r="162" spans="2:152">
      <c r="B162" s="11">
        <v>0.4</v>
      </c>
      <c r="C162" s="28">
        <f t="shared" si="26"/>
        <v>2.2799999999999998</v>
      </c>
      <c r="D162" s="16"/>
      <c r="E162" s="8"/>
      <c r="F162" s="27">
        <f t="shared" si="27"/>
        <v>4.2051282051282044</v>
      </c>
      <c r="G162" s="27">
        <f t="shared" si="28"/>
        <v>-1486.6789300000003</v>
      </c>
      <c r="H162" s="27">
        <f t="shared" si="29"/>
        <v>353.63688571090358</v>
      </c>
      <c r="I162" s="27">
        <f t="shared" si="30"/>
        <v>-4.2039702024051673</v>
      </c>
      <c r="J162" s="27">
        <f t="shared" si="31"/>
        <v>0.13494815525439244</v>
      </c>
      <c r="K162" s="27" t="e">
        <f t="shared" si="32"/>
        <v>#NUM!</v>
      </c>
      <c r="L162" s="27" t="e">
        <f t="shared" si="33"/>
        <v>#NUM!</v>
      </c>
      <c r="M162" s="17" t="e">
        <f t="shared" si="34"/>
        <v>#NUM!</v>
      </c>
      <c r="N162" s="17" t="e">
        <f t="shared" si="35"/>
        <v>#N/A</v>
      </c>
      <c r="O162" s="57" t="e">
        <f t="shared" si="36"/>
        <v>#N/A</v>
      </c>
      <c r="P162" s="17">
        <f>IF(ISERROR(O162),0,IF('R-AFC ISOTOPE'!$G$7=B162,O162,0))</f>
        <v>0</v>
      </c>
      <c r="Q162" s="70"/>
      <c r="S162" s="81"/>
      <c r="T162" s="30"/>
      <c r="U162" s="30"/>
      <c r="W162" s="30"/>
      <c r="X162" s="30"/>
      <c r="Y162" s="30"/>
      <c r="Z162" s="30"/>
      <c r="AA162" s="30"/>
      <c r="AB162" s="30"/>
      <c r="AC162" s="30"/>
      <c r="AD162" s="85"/>
      <c r="AE162" s="85"/>
      <c r="AF162" s="70"/>
      <c r="AH162" s="81"/>
      <c r="AI162" s="30"/>
      <c r="AJ162" s="30"/>
      <c r="AL162" s="30"/>
      <c r="AM162" s="30"/>
      <c r="AN162" s="30"/>
      <c r="AO162" s="30"/>
      <c r="AP162" s="30"/>
      <c r="AQ162" s="30"/>
      <c r="AR162" s="30"/>
      <c r="AS162" s="85"/>
      <c r="AT162" s="85"/>
      <c r="AU162" s="70"/>
      <c r="AW162" s="81"/>
      <c r="AX162" s="30"/>
      <c r="AY162" s="30"/>
      <c r="BA162" s="30"/>
      <c r="BB162" s="30"/>
      <c r="BC162" s="30"/>
      <c r="BD162" s="30"/>
      <c r="BE162" s="30"/>
      <c r="BF162" s="30"/>
      <c r="BG162" s="30"/>
      <c r="BH162" s="85"/>
      <c r="BI162" s="85"/>
      <c r="BJ162" s="70"/>
      <c r="BL162" s="81"/>
      <c r="BM162" s="30"/>
      <c r="BN162" s="30"/>
      <c r="BP162" s="30"/>
      <c r="BQ162" s="30"/>
      <c r="BR162" s="30"/>
      <c r="BS162" s="30"/>
      <c r="BT162" s="30"/>
      <c r="BU162" s="30"/>
      <c r="BV162" s="30"/>
      <c r="BW162" s="85"/>
      <c r="BX162" s="85"/>
      <c r="BY162" s="70"/>
      <c r="CA162" s="81"/>
      <c r="CB162" s="30"/>
      <c r="CC162" s="30"/>
      <c r="CE162" s="30"/>
      <c r="CF162" s="30"/>
      <c r="CG162" s="30"/>
      <c r="CH162" s="30"/>
      <c r="CI162" s="30"/>
      <c r="CJ162" s="30"/>
      <c r="CK162" s="30"/>
      <c r="CL162" s="85"/>
      <c r="CM162" s="85"/>
      <c r="CN162" s="70"/>
      <c r="CP162" s="81"/>
      <c r="CQ162" s="30"/>
      <c r="CR162" s="30"/>
      <c r="CT162" s="30"/>
      <c r="CU162" s="30"/>
      <c r="CV162" s="30"/>
      <c r="CW162" s="30"/>
      <c r="CX162" s="30"/>
      <c r="CY162" s="30"/>
      <c r="CZ162" s="30"/>
      <c r="DA162" s="85"/>
      <c r="DB162" s="85"/>
      <c r="DC162" s="70"/>
      <c r="DE162" s="81"/>
      <c r="DF162" s="30"/>
      <c r="DG162" s="30"/>
      <c r="DI162" s="30"/>
      <c r="DJ162" s="30"/>
      <c r="DK162" s="30"/>
      <c r="DL162" s="30"/>
      <c r="DM162" s="30"/>
      <c r="DN162" s="30"/>
      <c r="DO162" s="30"/>
      <c r="DP162" s="85"/>
      <c r="DQ162" s="85"/>
      <c r="DR162" s="70"/>
      <c r="DT162" s="81"/>
      <c r="DU162" s="30"/>
      <c r="DV162" s="30"/>
      <c r="DX162" s="30"/>
      <c r="DY162" s="30"/>
      <c r="DZ162" s="30"/>
      <c r="EA162" s="30"/>
      <c r="EB162" s="30"/>
      <c r="EC162" s="30"/>
      <c r="ED162" s="30"/>
      <c r="EE162" s="85"/>
      <c r="EF162" s="85"/>
      <c r="EG162" s="70"/>
      <c r="EI162" s="81"/>
      <c r="EJ162" s="30"/>
      <c r="EK162" s="30"/>
      <c r="EM162" s="30"/>
      <c r="EN162" s="30"/>
      <c r="EO162" s="30"/>
      <c r="EP162" s="30"/>
      <c r="EQ162" s="30"/>
      <c r="ER162" s="30"/>
      <c r="ES162" s="30"/>
      <c r="ET162" s="85"/>
      <c r="EU162" s="85"/>
      <c r="EV162" s="70"/>
    </row>
    <row r="163" spans="2:152">
      <c r="B163" s="11">
        <v>0.41</v>
      </c>
      <c r="C163" s="28">
        <f t="shared" si="26"/>
        <v>2.2799999999999998</v>
      </c>
      <c r="D163" s="16"/>
      <c r="E163" s="8"/>
      <c r="F163" s="27">
        <f t="shared" si="27"/>
        <v>3.9002320185614869</v>
      </c>
      <c r="G163" s="27">
        <f t="shared" si="28"/>
        <v>-1497.09593</v>
      </c>
      <c r="H163" s="27">
        <f t="shared" si="29"/>
        <v>369.32818366229424</v>
      </c>
      <c r="I163" s="27">
        <f t="shared" si="30"/>
        <v>-4.0535653552205275</v>
      </c>
      <c r="J163" s="27">
        <f t="shared" si="31"/>
        <v>0.14704885152202801</v>
      </c>
      <c r="K163" s="27" t="e">
        <f t="shared" si="32"/>
        <v>#NUM!</v>
      </c>
      <c r="L163" s="27" t="e">
        <f t="shared" si="33"/>
        <v>#NUM!</v>
      </c>
      <c r="M163" s="17" t="e">
        <f t="shared" si="34"/>
        <v>#NUM!</v>
      </c>
      <c r="N163" s="17" t="e">
        <f t="shared" si="35"/>
        <v>#N/A</v>
      </c>
      <c r="O163" s="57" t="e">
        <f t="shared" si="36"/>
        <v>#N/A</v>
      </c>
      <c r="P163" s="17">
        <f>IF(ISERROR(O163),0,IF('R-AFC ISOTOPE'!$G$7=B163,O163,0))</f>
        <v>0</v>
      </c>
      <c r="Q163" s="70"/>
      <c r="S163" s="81"/>
      <c r="T163" s="30"/>
      <c r="U163" s="30"/>
      <c r="W163" s="30"/>
      <c r="X163" s="30"/>
      <c r="Y163" s="30"/>
      <c r="Z163" s="30"/>
      <c r="AA163" s="30"/>
      <c r="AB163" s="30"/>
      <c r="AC163" s="30"/>
      <c r="AD163" s="85"/>
      <c r="AE163" s="85"/>
      <c r="AF163" s="70"/>
      <c r="AH163" s="81"/>
      <c r="AI163" s="30"/>
      <c r="AJ163" s="30"/>
      <c r="AL163" s="30"/>
      <c r="AM163" s="30"/>
      <c r="AN163" s="30"/>
      <c r="AO163" s="30"/>
      <c r="AP163" s="30"/>
      <c r="AQ163" s="30"/>
      <c r="AR163" s="30"/>
      <c r="AS163" s="85"/>
      <c r="AT163" s="85"/>
      <c r="AU163" s="70"/>
      <c r="AW163" s="81"/>
      <c r="AX163" s="30"/>
      <c r="AY163" s="30"/>
      <c r="BA163" s="30"/>
      <c r="BB163" s="30"/>
      <c r="BC163" s="30"/>
      <c r="BD163" s="30"/>
      <c r="BE163" s="30"/>
      <c r="BF163" s="30"/>
      <c r="BG163" s="30"/>
      <c r="BH163" s="85"/>
      <c r="BI163" s="85"/>
      <c r="BJ163" s="70"/>
      <c r="BL163" s="81"/>
      <c r="BM163" s="30"/>
      <c r="BN163" s="30"/>
      <c r="BP163" s="30"/>
      <c r="BQ163" s="30"/>
      <c r="BR163" s="30"/>
      <c r="BS163" s="30"/>
      <c r="BT163" s="30"/>
      <c r="BU163" s="30"/>
      <c r="BV163" s="30"/>
      <c r="BW163" s="85"/>
      <c r="BX163" s="85"/>
      <c r="BY163" s="70"/>
      <c r="CA163" s="81"/>
      <c r="CB163" s="30"/>
      <c r="CC163" s="30"/>
      <c r="CE163" s="30"/>
      <c r="CF163" s="30"/>
      <c r="CG163" s="30"/>
      <c r="CH163" s="30"/>
      <c r="CI163" s="30"/>
      <c r="CJ163" s="30"/>
      <c r="CK163" s="30"/>
      <c r="CL163" s="85"/>
      <c r="CM163" s="85"/>
      <c r="CN163" s="70"/>
      <c r="CP163" s="81"/>
      <c r="CQ163" s="30"/>
      <c r="CR163" s="30"/>
      <c r="CT163" s="30"/>
      <c r="CU163" s="30"/>
      <c r="CV163" s="30"/>
      <c r="CW163" s="30"/>
      <c r="CX163" s="30"/>
      <c r="CY163" s="30"/>
      <c r="CZ163" s="30"/>
      <c r="DA163" s="85"/>
      <c r="DB163" s="85"/>
      <c r="DC163" s="70"/>
      <c r="DE163" s="81"/>
      <c r="DF163" s="30"/>
      <c r="DG163" s="30"/>
      <c r="DI163" s="30"/>
      <c r="DJ163" s="30"/>
      <c r="DK163" s="30"/>
      <c r="DL163" s="30"/>
      <c r="DM163" s="30"/>
      <c r="DN163" s="30"/>
      <c r="DO163" s="30"/>
      <c r="DP163" s="85"/>
      <c r="DQ163" s="85"/>
      <c r="DR163" s="70"/>
      <c r="DT163" s="81"/>
      <c r="DU163" s="30"/>
      <c r="DV163" s="30"/>
      <c r="DX163" s="30"/>
      <c r="DY163" s="30"/>
      <c r="DZ163" s="30"/>
      <c r="EA163" s="30"/>
      <c r="EB163" s="30"/>
      <c r="EC163" s="30"/>
      <c r="ED163" s="30"/>
      <c r="EE163" s="85"/>
      <c r="EF163" s="85"/>
      <c r="EG163" s="70"/>
      <c r="EI163" s="81"/>
      <c r="EJ163" s="30"/>
      <c r="EK163" s="30"/>
      <c r="EM163" s="30"/>
      <c r="EN163" s="30"/>
      <c r="EO163" s="30"/>
      <c r="EP163" s="30"/>
      <c r="EQ163" s="30"/>
      <c r="ER163" s="30"/>
      <c r="ES163" s="30"/>
      <c r="ET163" s="85"/>
      <c r="EU163" s="85"/>
      <c r="EV163" s="70"/>
    </row>
    <row r="164" spans="2:152">
      <c r="B164" s="11">
        <v>0.42</v>
      </c>
      <c r="C164" s="28">
        <f t="shared" si="26"/>
        <v>2.2799999999999998</v>
      </c>
      <c r="D164" s="16"/>
      <c r="E164" s="8"/>
      <c r="F164" s="27">
        <f t="shared" si="27"/>
        <v>3.648305084745763</v>
      </c>
      <c r="G164" s="27">
        <f t="shared" si="28"/>
        <v>-1507.5129299999999</v>
      </c>
      <c r="H164" s="27">
        <f t="shared" si="29"/>
        <v>385.01948161368523</v>
      </c>
      <c r="I164" s="27">
        <f t="shared" si="30"/>
        <v>-3.9154198735132693</v>
      </c>
      <c r="J164" s="27">
        <f t="shared" si="31"/>
        <v>0.15881567917886907</v>
      </c>
      <c r="K164" s="27" t="e">
        <f t="shared" si="32"/>
        <v>#NUM!</v>
      </c>
      <c r="L164" s="27" t="e">
        <f t="shared" si="33"/>
        <v>#NUM!</v>
      </c>
      <c r="M164" s="17" t="e">
        <f t="shared" si="34"/>
        <v>#NUM!</v>
      </c>
      <c r="N164" s="17" t="e">
        <f t="shared" si="35"/>
        <v>#N/A</v>
      </c>
      <c r="O164" s="57" t="e">
        <f t="shared" si="36"/>
        <v>#N/A</v>
      </c>
      <c r="P164" s="17">
        <f>IF(ISERROR(O164),0,IF('R-AFC ISOTOPE'!$G$7=B164,O164,0))</f>
        <v>0</v>
      </c>
      <c r="Q164" s="70"/>
      <c r="S164" s="81"/>
      <c r="T164" s="30"/>
      <c r="U164" s="30"/>
      <c r="W164" s="30"/>
      <c r="X164" s="30"/>
      <c r="Y164" s="30"/>
      <c r="Z164" s="30"/>
      <c r="AA164" s="30"/>
      <c r="AB164" s="30"/>
      <c r="AC164" s="30"/>
      <c r="AD164" s="85"/>
      <c r="AE164" s="85"/>
      <c r="AF164" s="70"/>
      <c r="AH164" s="81"/>
      <c r="AI164" s="30"/>
      <c r="AJ164" s="30"/>
      <c r="AL164" s="30"/>
      <c r="AM164" s="30"/>
      <c r="AN164" s="30"/>
      <c r="AO164" s="30"/>
      <c r="AP164" s="30"/>
      <c r="AQ164" s="30"/>
      <c r="AR164" s="30"/>
      <c r="AS164" s="85"/>
      <c r="AT164" s="85"/>
      <c r="AU164" s="70"/>
      <c r="AW164" s="81"/>
      <c r="AX164" s="30"/>
      <c r="AY164" s="30"/>
      <c r="BA164" s="30"/>
      <c r="BB164" s="30"/>
      <c r="BC164" s="30"/>
      <c r="BD164" s="30"/>
      <c r="BE164" s="30"/>
      <c r="BF164" s="30"/>
      <c r="BG164" s="30"/>
      <c r="BH164" s="85"/>
      <c r="BI164" s="85"/>
      <c r="BJ164" s="70"/>
      <c r="BL164" s="81"/>
      <c r="BM164" s="30"/>
      <c r="BN164" s="30"/>
      <c r="BP164" s="30"/>
      <c r="BQ164" s="30"/>
      <c r="BR164" s="30"/>
      <c r="BS164" s="30"/>
      <c r="BT164" s="30"/>
      <c r="BU164" s="30"/>
      <c r="BV164" s="30"/>
      <c r="BW164" s="85"/>
      <c r="BX164" s="85"/>
      <c r="BY164" s="70"/>
      <c r="CA164" s="81"/>
      <c r="CB164" s="30"/>
      <c r="CC164" s="30"/>
      <c r="CE164" s="30"/>
      <c r="CF164" s="30"/>
      <c r="CG164" s="30"/>
      <c r="CH164" s="30"/>
      <c r="CI164" s="30"/>
      <c r="CJ164" s="30"/>
      <c r="CK164" s="30"/>
      <c r="CL164" s="85"/>
      <c r="CM164" s="85"/>
      <c r="CN164" s="70"/>
      <c r="CP164" s="81"/>
      <c r="CQ164" s="30"/>
      <c r="CR164" s="30"/>
      <c r="CT164" s="30"/>
      <c r="CU164" s="30"/>
      <c r="CV164" s="30"/>
      <c r="CW164" s="30"/>
      <c r="CX164" s="30"/>
      <c r="CY164" s="30"/>
      <c r="CZ164" s="30"/>
      <c r="DA164" s="85"/>
      <c r="DB164" s="85"/>
      <c r="DC164" s="70"/>
      <c r="DE164" s="81"/>
      <c r="DF164" s="30"/>
      <c r="DG164" s="30"/>
      <c r="DI164" s="30"/>
      <c r="DJ164" s="30"/>
      <c r="DK164" s="30"/>
      <c r="DL164" s="30"/>
      <c r="DM164" s="30"/>
      <c r="DN164" s="30"/>
      <c r="DO164" s="30"/>
      <c r="DP164" s="85"/>
      <c r="DQ164" s="85"/>
      <c r="DR164" s="70"/>
      <c r="DT164" s="81"/>
      <c r="DU164" s="30"/>
      <c r="DV164" s="30"/>
      <c r="DX164" s="30"/>
      <c r="DY164" s="30"/>
      <c r="DZ164" s="30"/>
      <c r="EA164" s="30"/>
      <c r="EB164" s="30"/>
      <c r="EC164" s="30"/>
      <c r="ED164" s="30"/>
      <c r="EE164" s="85"/>
      <c r="EF164" s="85"/>
      <c r="EG164" s="70"/>
      <c r="EI164" s="81"/>
      <c r="EJ164" s="30"/>
      <c r="EK164" s="30"/>
      <c r="EM164" s="30"/>
      <c r="EN164" s="30"/>
      <c r="EO164" s="30"/>
      <c r="EP164" s="30"/>
      <c r="EQ164" s="30"/>
      <c r="ER164" s="30"/>
      <c r="ES164" s="30"/>
      <c r="ET164" s="85"/>
      <c r="EU164" s="85"/>
      <c r="EV164" s="70"/>
    </row>
    <row r="165" spans="2:152">
      <c r="B165" s="11">
        <v>0.43</v>
      </c>
      <c r="C165" s="28">
        <f t="shared" si="26"/>
        <v>2.2799999999999998</v>
      </c>
      <c r="D165" s="16"/>
      <c r="E165" s="8"/>
      <c r="F165" s="27">
        <f t="shared" si="27"/>
        <v>3.4366471734892796</v>
      </c>
      <c r="G165" s="27">
        <f t="shared" si="28"/>
        <v>-1517.9299299999998</v>
      </c>
      <c r="H165" s="27">
        <f t="shared" si="29"/>
        <v>400.71077956507611</v>
      </c>
      <c r="I165" s="27">
        <f t="shared" si="30"/>
        <v>-3.7880935762385333</v>
      </c>
      <c r="J165" s="27">
        <f t="shared" si="31"/>
        <v>0.17026226778222189</v>
      </c>
      <c r="K165" s="27" t="e">
        <f t="shared" si="32"/>
        <v>#NUM!</v>
      </c>
      <c r="L165" s="27" t="e">
        <f t="shared" si="33"/>
        <v>#NUM!</v>
      </c>
      <c r="M165" s="17" t="e">
        <f t="shared" si="34"/>
        <v>#NUM!</v>
      </c>
      <c r="N165" s="17" t="e">
        <f t="shared" si="35"/>
        <v>#N/A</v>
      </c>
      <c r="O165" s="57" t="e">
        <f t="shared" si="36"/>
        <v>#N/A</v>
      </c>
      <c r="P165" s="17">
        <f>IF(ISERROR(O165),0,IF('R-AFC ISOTOPE'!$G$7=B165,O165,0))</f>
        <v>0</v>
      </c>
      <c r="Q165" s="70"/>
      <c r="S165" s="81"/>
      <c r="T165" s="30"/>
      <c r="U165" s="30"/>
      <c r="W165" s="30"/>
      <c r="X165" s="30"/>
      <c r="Y165" s="30"/>
      <c r="Z165" s="30"/>
      <c r="AA165" s="30"/>
      <c r="AB165" s="30"/>
      <c r="AC165" s="30"/>
      <c r="AD165" s="85"/>
      <c r="AE165" s="85"/>
      <c r="AF165" s="70"/>
      <c r="AH165" s="81"/>
      <c r="AI165" s="30"/>
      <c r="AJ165" s="30"/>
      <c r="AL165" s="30"/>
      <c r="AM165" s="30"/>
      <c r="AN165" s="30"/>
      <c r="AO165" s="30"/>
      <c r="AP165" s="30"/>
      <c r="AQ165" s="30"/>
      <c r="AR165" s="30"/>
      <c r="AS165" s="85"/>
      <c r="AT165" s="85"/>
      <c r="AU165" s="70"/>
      <c r="AW165" s="81"/>
      <c r="AX165" s="30"/>
      <c r="AY165" s="30"/>
      <c r="BA165" s="30"/>
      <c r="BB165" s="30"/>
      <c r="BC165" s="30"/>
      <c r="BD165" s="30"/>
      <c r="BE165" s="30"/>
      <c r="BF165" s="30"/>
      <c r="BG165" s="30"/>
      <c r="BH165" s="85"/>
      <c r="BI165" s="85"/>
      <c r="BJ165" s="70"/>
      <c r="BL165" s="81"/>
      <c r="BM165" s="30"/>
      <c r="BN165" s="30"/>
      <c r="BP165" s="30"/>
      <c r="BQ165" s="30"/>
      <c r="BR165" s="30"/>
      <c r="BS165" s="30"/>
      <c r="BT165" s="30"/>
      <c r="BU165" s="30"/>
      <c r="BV165" s="30"/>
      <c r="BW165" s="85"/>
      <c r="BX165" s="85"/>
      <c r="BY165" s="70"/>
      <c r="CA165" s="81"/>
      <c r="CB165" s="30"/>
      <c r="CC165" s="30"/>
      <c r="CE165" s="30"/>
      <c r="CF165" s="30"/>
      <c r="CG165" s="30"/>
      <c r="CH165" s="30"/>
      <c r="CI165" s="30"/>
      <c r="CJ165" s="30"/>
      <c r="CK165" s="30"/>
      <c r="CL165" s="85"/>
      <c r="CM165" s="85"/>
      <c r="CN165" s="70"/>
      <c r="CP165" s="81"/>
      <c r="CQ165" s="30"/>
      <c r="CR165" s="30"/>
      <c r="CT165" s="30"/>
      <c r="CU165" s="30"/>
      <c r="CV165" s="30"/>
      <c r="CW165" s="30"/>
      <c r="CX165" s="30"/>
      <c r="CY165" s="30"/>
      <c r="CZ165" s="30"/>
      <c r="DA165" s="85"/>
      <c r="DB165" s="85"/>
      <c r="DC165" s="70"/>
      <c r="DE165" s="81"/>
      <c r="DF165" s="30"/>
      <c r="DG165" s="30"/>
      <c r="DI165" s="30"/>
      <c r="DJ165" s="30"/>
      <c r="DK165" s="30"/>
      <c r="DL165" s="30"/>
      <c r="DM165" s="30"/>
      <c r="DN165" s="30"/>
      <c r="DO165" s="30"/>
      <c r="DP165" s="85"/>
      <c r="DQ165" s="85"/>
      <c r="DR165" s="70"/>
      <c r="DT165" s="81"/>
      <c r="DU165" s="30"/>
      <c r="DV165" s="30"/>
      <c r="DX165" s="30"/>
      <c r="DY165" s="30"/>
      <c r="DZ165" s="30"/>
      <c r="EA165" s="30"/>
      <c r="EB165" s="30"/>
      <c r="EC165" s="30"/>
      <c r="ED165" s="30"/>
      <c r="EE165" s="85"/>
      <c r="EF165" s="85"/>
      <c r="EG165" s="70"/>
      <c r="EI165" s="81"/>
      <c r="EJ165" s="30"/>
      <c r="EK165" s="30"/>
      <c r="EM165" s="30"/>
      <c r="EN165" s="30"/>
      <c r="EO165" s="30"/>
      <c r="EP165" s="30"/>
      <c r="EQ165" s="30"/>
      <c r="ER165" s="30"/>
      <c r="ES165" s="30"/>
      <c r="ET165" s="85"/>
      <c r="EU165" s="85"/>
      <c r="EV165" s="70"/>
    </row>
    <row r="166" spans="2:152">
      <c r="B166" s="11">
        <v>0.44</v>
      </c>
      <c r="C166" s="28">
        <f t="shared" si="26"/>
        <v>2.2799999999999998</v>
      </c>
      <c r="D166" s="16"/>
      <c r="E166" s="8"/>
      <c r="F166" s="27">
        <f t="shared" si="27"/>
        <v>3.2563176895306869</v>
      </c>
      <c r="G166" s="27">
        <f t="shared" si="28"/>
        <v>-1528.3469299999999</v>
      </c>
      <c r="H166" s="27">
        <f t="shared" si="29"/>
        <v>416.40207751646687</v>
      </c>
      <c r="I166" s="27">
        <f t="shared" si="30"/>
        <v>-3.6703633639761573</v>
      </c>
      <c r="J166" s="27">
        <f t="shared" si="31"/>
        <v>0.18140151498097365</v>
      </c>
      <c r="K166" s="27" t="e">
        <f t="shared" si="32"/>
        <v>#NUM!</v>
      </c>
      <c r="L166" s="27" t="e">
        <f t="shared" si="33"/>
        <v>#NUM!</v>
      </c>
      <c r="M166" s="17" t="e">
        <f t="shared" si="34"/>
        <v>#NUM!</v>
      </c>
      <c r="N166" s="17" t="e">
        <f t="shared" si="35"/>
        <v>#N/A</v>
      </c>
      <c r="O166" s="57" t="e">
        <f t="shared" si="36"/>
        <v>#N/A</v>
      </c>
      <c r="P166" s="17">
        <f>IF(ISERROR(O166),0,IF('R-AFC ISOTOPE'!$G$7=B166,O166,0))</f>
        <v>0</v>
      </c>
      <c r="Q166" s="70"/>
      <c r="S166" s="81"/>
      <c r="T166" s="30"/>
      <c r="U166" s="30"/>
      <c r="W166" s="30"/>
      <c r="X166" s="30"/>
      <c r="Y166" s="30"/>
      <c r="Z166" s="30"/>
      <c r="AA166" s="30"/>
      <c r="AB166" s="30"/>
      <c r="AC166" s="30"/>
      <c r="AD166" s="85"/>
      <c r="AE166" s="85"/>
      <c r="AF166" s="70"/>
      <c r="AH166" s="81"/>
      <c r="AI166" s="30"/>
      <c r="AJ166" s="30"/>
      <c r="AL166" s="30"/>
      <c r="AM166" s="30"/>
      <c r="AN166" s="30"/>
      <c r="AO166" s="30"/>
      <c r="AP166" s="30"/>
      <c r="AQ166" s="30"/>
      <c r="AR166" s="30"/>
      <c r="AS166" s="85"/>
      <c r="AT166" s="85"/>
      <c r="AU166" s="70"/>
      <c r="AW166" s="81"/>
      <c r="AX166" s="30"/>
      <c r="AY166" s="30"/>
      <c r="BA166" s="30"/>
      <c r="BB166" s="30"/>
      <c r="BC166" s="30"/>
      <c r="BD166" s="30"/>
      <c r="BE166" s="30"/>
      <c r="BF166" s="30"/>
      <c r="BG166" s="30"/>
      <c r="BH166" s="85"/>
      <c r="BI166" s="85"/>
      <c r="BJ166" s="70"/>
      <c r="BL166" s="81"/>
      <c r="BM166" s="30"/>
      <c r="BN166" s="30"/>
      <c r="BP166" s="30"/>
      <c r="BQ166" s="30"/>
      <c r="BR166" s="30"/>
      <c r="BS166" s="30"/>
      <c r="BT166" s="30"/>
      <c r="BU166" s="30"/>
      <c r="BV166" s="30"/>
      <c r="BW166" s="85"/>
      <c r="BX166" s="85"/>
      <c r="BY166" s="70"/>
      <c r="CA166" s="81"/>
      <c r="CB166" s="30"/>
      <c r="CC166" s="30"/>
      <c r="CE166" s="30"/>
      <c r="CF166" s="30"/>
      <c r="CG166" s="30"/>
      <c r="CH166" s="30"/>
      <c r="CI166" s="30"/>
      <c r="CJ166" s="30"/>
      <c r="CK166" s="30"/>
      <c r="CL166" s="85"/>
      <c r="CM166" s="85"/>
      <c r="CN166" s="70"/>
      <c r="CP166" s="81"/>
      <c r="CQ166" s="30"/>
      <c r="CR166" s="30"/>
      <c r="CT166" s="30"/>
      <c r="CU166" s="30"/>
      <c r="CV166" s="30"/>
      <c r="CW166" s="30"/>
      <c r="CX166" s="30"/>
      <c r="CY166" s="30"/>
      <c r="CZ166" s="30"/>
      <c r="DA166" s="85"/>
      <c r="DB166" s="85"/>
      <c r="DC166" s="70"/>
      <c r="DE166" s="81"/>
      <c r="DF166" s="30"/>
      <c r="DG166" s="30"/>
      <c r="DI166" s="30"/>
      <c r="DJ166" s="30"/>
      <c r="DK166" s="30"/>
      <c r="DL166" s="30"/>
      <c r="DM166" s="30"/>
      <c r="DN166" s="30"/>
      <c r="DO166" s="30"/>
      <c r="DP166" s="85"/>
      <c r="DQ166" s="85"/>
      <c r="DR166" s="70"/>
      <c r="DT166" s="81"/>
      <c r="DU166" s="30"/>
      <c r="DV166" s="30"/>
      <c r="DX166" s="30"/>
      <c r="DY166" s="30"/>
      <c r="DZ166" s="30"/>
      <c r="EA166" s="30"/>
      <c r="EB166" s="30"/>
      <c r="EC166" s="30"/>
      <c r="ED166" s="30"/>
      <c r="EE166" s="85"/>
      <c r="EF166" s="85"/>
      <c r="EG166" s="70"/>
      <c r="EI166" s="81"/>
      <c r="EJ166" s="30"/>
      <c r="EK166" s="30"/>
      <c r="EM166" s="30"/>
      <c r="EN166" s="30"/>
      <c r="EO166" s="30"/>
      <c r="EP166" s="30"/>
      <c r="EQ166" s="30"/>
      <c r="ER166" s="30"/>
      <c r="ES166" s="30"/>
      <c r="ET166" s="85"/>
      <c r="EU166" s="85"/>
      <c r="EV166" s="70"/>
    </row>
    <row r="167" spans="2:152">
      <c r="B167" s="11">
        <v>0.45</v>
      </c>
      <c r="C167" s="28">
        <f t="shared" si="26"/>
        <v>2.2799999999999998</v>
      </c>
      <c r="D167" s="16"/>
      <c r="E167" s="8"/>
      <c r="F167" s="27">
        <f t="shared" si="27"/>
        <v>3.1008403361344539</v>
      </c>
      <c r="G167" s="27">
        <f t="shared" si="28"/>
        <v>-1538.7639299999998</v>
      </c>
      <c r="H167" s="27">
        <f t="shared" si="29"/>
        <v>432.09337546785775</v>
      </c>
      <c r="I167" s="27">
        <f t="shared" si="30"/>
        <v>-3.5611838027691869</v>
      </c>
      <c r="J167" s="27">
        <f t="shared" si="31"/>
        <v>0.19224563499419831</v>
      </c>
      <c r="K167" s="27" t="e">
        <f t="shared" si="32"/>
        <v>#NUM!</v>
      </c>
      <c r="L167" s="27" t="e">
        <f t="shared" si="33"/>
        <v>#NUM!</v>
      </c>
      <c r="M167" s="17" t="e">
        <f t="shared" si="34"/>
        <v>#NUM!</v>
      </c>
      <c r="N167" s="17" t="e">
        <f t="shared" si="35"/>
        <v>#N/A</v>
      </c>
      <c r="O167" s="57" t="e">
        <f t="shared" si="36"/>
        <v>#N/A</v>
      </c>
      <c r="P167" s="17">
        <f>IF(ISERROR(O167),0,IF('R-AFC ISOTOPE'!$G$7=B167,O167,0))</f>
        <v>0</v>
      </c>
      <c r="Q167" s="70"/>
      <c r="S167" s="81"/>
      <c r="T167" s="30"/>
      <c r="U167" s="30"/>
      <c r="W167" s="30"/>
      <c r="X167" s="30"/>
      <c r="Y167" s="30"/>
      <c r="Z167" s="30"/>
      <c r="AA167" s="30"/>
      <c r="AB167" s="30"/>
      <c r="AC167" s="30"/>
      <c r="AD167" s="85"/>
      <c r="AE167" s="85"/>
      <c r="AF167" s="70"/>
      <c r="AH167" s="81"/>
      <c r="AI167" s="30"/>
      <c r="AJ167" s="30"/>
      <c r="AL167" s="30"/>
      <c r="AM167" s="30"/>
      <c r="AN167" s="30"/>
      <c r="AO167" s="30"/>
      <c r="AP167" s="30"/>
      <c r="AQ167" s="30"/>
      <c r="AR167" s="30"/>
      <c r="AS167" s="85"/>
      <c r="AT167" s="85"/>
      <c r="AU167" s="70"/>
      <c r="AW167" s="81"/>
      <c r="AX167" s="30"/>
      <c r="AY167" s="30"/>
      <c r="BA167" s="30"/>
      <c r="BB167" s="30"/>
      <c r="BC167" s="30"/>
      <c r="BD167" s="30"/>
      <c r="BE167" s="30"/>
      <c r="BF167" s="30"/>
      <c r="BG167" s="30"/>
      <c r="BH167" s="85"/>
      <c r="BI167" s="85"/>
      <c r="BJ167" s="70"/>
      <c r="BL167" s="81"/>
      <c r="BM167" s="30"/>
      <c r="BN167" s="30"/>
      <c r="BP167" s="30"/>
      <c r="BQ167" s="30"/>
      <c r="BR167" s="30"/>
      <c r="BS167" s="30"/>
      <c r="BT167" s="30"/>
      <c r="BU167" s="30"/>
      <c r="BV167" s="30"/>
      <c r="BW167" s="85"/>
      <c r="BX167" s="85"/>
      <c r="BY167" s="70"/>
      <c r="CA167" s="81"/>
      <c r="CB167" s="30"/>
      <c r="CC167" s="30"/>
      <c r="CE167" s="30"/>
      <c r="CF167" s="30"/>
      <c r="CG167" s="30"/>
      <c r="CH167" s="30"/>
      <c r="CI167" s="30"/>
      <c r="CJ167" s="30"/>
      <c r="CK167" s="30"/>
      <c r="CL167" s="85"/>
      <c r="CM167" s="85"/>
      <c r="CN167" s="70"/>
      <c r="CP167" s="81"/>
      <c r="CQ167" s="30"/>
      <c r="CR167" s="30"/>
      <c r="CT167" s="30"/>
      <c r="CU167" s="30"/>
      <c r="CV167" s="30"/>
      <c r="CW167" s="30"/>
      <c r="CX167" s="30"/>
      <c r="CY167" s="30"/>
      <c r="CZ167" s="30"/>
      <c r="DA167" s="85"/>
      <c r="DB167" s="85"/>
      <c r="DC167" s="70"/>
      <c r="DE167" s="81"/>
      <c r="DF167" s="30"/>
      <c r="DG167" s="30"/>
      <c r="DI167" s="30"/>
      <c r="DJ167" s="30"/>
      <c r="DK167" s="30"/>
      <c r="DL167" s="30"/>
      <c r="DM167" s="30"/>
      <c r="DN167" s="30"/>
      <c r="DO167" s="30"/>
      <c r="DP167" s="85"/>
      <c r="DQ167" s="85"/>
      <c r="DR167" s="70"/>
      <c r="DT167" s="81"/>
      <c r="DU167" s="30"/>
      <c r="DV167" s="30"/>
      <c r="DX167" s="30"/>
      <c r="DY167" s="30"/>
      <c r="DZ167" s="30"/>
      <c r="EA167" s="30"/>
      <c r="EB167" s="30"/>
      <c r="EC167" s="30"/>
      <c r="ED167" s="30"/>
      <c r="EE167" s="85"/>
      <c r="EF167" s="85"/>
      <c r="EG167" s="70"/>
      <c r="EI167" s="81"/>
      <c r="EJ167" s="30"/>
      <c r="EK167" s="30"/>
      <c r="EM167" s="30"/>
      <c r="EN167" s="30"/>
      <c r="EO167" s="30"/>
      <c r="EP167" s="30"/>
      <c r="EQ167" s="30"/>
      <c r="ER167" s="30"/>
      <c r="ES167" s="30"/>
      <c r="ET167" s="85"/>
      <c r="EU167" s="85"/>
      <c r="EV167" s="70"/>
    </row>
    <row r="168" spans="2:152">
      <c r="B168" s="11">
        <v>0.46</v>
      </c>
      <c r="C168" s="28">
        <f t="shared" si="26"/>
        <v>2.2799999999999998</v>
      </c>
      <c r="D168" s="16"/>
      <c r="E168" s="8"/>
      <c r="F168" s="27">
        <f t="shared" si="27"/>
        <v>2.9654088050314469</v>
      </c>
      <c r="G168" s="27">
        <f t="shared" si="28"/>
        <v>-1549.1809299999998</v>
      </c>
      <c r="H168" s="27">
        <f t="shared" si="29"/>
        <v>447.78467341924875</v>
      </c>
      <c r="I168" s="27">
        <f t="shared" si="30"/>
        <v>-3.4596559953036699</v>
      </c>
      <c r="J168" s="27">
        <f t="shared" si="31"/>
        <v>0.20280620328691137</v>
      </c>
      <c r="K168" s="27" t="e">
        <f t="shared" si="32"/>
        <v>#NUM!</v>
      </c>
      <c r="L168" s="27" t="e">
        <f t="shared" si="33"/>
        <v>#NUM!</v>
      </c>
      <c r="M168" s="17" t="e">
        <f t="shared" si="34"/>
        <v>#NUM!</v>
      </c>
      <c r="N168" s="17" t="e">
        <f t="shared" si="35"/>
        <v>#N/A</v>
      </c>
      <c r="O168" s="57" t="e">
        <f t="shared" si="36"/>
        <v>#N/A</v>
      </c>
      <c r="P168" s="17">
        <f>IF(ISERROR(O168),0,IF('R-AFC ISOTOPE'!$G$7=B168,O168,0))</f>
        <v>0</v>
      </c>
      <c r="Q168" s="70"/>
      <c r="S168" s="81"/>
      <c r="T168" s="30"/>
      <c r="U168" s="30"/>
      <c r="W168" s="30"/>
      <c r="X168" s="30"/>
      <c r="Y168" s="30"/>
      <c r="Z168" s="30"/>
      <c r="AA168" s="30"/>
      <c r="AB168" s="30"/>
      <c r="AC168" s="30"/>
      <c r="AD168" s="85"/>
      <c r="AE168" s="85"/>
      <c r="AF168" s="70"/>
      <c r="AH168" s="81"/>
      <c r="AI168" s="30"/>
      <c r="AJ168" s="30"/>
      <c r="AL168" s="30"/>
      <c r="AM168" s="30"/>
      <c r="AN168" s="30"/>
      <c r="AO168" s="30"/>
      <c r="AP168" s="30"/>
      <c r="AQ168" s="30"/>
      <c r="AR168" s="30"/>
      <c r="AS168" s="85"/>
      <c r="AT168" s="85"/>
      <c r="AU168" s="70"/>
      <c r="AW168" s="81"/>
      <c r="AX168" s="30"/>
      <c r="AY168" s="30"/>
      <c r="BA168" s="30"/>
      <c r="BB168" s="30"/>
      <c r="BC168" s="30"/>
      <c r="BD168" s="30"/>
      <c r="BE168" s="30"/>
      <c r="BF168" s="30"/>
      <c r="BG168" s="30"/>
      <c r="BH168" s="85"/>
      <c r="BI168" s="85"/>
      <c r="BJ168" s="70"/>
      <c r="BL168" s="81"/>
      <c r="BM168" s="30"/>
      <c r="BN168" s="30"/>
      <c r="BP168" s="30"/>
      <c r="BQ168" s="30"/>
      <c r="BR168" s="30"/>
      <c r="BS168" s="30"/>
      <c r="BT168" s="30"/>
      <c r="BU168" s="30"/>
      <c r="BV168" s="30"/>
      <c r="BW168" s="85"/>
      <c r="BX168" s="85"/>
      <c r="BY168" s="70"/>
      <c r="CA168" s="81"/>
      <c r="CB168" s="30"/>
      <c r="CC168" s="30"/>
      <c r="CE168" s="30"/>
      <c r="CF168" s="30"/>
      <c r="CG168" s="30"/>
      <c r="CH168" s="30"/>
      <c r="CI168" s="30"/>
      <c r="CJ168" s="30"/>
      <c r="CK168" s="30"/>
      <c r="CL168" s="85"/>
      <c r="CM168" s="85"/>
      <c r="CN168" s="70"/>
      <c r="CP168" s="81"/>
      <c r="CQ168" s="30"/>
      <c r="CR168" s="30"/>
      <c r="CT168" s="30"/>
      <c r="CU168" s="30"/>
      <c r="CV168" s="30"/>
      <c r="CW168" s="30"/>
      <c r="CX168" s="30"/>
      <c r="CY168" s="30"/>
      <c r="CZ168" s="30"/>
      <c r="DA168" s="85"/>
      <c r="DB168" s="85"/>
      <c r="DC168" s="70"/>
      <c r="DE168" s="81"/>
      <c r="DF168" s="30"/>
      <c r="DG168" s="30"/>
      <c r="DI168" s="30"/>
      <c r="DJ168" s="30"/>
      <c r="DK168" s="30"/>
      <c r="DL168" s="30"/>
      <c r="DM168" s="30"/>
      <c r="DN168" s="30"/>
      <c r="DO168" s="30"/>
      <c r="DP168" s="85"/>
      <c r="DQ168" s="85"/>
      <c r="DR168" s="70"/>
      <c r="DT168" s="81"/>
      <c r="DU168" s="30"/>
      <c r="DV168" s="30"/>
      <c r="DX168" s="30"/>
      <c r="DY168" s="30"/>
      <c r="DZ168" s="30"/>
      <c r="EA168" s="30"/>
      <c r="EB168" s="30"/>
      <c r="EC168" s="30"/>
      <c r="ED168" s="30"/>
      <c r="EE168" s="85"/>
      <c r="EF168" s="85"/>
      <c r="EG168" s="70"/>
      <c r="EI168" s="81"/>
      <c r="EJ168" s="30"/>
      <c r="EK168" s="30"/>
      <c r="EM168" s="30"/>
      <c r="EN168" s="30"/>
      <c r="EO168" s="30"/>
      <c r="EP168" s="30"/>
      <c r="EQ168" s="30"/>
      <c r="ER168" s="30"/>
      <c r="ES168" s="30"/>
      <c r="ET168" s="85"/>
      <c r="EU168" s="85"/>
      <c r="EV168" s="70"/>
    </row>
    <row r="169" spans="2:152">
      <c r="B169" s="11">
        <v>0.47</v>
      </c>
      <c r="C169" s="28">
        <f t="shared" si="26"/>
        <v>2.2799999999999998</v>
      </c>
      <c r="D169" s="16"/>
      <c r="E169" s="8"/>
      <c r="F169" s="27">
        <f t="shared" si="27"/>
        <v>2.8463810930576074</v>
      </c>
      <c r="G169" s="27">
        <f t="shared" si="28"/>
        <v>-1559.5979299999999</v>
      </c>
      <c r="H169" s="27">
        <f t="shared" si="29"/>
        <v>463.4759713706394</v>
      </c>
      <c r="I169" s="27">
        <f t="shared" si="30"/>
        <v>-3.3650027754142129</v>
      </c>
      <c r="J169" s="27">
        <f t="shared" si="31"/>
        <v>0.21309419778651154</v>
      </c>
      <c r="K169" s="27" t="e">
        <f t="shared" si="32"/>
        <v>#NUM!</v>
      </c>
      <c r="L169" s="27" t="e">
        <f t="shared" si="33"/>
        <v>#NUM!</v>
      </c>
      <c r="M169" s="17" t="e">
        <f t="shared" si="34"/>
        <v>#NUM!</v>
      </c>
      <c r="N169" s="17" t="e">
        <f t="shared" si="35"/>
        <v>#N/A</v>
      </c>
      <c r="O169" s="57" t="e">
        <f t="shared" si="36"/>
        <v>#N/A</v>
      </c>
      <c r="P169" s="17">
        <f>IF(ISERROR(O169),0,IF('R-AFC ISOTOPE'!$G$7=B169,O169,0))</f>
        <v>0</v>
      </c>
      <c r="Q169" s="70"/>
      <c r="S169" s="81"/>
      <c r="T169" s="30"/>
      <c r="U169" s="30"/>
      <c r="W169" s="30"/>
      <c r="X169" s="30"/>
      <c r="Y169" s="30"/>
      <c r="Z169" s="30"/>
      <c r="AA169" s="30"/>
      <c r="AB169" s="30"/>
      <c r="AC169" s="30"/>
      <c r="AD169" s="85"/>
      <c r="AE169" s="85"/>
      <c r="AF169" s="70"/>
      <c r="AH169" s="81"/>
      <c r="AI169" s="30"/>
      <c r="AJ169" s="30"/>
      <c r="AL169" s="30"/>
      <c r="AM169" s="30"/>
      <c r="AN169" s="30"/>
      <c r="AO169" s="30"/>
      <c r="AP169" s="30"/>
      <c r="AQ169" s="30"/>
      <c r="AR169" s="30"/>
      <c r="AS169" s="85"/>
      <c r="AT169" s="85"/>
      <c r="AU169" s="70"/>
      <c r="AW169" s="81"/>
      <c r="AX169" s="30"/>
      <c r="AY169" s="30"/>
      <c r="BA169" s="30"/>
      <c r="BB169" s="30"/>
      <c r="BC169" s="30"/>
      <c r="BD169" s="30"/>
      <c r="BE169" s="30"/>
      <c r="BF169" s="30"/>
      <c r="BG169" s="30"/>
      <c r="BH169" s="85"/>
      <c r="BI169" s="85"/>
      <c r="BJ169" s="70"/>
      <c r="BL169" s="81"/>
      <c r="BM169" s="30"/>
      <c r="BN169" s="30"/>
      <c r="BP169" s="30"/>
      <c r="BQ169" s="30"/>
      <c r="BR169" s="30"/>
      <c r="BS169" s="30"/>
      <c r="BT169" s="30"/>
      <c r="BU169" s="30"/>
      <c r="BV169" s="30"/>
      <c r="BW169" s="85"/>
      <c r="BX169" s="85"/>
      <c r="BY169" s="70"/>
      <c r="CA169" s="81"/>
      <c r="CB169" s="30"/>
      <c r="CC169" s="30"/>
      <c r="CE169" s="30"/>
      <c r="CF169" s="30"/>
      <c r="CG169" s="30"/>
      <c r="CH169" s="30"/>
      <c r="CI169" s="30"/>
      <c r="CJ169" s="30"/>
      <c r="CK169" s="30"/>
      <c r="CL169" s="85"/>
      <c r="CM169" s="85"/>
      <c r="CN169" s="70"/>
      <c r="CP169" s="81"/>
      <c r="CQ169" s="30"/>
      <c r="CR169" s="30"/>
      <c r="CT169" s="30"/>
      <c r="CU169" s="30"/>
      <c r="CV169" s="30"/>
      <c r="CW169" s="30"/>
      <c r="CX169" s="30"/>
      <c r="CY169" s="30"/>
      <c r="CZ169" s="30"/>
      <c r="DA169" s="85"/>
      <c r="DB169" s="85"/>
      <c r="DC169" s="70"/>
      <c r="DE169" s="81"/>
      <c r="DF169" s="30"/>
      <c r="DG169" s="30"/>
      <c r="DI169" s="30"/>
      <c r="DJ169" s="30"/>
      <c r="DK169" s="30"/>
      <c r="DL169" s="30"/>
      <c r="DM169" s="30"/>
      <c r="DN169" s="30"/>
      <c r="DO169" s="30"/>
      <c r="DP169" s="85"/>
      <c r="DQ169" s="85"/>
      <c r="DR169" s="70"/>
      <c r="DT169" s="81"/>
      <c r="DU169" s="30"/>
      <c r="DV169" s="30"/>
      <c r="DX169" s="30"/>
      <c r="DY169" s="30"/>
      <c r="DZ169" s="30"/>
      <c r="EA169" s="30"/>
      <c r="EB169" s="30"/>
      <c r="EC169" s="30"/>
      <c r="ED169" s="30"/>
      <c r="EE169" s="85"/>
      <c r="EF169" s="85"/>
      <c r="EG169" s="70"/>
      <c r="EI169" s="81"/>
      <c r="EJ169" s="30"/>
      <c r="EK169" s="30"/>
      <c r="EM169" s="30"/>
      <c r="EN169" s="30"/>
      <c r="EO169" s="30"/>
      <c r="EP169" s="30"/>
      <c r="EQ169" s="30"/>
      <c r="ER169" s="30"/>
      <c r="ES169" s="30"/>
      <c r="ET169" s="85"/>
      <c r="EU169" s="85"/>
      <c r="EV169" s="70"/>
    </row>
    <row r="170" spans="2:152">
      <c r="B170" s="11">
        <v>0.48</v>
      </c>
      <c r="C170" s="28">
        <f t="shared" si="26"/>
        <v>2.2799999999999998</v>
      </c>
      <c r="D170" s="16"/>
      <c r="E170" s="8"/>
      <c r="F170" s="27">
        <f t="shared" si="27"/>
        <v>2.7409470752089145</v>
      </c>
      <c r="G170" s="27">
        <f t="shared" si="28"/>
        <v>-1570.0149299999994</v>
      </c>
      <c r="H170" s="27">
        <f t="shared" si="29"/>
        <v>479.16726932203028</v>
      </c>
      <c r="I170" s="27">
        <f t="shared" si="30"/>
        <v>-3.2765487764249848</v>
      </c>
      <c r="J170" s="27">
        <f t="shared" si="31"/>
        <v>0.22312003694842947</v>
      </c>
      <c r="K170" s="27" t="e">
        <f t="shared" si="32"/>
        <v>#NUM!</v>
      </c>
      <c r="L170" s="27" t="e">
        <f t="shared" si="33"/>
        <v>#NUM!</v>
      </c>
      <c r="M170" s="17" t="e">
        <f t="shared" si="34"/>
        <v>#NUM!</v>
      </c>
      <c r="N170" s="17" t="e">
        <f t="shared" si="35"/>
        <v>#N/A</v>
      </c>
      <c r="O170" s="57" t="e">
        <f t="shared" si="36"/>
        <v>#N/A</v>
      </c>
      <c r="P170" s="17">
        <f>IF(ISERROR(O170),0,IF('R-AFC ISOTOPE'!$G$7=B170,O170,0))</f>
        <v>0</v>
      </c>
      <c r="Q170" s="70"/>
      <c r="S170" s="81"/>
      <c r="T170" s="30"/>
      <c r="U170" s="30"/>
      <c r="W170" s="30"/>
      <c r="X170" s="30"/>
      <c r="Y170" s="30"/>
      <c r="Z170" s="30"/>
      <c r="AA170" s="30"/>
      <c r="AB170" s="30"/>
      <c r="AC170" s="30"/>
      <c r="AD170" s="85"/>
      <c r="AE170" s="85"/>
      <c r="AF170" s="70"/>
      <c r="AH170" s="81"/>
      <c r="AI170" s="30"/>
      <c r="AJ170" s="30"/>
      <c r="AL170" s="30"/>
      <c r="AM170" s="30"/>
      <c r="AN170" s="30"/>
      <c r="AO170" s="30"/>
      <c r="AP170" s="30"/>
      <c r="AQ170" s="30"/>
      <c r="AR170" s="30"/>
      <c r="AS170" s="85"/>
      <c r="AT170" s="85"/>
      <c r="AU170" s="70"/>
      <c r="AW170" s="81"/>
      <c r="AX170" s="30"/>
      <c r="AY170" s="30"/>
      <c r="BA170" s="30"/>
      <c r="BB170" s="30"/>
      <c r="BC170" s="30"/>
      <c r="BD170" s="30"/>
      <c r="BE170" s="30"/>
      <c r="BF170" s="30"/>
      <c r="BG170" s="30"/>
      <c r="BH170" s="85"/>
      <c r="BI170" s="85"/>
      <c r="BJ170" s="70"/>
      <c r="BL170" s="81"/>
      <c r="BM170" s="30"/>
      <c r="BN170" s="30"/>
      <c r="BP170" s="30"/>
      <c r="BQ170" s="30"/>
      <c r="BR170" s="30"/>
      <c r="BS170" s="30"/>
      <c r="BT170" s="30"/>
      <c r="BU170" s="30"/>
      <c r="BV170" s="30"/>
      <c r="BW170" s="85"/>
      <c r="BX170" s="85"/>
      <c r="BY170" s="70"/>
      <c r="CA170" s="81"/>
      <c r="CB170" s="30"/>
      <c r="CC170" s="30"/>
      <c r="CE170" s="30"/>
      <c r="CF170" s="30"/>
      <c r="CG170" s="30"/>
      <c r="CH170" s="30"/>
      <c r="CI170" s="30"/>
      <c r="CJ170" s="30"/>
      <c r="CK170" s="30"/>
      <c r="CL170" s="85"/>
      <c r="CM170" s="85"/>
      <c r="CN170" s="70"/>
      <c r="CP170" s="81"/>
      <c r="CQ170" s="30"/>
      <c r="CR170" s="30"/>
      <c r="CT170" s="30"/>
      <c r="CU170" s="30"/>
      <c r="CV170" s="30"/>
      <c r="CW170" s="30"/>
      <c r="CX170" s="30"/>
      <c r="CY170" s="30"/>
      <c r="CZ170" s="30"/>
      <c r="DA170" s="85"/>
      <c r="DB170" s="85"/>
      <c r="DC170" s="70"/>
      <c r="DE170" s="81"/>
      <c r="DF170" s="30"/>
      <c r="DG170" s="30"/>
      <c r="DI170" s="30"/>
      <c r="DJ170" s="30"/>
      <c r="DK170" s="30"/>
      <c r="DL170" s="30"/>
      <c r="DM170" s="30"/>
      <c r="DN170" s="30"/>
      <c r="DO170" s="30"/>
      <c r="DP170" s="85"/>
      <c r="DQ170" s="85"/>
      <c r="DR170" s="70"/>
      <c r="DT170" s="81"/>
      <c r="DU170" s="30"/>
      <c r="DV170" s="30"/>
      <c r="DX170" s="30"/>
      <c r="DY170" s="30"/>
      <c r="DZ170" s="30"/>
      <c r="EA170" s="30"/>
      <c r="EB170" s="30"/>
      <c r="EC170" s="30"/>
      <c r="ED170" s="30"/>
      <c r="EE170" s="85"/>
      <c r="EF170" s="85"/>
      <c r="EG170" s="70"/>
      <c r="EI170" s="81"/>
      <c r="EJ170" s="30"/>
      <c r="EK170" s="30"/>
      <c r="EM170" s="30"/>
      <c r="EN170" s="30"/>
      <c r="EO170" s="30"/>
      <c r="EP170" s="30"/>
      <c r="EQ170" s="30"/>
      <c r="ER170" s="30"/>
      <c r="ES170" s="30"/>
      <c r="ET170" s="85"/>
      <c r="EU170" s="85"/>
      <c r="EV170" s="70"/>
    </row>
    <row r="171" spans="2:152">
      <c r="B171" s="11">
        <v>0.49</v>
      </c>
      <c r="C171" s="28">
        <f t="shared" si="26"/>
        <v>2.2799999999999998</v>
      </c>
      <c r="D171" s="16"/>
      <c r="E171" s="8"/>
      <c r="F171" s="27">
        <f t="shared" si="27"/>
        <v>2.6469038208168643</v>
      </c>
      <c r="G171" s="27">
        <f t="shared" si="28"/>
        <v>-1580.43193</v>
      </c>
      <c r="H171" s="27">
        <f t="shared" si="29"/>
        <v>494.85856727342093</v>
      </c>
      <c r="I171" s="27">
        <f t="shared" si="30"/>
        <v>-3.1937042915269451</v>
      </c>
      <c r="J171" s="27">
        <f t="shared" si="31"/>
        <v>0.23289361494845617</v>
      </c>
      <c r="K171" s="27" t="e">
        <f t="shared" si="32"/>
        <v>#NUM!</v>
      </c>
      <c r="L171" s="27" t="e">
        <f t="shared" si="33"/>
        <v>#NUM!</v>
      </c>
      <c r="M171" s="17" t="e">
        <f t="shared" si="34"/>
        <v>#NUM!</v>
      </c>
      <c r="N171" s="17" t="e">
        <f t="shared" si="35"/>
        <v>#N/A</v>
      </c>
      <c r="O171" s="57" t="e">
        <f t="shared" si="36"/>
        <v>#N/A</v>
      </c>
      <c r="P171" s="17">
        <f>IF(ISERROR(O171),0,IF('R-AFC ISOTOPE'!$G$7=B171,O171,0))</f>
        <v>0</v>
      </c>
      <c r="Q171" s="70"/>
      <c r="S171" s="81"/>
      <c r="T171" s="30"/>
      <c r="U171" s="30"/>
      <c r="W171" s="30"/>
      <c r="X171" s="30"/>
      <c r="Y171" s="30"/>
      <c r="Z171" s="30"/>
      <c r="AA171" s="30"/>
      <c r="AB171" s="30"/>
      <c r="AC171" s="30"/>
      <c r="AD171" s="85"/>
      <c r="AE171" s="85"/>
      <c r="AF171" s="70"/>
      <c r="AH171" s="81"/>
      <c r="AI171" s="30"/>
      <c r="AJ171" s="30"/>
      <c r="AL171" s="30"/>
      <c r="AM171" s="30"/>
      <c r="AN171" s="30"/>
      <c r="AO171" s="30"/>
      <c r="AP171" s="30"/>
      <c r="AQ171" s="30"/>
      <c r="AR171" s="30"/>
      <c r="AS171" s="85"/>
      <c r="AT171" s="85"/>
      <c r="AU171" s="70"/>
      <c r="AW171" s="81"/>
      <c r="AX171" s="30"/>
      <c r="AY171" s="30"/>
      <c r="BA171" s="30"/>
      <c r="BB171" s="30"/>
      <c r="BC171" s="30"/>
      <c r="BD171" s="30"/>
      <c r="BE171" s="30"/>
      <c r="BF171" s="30"/>
      <c r="BG171" s="30"/>
      <c r="BH171" s="85"/>
      <c r="BI171" s="85"/>
      <c r="BJ171" s="70"/>
      <c r="BL171" s="81"/>
      <c r="BM171" s="30"/>
      <c r="BN171" s="30"/>
      <c r="BP171" s="30"/>
      <c r="BQ171" s="30"/>
      <c r="BR171" s="30"/>
      <c r="BS171" s="30"/>
      <c r="BT171" s="30"/>
      <c r="BU171" s="30"/>
      <c r="BV171" s="30"/>
      <c r="BW171" s="85"/>
      <c r="BX171" s="85"/>
      <c r="BY171" s="70"/>
      <c r="CA171" s="81"/>
      <c r="CB171" s="30"/>
      <c r="CC171" s="30"/>
      <c r="CE171" s="30"/>
      <c r="CF171" s="30"/>
      <c r="CG171" s="30"/>
      <c r="CH171" s="30"/>
      <c r="CI171" s="30"/>
      <c r="CJ171" s="30"/>
      <c r="CK171" s="30"/>
      <c r="CL171" s="85"/>
      <c r="CM171" s="85"/>
      <c r="CN171" s="70"/>
      <c r="CP171" s="81"/>
      <c r="CQ171" s="30"/>
      <c r="CR171" s="30"/>
      <c r="CT171" s="30"/>
      <c r="CU171" s="30"/>
      <c r="CV171" s="30"/>
      <c r="CW171" s="30"/>
      <c r="CX171" s="30"/>
      <c r="CY171" s="30"/>
      <c r="CZ171" s="30"/>
      <c r="DA171" s="85"/>
      <c r="DB171" s="85"/>
      <c r="DC171" s="70"/>
      <c r="DE171" s="81"/>
      <c r="DF171" s="30"/>
      <c r="DG171" s="30"/>
      <c r="DI171" s="30"/>
      <c r="DJ171" s="30"/>
      <c r="DK171" s="30"/>
      <c r="DL171" s="30"/>
      <c r="DM171" s="30"/>
      <c r="DN171" s="30"/>
      <c r="DO171" s="30"/>
      <c r="DP171" s="85"/>
      <c r="DQ171" s="85"/>
      <c r="DR171" s="70"/>
      <c r="DT171" s="81"/>
      <c r="DU171" s="30"/>
      <c r="DV171" s="30"/>
      <c r="DX171" s="30"/>
      <c r="DY171" s="30"/>
      <c r="DZ171" s="30"/>
      <c r="EA171" s="30"/>
      <c r="EB171" s="30"/>
      <c r="EC171" s="30"/>
      <c r="ED171" s="30"/>
      <c r="EE171" s="85"/>
      <c r="EF171" s="85"/>
      <c r="EG171" s="70"/>
      <c r="EI171" s="81"/>
      <c r="EJ171" s="30"/>
      <c r="EK171" s="30"/>
      <c r="EM171" s="30"/>
      <c r="EN171" s="30"/>
      <c r="EO171" s="30"/>
      <c r="EP171" s="30"/>
      <c r="EQ171" s="30"/>
      <c r="ER171" s="30"/>
      <c r="ES171" s="30"/>
      <c r="ET171" s="85"/>
      <c r="EU171" s="85"/>
      <c r="EV171" s="70"/>
    </row>
    <row r="172" spans="2:152">
      <c r="B172" s="11">
        <v>0.5</v>
      </c>
      <c r="C172" s="28">
        <f t="shared" si="26"/>
        <v>2.2799999999999998</v>
      </c>
      <c r="D172" s="16"/>
      <c r="E172" s="8"/>
      <c r="F172" s="27">
        <f t="shared" si="27"/>
        <v>2.5625000000000004</v>
      </c>
      <c r="G172" s="27">
        <f t="shared" si="28"/>
        <v>-1590.8489299999999</v>
      </c>
      <c r="H172" s="27">
        <f t="shared" si="29"/>
        <v>510.54986522481181</v>
      </c>
      <c r="I172" s="27">
        <f t="shared" si="30"/>
        <v>-3.1159521103771071</v>
      </c>
      <c r="J172" s="27">
        <f t="shared" si="31"/>
        <v>0.24242433425164173</v>
      </c>
      <c r="K172" s="27" t="e">
        <f t="shared" si="32"/>
        <v>#NUM!</v>
      </c>
      <c r="L172" s="27" t="e">
        <f t="shared" si="33"/>
        <v>#NUM!</v>
      </c>
      <c r="M172" s="17" t="e">
        <f t="shared" si="34"/>
        <v>#NUM!</v>
      </c>
      <c r="N172" s="17" t="e">
        <f t="shared" si="35"/>
        <v>#N/A</v>
      </c>
      <c r="O172" s="57" t="e">
        <f t="shared" si="36"/>
        <v>#N/A</v>
      </c>
      <c r="P172" s="17">
        <f>IF(ISERROR(O172),0,IF('R-AFC ISOTOPE'!$G$7=B172,O172,0))</f>
        <v>0</v>
      </c>
      <c r="Q172" s="70"/>
      <c r="S172" s="81"/>
      <c r="T172" s="30"/>
      <c r="U172" s="30"/>
      <c r="W172" s="30"/>
      <c r="X172" s="30"/>
      <c r="Y172" s="30"/>
      <c r="Z172" s="30"/>
      <c r="AA172" s="30"/>
      <c r="AB172" s="30"/>
      <c r="AC172" s="30"/>
      <c r="AD172" s="85"/>
      <c r="AE172" s="85"/>
      <c r="AF172" s="70"/>
      <c r="AH172" s="81"/>
      <c r="AI172" s="30"/>
      <c r="AJ172" s="30"/>
      <c r="AL172" s="30"/>
      <c r="AM172" s="30"/>
      <c r="AN172" s="30"/>
      <c r="AO172" s="30"/>
      <c r="AP172" s="30"/>
      <c r="AQ172" s="30"/>
      <c r="AR172" s="30"/>
      <c r="AS172" s="85"/>
      <c r="AT172" s="85"/>
      <c r="AU172" s="70"/>
      <c r="AW172" s="81"/>
      <c r="AX172" s="30"/>
      <c r="AY172" s="30"/>
      <c r="BA172" s="30"/>
      <c r="BB172" s="30"/>
      <c r="BC172" s="30"/>
      <c r="BD172" s="30"/>
      <c r="BE172" s="30"/>
      <c r="BF172" s="30"/>
      <c r="BG172" s="30"/>
      <c r="BH172" s="85"/>
      <c r="BI172" s="85"/>
      <c r="BJ172" s="70"/>
      <c r="BL172" s="81"/>
      <c r="BM172" s="30"/>
      <c r="BN172" s="30"/>
      <c r="BP172" s="30"/>
      <c r="BQ172" s="30"/>
      <c r="BR172" s="30"/>
      <c r="BS172" s="30"/>
      <c r="BT172" s="30"/>
      <c r="BU172" s="30"/>
      <c r="BV172" s="30"/>
      <c r="BW172" s="85"/>
      <c r="BX172" s="85"/>
      <c r="BY172" s="70"/>
      <c r="CA172" s="81"/>
      <c r="CB172" s="30"/>
      <c r="CC172" s="30"/>
      <c r="CE172" s="30"/>
      <c r="CF172" s="30"/>
      <c r="CG172" s="30"/>
      <c r="CH172" s="30"/>
      <c r="CI172" s="30"/>
      <c r="CJ172" s="30"/>
      <c r="CK172" s="30"/>
      <c r="CL172" s="85"/>
      <c r="CM172" s="85"/>
      <c r="CN172" s="70"/>
      <c r="CP172" s="81"/>
      <c r="CQ172" s="30"/>
      <c r="CR172" s="30"/>
      <c r="CT172" s="30"/>
      <c r="CU172" s="30"/>
      <c r="CV172" s="30"/>
      <c r="CW172" s="30"/>
      <c r="CX172" s="30"/>
      <c r="CY172" s="30"/>
      <c r="CZ172" s="30"/>
      <c r="DA172" s="85"/>
      <c r="DB172" s="85"/>
      <c r="DC172" s="70"/>
      <c r="DE172" s="81"/>
      <c r="DF172" s="30"/>
      <c r="DG172" s="30"/>
      <c r="DI172" s="30"/>
      <c r="DJ172" s="30"/>
      <c r="DK172" s="30"/>
      <c r="DL172" s="30"/>
      <c r="DM172" s="30"/>
      <c r="DN172" s="30"/>
      <c r="DO172" s="30"/>
      <c r="DP172" s="85"/>
      <c r="DQ172" s="85"/>
      <c r="DR172" s="70"/>
      <c r="DT172" s="81"/>
      <c r="DU172" s="30"/>
      <c r="DV172" s="30"/>
      <c r="DX172" s="30"/>
      <c r="DY172" s="30"/>
      <c r="DZ172" s="30"/>
      <c r="EA172" s="30"/>
      <c r="EB172" s="30"/>
      <c r="EC172" s="30"/>
      <c r="ED172" s="30"/>
      <c r="EE172" s="85"/>
      <c r="EF172" s="85"/>
      <c r="EG172" s="70"/>
      <c r="EI172" s="81"/>
      <c r="EJ172" s="30"/>
      <c r="EK172" s="30"/>
      <c r="EM172" s="30"/>
      <c r="EN172" s="30"/>
      <c r="EO172" s="30"/>
      <c r="EP172" s="30"/>
      <c r="EQ172" s="30"/>
      <c r="ER172" s="30"/>
      <c r="ES172" s="30"/>
      <c r="ET172" s="85"/>
      <c r="EU172" s="85"/>
      <c r="EV172" s="70"/>
    </row>
    <row r="173" spans="2:152">
      <c r="B173" s="11">
        <v>0.51</v>
      </c>
      <c r="C173" s="28">
        <f t="shared" si="26"/>
        <v>2.2799999999999998</v>
      </c>
      <c r="D173" s="16"/>
      <c r="E173" s="8"/>
      <c r="F173" s="27">
        <f t="shared" si="27"/>
        <v>2.4863258026159336</v>
      </c>
      <c r="G173" s="27">
        <f t="shared" si="28"/>
        <v>-1601.2659299999998</v>
      </c>
      <c r="H173" s="27">
        <f t="shared" si="29"/>
        <v>526.2411631762028</v>
      </c>
      <c r="I173" s="27">
        <f t="shared" si="30"/>
        <v>-3.0428367107113652</v>
      </c>
      <c r="J173" s="27">
        <f t="shared" si="31"/>
        <v>0.25172113578312466</v>
      </c>
      <c r="K173" s="27" t="e">
        <f t="shared" si="32"/>
        <v>#NUM!</v>
      </c>
      <c r="L173" s="27" t="e">
        <f t="shared" si="33"/>
        <v>#NUM!</v>
      </c>
      <c r="M173" s="17" t="e">
        <f t="shared" si="34"/>
        <v>#NUM!</v>
      </c>
      <c r="N173" s="17" t="e">
        <f t="shared" si="35"/>
        <v>#N/A</v>
      </c>
      <c r="O173" s="57" t="e">
        <f t="shared" si="36"/>
        <v>#N/A</v>
      </c>
      <c r="P173" s="17">
        <f>IF(ISERROR(O173),0,IF('R-AFC ISOTOPE'!$G$7=B173,O173,0))</f>
        <v>0</v>
      </c>
      <c r="Q173" s="70"/>
      <c r="S173" s="81"/>
      <c r="T173" s="30"/>
      <c r="U173" s="30"/>
      <c r="W173" s="30"/>
      <c r="X173" s="30"/>
      <c r="Y173" s="30"/>
      <c r="Z173" s="30"/>
      <c r="AA173" s="30"/>
      <c r="AB173" s="30"/>
      <c r="AC173" s="30"/>
      <c r="AD173" s="85"/>
      <c r="AE173" s="85"/>
      <c r="AF173" s="70"/>
      <c r="AH173" s="81"/>
      <c r="AI173" s="30"/>
      <c r="AJ173" s="30"/>
      <c r="AL173" s="30"/>
      <c r="AM173" s="30"/>
      <c r="AN173" s="30"/>
      <c r="AO173" s="30"/>
      <c r="AP173" s="30"/>
      <c r="AQ173" s="30"/>
      <c r="AR173" s="30"/>
      <c r="AS173" s="85"/>
      <c r="AT173" s="85"/>
      <c r="AU173" s="70"/>
      <c r="AW173" s="81"/>
      <c r="AX173" s="30"/>
      <c r="AY173" s="30"/>
      <c r="BA173" s="30"/>
      <c r="BB173" s="30"/>
      <c r="BC173" s="30"/>
      <c r="BD173" s="30"/>
      <c r="BE173" s="30"/>
      <c r="BF173" s="30"/>
      <c r="BG173" s="30"/>
      <c r="BH173" s="85"/>
      <c r="BI173" s="85"/>
      <c r="BJ173" s="70"/>
      <c r="BL173" s="81"/>
      <c r="BM173" s="30"/>
      <c r="BN173" s="30"/>
      <c r="BP173" s="30"/>
      <c r="BQ173" s="30"/>
      <c r="BR173" s="30"/>
      <c r="BS173" s="30"/>
      <c r="BT173" s="30"/>
      <c r="BU173" s="30"/>
      <c r="BV173" s="30"/>
      <c r="BW173" s="85"/>
      <c r="BX173" s="85"/>
      <c r="BY173" s="70"/>
      <c r="CA173" s="81"/>
      <c r="CB173" s="30"/>
      <c r="CC173" s="30"/>
      <c r="CE173" s="30"/>
      <c r="CF173" s="30"/>
      <c r="CG173" s="30"/>
      <c r="CH173" s="30"/>
      <c r="CI173" s="30"/>
      <c r="CJ173" s="30"/>
      <c r="CK173" s="30"/>
      <c r="CL173" s="85"/>
      <c r="CM173" s="85"/>
      <c r="CN173" s="70"/>
      <c r="CP173" s="81"/>
      <c r="CQ173" s="30"/>
      <c r="CR173" s="30"/>
      <c r="CT173" s="30"/>
      <c r="CU173" s="30"/>
      <c r="CV173" s="30"/>
      <c r="CW173" s="30"/>
      <c r="CX173" s="30"/>
      <c r="CY173" s="30"/>
      <c r="CZ173" s="30"/>
      <c r="DA173" s="85"/>
      <c r="DB173" s="85"/>
      <c r="DC173" s="70"/>
      <c r="DE173" s="81"/>
      <c r="DF173" s="30"/>
      <c r="DG173" s="30"/>
      <c r="DI173" s="30"/>
      <c r="DJ173" s="30"/>
      <c r="DK173" s="30"/>
      <c r="DL173" s="30"/>
      <c r="DM173" s="30"/>
      <c r="DN173" s="30"/>
      <c r="DO173" s="30"/>
      <c r="DP173" s="85"/>
      <c r="DQ173" s="85"/>
      <c r="DR173" s="70"/>
      <c r="DT173" s="81"/>
      <c r="DU173" s="30"/>
      <c r="DV173" s="30"/>
      <c r="DX173" s="30"/>
      <c r="DY173" s="30"/>
      <c r="DZ173" s="30"/>
      <c r="EA173" s="30"/>
      <c r="EB173" s="30"/>
      <c r="EC173" s="30"/>
      <c r="ED173" s="30"/>
      <c r="EE173" s="85"/>
      <c r="EF173" s="85"/>
      <c r="EG173" s="70"/>
      <c r="EI173" s="81"/>
      <c r="EJ173" s="30"/>
      <c r="EK173" s="30"/>
      <c r="EM173" s="30"/>
      <c r="EN173" s="30"/>
      <c r="EO173" s="30"/>
      <c r="EP173" s="30"/>
      <c r="EQ173" s="30"/>
      <c r="ER173" s="30"/>
      <c r="ES173" s="30"/>
      <c r="ET173" s="85"/>
      <c r="EU173" s="85"/>
      <c r="EV173" s="70"/>
    </row>
    <row r="174" spans="2:152">
      <c r="B174" s="11">
        <v>0.52</v>
      </c>
      <c r="C174" s="28">
        <f t="shared" si="26"/>
        <v>2.2799999999999998</v>
      </c>
      <c r="D174" s="16"/>
      <c r="E174" s="8"/>
      <c r="F174" s="27">
        <f t="shared" si="27"/>
        <v>2.4172335600907031</v>
      </c>
      <c r="G174" s="27">
        <f t="shared" si="28"/>
        <v>-1611.6829300000004</v>
      </c>
      <c r="H174" s="27">
        <f t="shared" si="29"/>
        <v>541.93246112759334</v>
      </c>
      <c r="I174" s="27">
        <f t="shared" si="30"/>
        <v>-2.9739553276557529</v>
      </c>
      <c r="J174" s="27">
        <f t="shared" si="31"/>
        <v>0.26079252690439342</v>
      </c>
      <c r="K174" s="27" t="e">
        <f t="shared" si="32"/>
        <v>#NUM!</v>
      </c>
      <c r="L174" s="27" t="e">
        <f t="shared" si="33"/>
        <v>#NUM!</v>
      </c>
      <c r="M174" s="17" t="e">
        <f t="shared" si="34"/>
        <v>#NUM!</v>
      </c>
      <c r="N174" s="17" t="e">
        <f t="shared" si="35"/>
        <v>#N/A</v>
      </c>
      <c r="O174" s="57" t="e">
        <f t="shared" si="36"/>
        <v>#N/A</v>
      </c>
      <c r="P174" s="17">
        <f>IF(ISERROR(O174),0,IF('R-AFC ISOTOPE'!$G$7=B174,O174,0))</f>
        <v>0</v>
      </c>
      <c r="Q174" s="70"/>
      <c r="S174" s="81"/>
      <c r="T174" s="30"/>
      <c r="U174" s="30"/>
      <c r="W174" s="30"/>
      <c r="X174" s="30"/>
      <c r="Y174" s="30"/>
      <c r="Z174" s="30"/>
      <c r="AA174" s="30"/>
      <c r="AB174" s="30"/>
      <c r="AC174" s="30"/>
      <c r="AD174" s="85"/>
      <c r="AE174" s="85"/>
      <c r="AF174" s="70"/>
      <c r="AH174" s="81"/>
      <c r="AI174" s="30"/>
      <c r="AJ174" s="30"/>
      <c r="AL174" s="30"/>
      <c r="AM174" s="30"/>
      <c r="AN174" s="30"/>
      <c r="AO174" s="30"/>
      <c r="AP174" s="30"/>
      <c r="AQ174" s="30"/>
      <c r="AR174" s="30"/>
      <c r="AS174" s="85"/>
      <c r="AT174" s="85"/>
      <c r="AU174" s="70"/>
      <c r="AW174" s="81"/>
      <c r="AX174" s="30"/>
      <c r="AY174" s="30"/>
      <c r="BA174" s="30"/>
      <c r="BB174" s="30"/>
      <c r="BC174" s="30"/>
      <c r="BD174" s="30"/>
      <c r="BE174" s="30"/>
      <c r="BF174" s="30"/>
      <c r="BG174" s="30"/>
      <c r="BH174" s="85"/>
      <c r="BI174" s="85"/>
      <c r="BJ174" s="70"/>
      <c r="BL174" s="81"/>
      <c r="BM174" s="30"/>
      <c r="BN174" s="30"/>
      <c r="BP174" s="30"/>
      <c r="BQ174" s="30"/>
      <c r="BR174" s="30"/>
      <c r="BS174" s="30"/>
      <c r="BT174" s="30"/>
      <c r="BU174" s="30"/>
      <c r="BV174" s="30"/>
      <c r="BW174" s="85"/>
      <c r="BX174" s="85"/>
      <c r="BY174" s="70"/>
      <c r="CA174" s="81"/>
      <c r="CB174" s="30"/>
      <c r="CC174" s="30"/>
      <c r="CE174" s="30"/>
      <c r="CF174" s="30"/>
      <c r="CG174" s="30"/>
      <c r="CH174" s="30"/>
      <c r="CI174" s="30"/>
      <c r="CJ174" s="30"/>
      <c r="CK174" s="30"/>
      <c r="CL174" s="85"/>
      <c r="CM174" s="85"/>
      <c r="CN174" s="70"/>
      <c r="CP174" s="81"/>
      <c r="CQ174" s="30"/>
      <c r="CR174" s="30"/>
      <c r="CT174" s="30"/>
      <c r="CU174" s="30"/>
      <c r="CV174" s="30"/>
      <c r="CW174" s="30"/>
      <c r="CX174" s="30"/>
      <c r="CY174" s="30"/>
      <c r="CZ174" s="30"/>
      <c r="DA174" s="85"/>
      <c r="DB174" s="85"/>
      <c r="DC174" s="70"/>
      <c r="DE174" s="81"/>
      <c r="DF174" s="30"/>
      <c r="DG174" s="30"/>
      <c r="DI174" s="30"/>
      <c r="DJ174" s="30"/>
      <c r="DK174" s="30"/>
      <c r="DL174" s="30"/>
      <c r="DM174" s="30"/>
      <c r="DN174" s="30"/>
      <c r="DO174" s="30"/>
      <c r="DP174" s="85"/>
      <c r="DQ174" s="85"/>
      <c r="DR174" s="70"/>
      <c r="DT174" s="81"/>
      <c r="DU174" s="30"/>
      <c r="DV174" s="30"/>
      <c r="DX174" s="30"/>
      <c r="DY174" s="30"/>
      <c r="DZ174" s="30"/>
      <c r="EA174" s="30"/>
      <c r="EB174" s="30"/>
      <c r="EC174" s="30"/>
      <c r="ED174" s="30"/>
      <c r="EE174" s="85"/>
      <c r="EF174" s="85"/>
      <c r="EG174" s="70"/>
      <c r="EI174" s="81"/>
      <c r="EJ174" s="30"/>
      <c r="EK174" s="30"/>
      <c r="EM174" s="30"/>
      <c r="EN174" s="30"/>
      <c r="EO174" s="30"/>
      <c r="EP174" s="30"/>
      <c r="EQ174" s="30"/>
      <c r="ER174" s="30"/>
      <c r="ES174" s="30"/>
      <c r="ET174" s="85"/>
      <c r="EU174" s="85"/>
      <c r="EV174" s="70"/>
    </row>
    <row r="175" spans="2:152">
      <c r="B175" s="11">
        <v>0.53</v>
      </c>
      <c r="C175" s="28">
        <f t="shared" si="26"/>
        <v>2.2799999999999998</v>
      </c>
      <c r="D175" s="16"/>
      <c r="E175" s="8"/>
      <c r="F175" s="27">
        <f t="shared" si="27"/>
        <v>2.354279523293608</v>
      </c>
      <c r="G175" s="27">
        <f t="shared" si="28"/>
        <v>-1622.0999300000003</v>
      </c>
      <c r="H175" s="27">
        <f t="shared" si="29"/>
        <v>557.62375907898422</v>
      </c>
      <c r="I175" s="27">
        <f t="shared" si="30"/>
        <v>-2.9089505308726258</v>
      </c>
      <c r="J175" s="27">
        <f t="shared" si="31"/>
        <v>0.26964660737898305</v>
      </c>
      <c r="K175" s="27" t="e">
        <f t="shared" si="32"/>
        <v>#NUM!</v>
      </c>
      <c r="L175" s="27" t="e">
        <f t="shared" si="33"/>
        <v>#NUM!</v>
      </c>
      <c r="M175" s="17" t="e">
        <f t="shared" si="34"/>
        <v>#NUM!</v>
      </c>
      <c r="N175" s="17" t="e">
        <f t="shared" si="35"/>
        <v>#N/A</v>
      </c>
      <c r="O175" s="57" t="e">
        <f t="shared" si="36"/>
        <v>#N/A</v>
      </c>
      <c r="P175" s="17">
        <f>IF(ISERROR(O175),0,IF('R-AFC ISOTOPE'!$G$7=B175,O175,0))</f>
        <v>0</v>
      </c>
      <c r="Q175" s="70"/>
      <c r="S175" s="81"/>
      <c r="T175" s="30"/>
      <c r="U175" s="30"/>
      <c r="W175" s="30"/>
      <c r="X175" s="30"/>
      <c r="Y175" s="30"/>
      <c r="Z175" s="30"/>
      <c r="AA175" s="30"/>
      <c r="AB175" s="30"/>
      <c r="AC175" s="30"/>
      <c r="AD175" s="85"/>
      <c r="AE175" s="85"/>
      <c r="AF175" s="70"/>
      <c r="AH175" s="81"/>
      <c r="AI175" s="30"/>
      <c r="AJ175" s="30"/>
      <c r="AL175" s="30"/>
      <c r="AM175" s="30"/>
      <c r="AN175" s="30"/>
      <c r="AO175" s="30"/>
      <c r="AP175" s="30"/>
      <c r="AQ175" s="30"/>
      <c r="AR175" s="30"/>
      <c r="AS175" s="85"/>
      <c r="AT175" s="85"/>
      <c r="AU175" s="70"/>
      <c r="AW175" s="81"/>
      <c r="AX175" s="30"/>
      <c r="AY175" s="30"/>
      <c r="BA175" s="30"/>
      <c r="BB175" s="30"/>
      <c r="BC175" s="30"/>
      <c r="BD175" s="30"/>
      <c r="BE175" s="30"/>
      <c r="BF175" s="30"/>
      <c r="BG175" s="30"/>
      <c r="BH175" s="85"/>
      <c r="BI175" s="85"/>
      <c r="BJ175" s="70"/>
      <c r="BL175" s="81"/>
      <c r="BM175" s="30"/>
      <c r="BN175" s="30"/>
      <c r="BP175" s="30"/>
      <c r="BQ175" s="30"/>
      <c r="BR175" s="30"/>
      <c r="BS175" s="30"/>
      <c r="BT175" s="30"/>
      <c r="BU175" s="30"/>
      <c r="BV175" s="30"/>
      <c r="BW175" s="85"/>
      <c r="BX175" s="85"/>
      <c r="BY175" s="70"/>
      <c r="CA175" s="81"/>
      <c r="CB175" s="30"/>
      <c r="CC175" s="30"/>
      <c r="CE175" s="30"/>
      <c r="CF175" s="30"/>
      <c r="CG175" s="30"/>
      <c r="CH175" s="30"/>
      <c r="CI175" s="30"/>
      <c r="CJ175" s="30"/>
      <c r="CK175" s="30"/>
      <c r="CL175" s="85"/>
      <c r="CM175" s="85"/>
      <c r="CN175" s="70"/>
      <c r="CP175" s="81"/>
      <c r="CQ175" s="30"/>
      <c r="CR175" s="30"/>
      <c r="CT175" s="30"/>
      <c r="CU175" s="30"/>
      <c r="CV175" s="30"/>
      <c r="CW175" s="30"/>
      <c r="CX175" s="30"/>
      <c r="CY175" s="30"/>
      <c r="CZ175" s="30"/>
      <c r="DA175" s="85"/>
      <c r="DB175" s="85"/>
      <c r="DC175" s="70"/>
      <c r="DE175" s="81"/>
      <c r="DF175" s="30"/>
      <c r="DG175" s="30"/>
      <c r="DI175" s="30"/>
      <c r="DJ175" s="30"/>
      <c r="DK175" s="30"/>
      <c r="DL175" s="30"/>
      <c r="DM175" s="30"/>
      <c r="DN175" s="30"/>
      <c r="DO175" s="30"/>
      <c r="DP175" s="85"/>
      <c r="DQ175" s="85"/>
      <c r="DR175" s="70"/>
      <c r="DT175" s="81"/>
      <c r="DU175" s="30"/>
      <c r="DV175" s="30"/>
      <c r="DX175" s="30"/>
      <c r="DY175" s="30"/>
      <c r="DZ175" s="30"/>
      <c r="EA175" s="30"/>
      <c r="EB175" s="30"/>
      <c r="EC175" s="30"/>
      <c r="ED175" s="30"/>
      <c r="EE175" s="85"/>
      <c r="EF175" s="85"/>
      <c r="EG175" s="70"/>
      <c r="EI175" s="81"/>
      <c r="EJ175" s="30"/>
      <c r="EK175" s="30"/>
      <c r="EM175" s="30"/>
      <c r="EN175" s="30"/>
      <c r="EO175" s="30"/>
      <c r="EP175" s="30"/>
      <c r="EQ175" s="30"/>
      <c r="ER175" s="30"/>
      <c r="ES175" s="30"/>
      <c r="ET175" s="85"/>
      <c r="EU175" s="85"/>
      <c r="EV175" s="70"/>
    </row>
    <row r="176" spans="2:152">
      <c r="B176" s="11">
        <v>0.54</v>
      </c>
      <c r="C176" s="28">
        <f t="shared" si="26"/>
        <v>2.2799999999999998</v>
      </c>
      <c r="D176" s="16"/>
      <c r="E176" s="8"/>
      <c r="F176" s="27">
        <f t="shared" si="27"/>
        <v>2.296680497925311</v>
      </c>
      <c r="G176" s="27">
        <f t="shared" si="28"/>
        <v>-1632.5169300000002</v>
      </c>
      <c r="H176" s="27">
        <f t="shared" si="29"/>
        <v>573.31505703037521</v>
      </c>
      <c r="I176" s="27">
        <f t="shared" si="30"/>
        <v>-2.8475040206619004</v>
      </c>
      <c r="J176" s="27">
        <f t="shared" si="31"/>
        <v>0.2782910934941879</v>
      </c>
      <c r="K176" s="27" t="e">
        <f t="shared" si="32"/>
        <v>#NUM!</v>
      </c>
      <c r="L176" s="27" t="e">
        <f t="shared" si="33"/>
        <v>#NUM!</v>
      </c>
      <c r="M176" s="17" t="e">
        <f t="shared" si="34"/>
        <v>#NUM!</v>
      </c>
      <c r="N176" s="17" t="e">
        <f t="shared" si="35"/>
        <v>#N/A</v>
      </c>
      <c r="O176" s="57" t="e">
        <f t="shared" si="36"/>
        <v>#N/A</v>
      </c>
      <c r="P176" s="17">
        <f>IF(ISERROR(O176),0,IF('R-AFC ISOTOPE'!$G$7=B176,O176,0))</f>
        <v>0</v>
      </c>
      <c r="Q176" s="70"/>
      <c r="S176" s="81"/>
      <c r="T176" s="30"/>
      <c r="U176" s="30"/>
      <c r="W176" s="30"/>
      <c r="X176" s="30"/>
      <c r="Y176" s="30"/>
      <c r="Z176" s="30"/>
      <c r="AA176" s="30"/>
      <c r="AB176" s="30"/>
      <c r="AC176" s="30"/>
      <c r="AD176" s="85"/>
      <c r="AE176" s="85"/>
      <c r="AF176" s="70"/>
      <c r="AH176" s="81"/>
      <c r="AI176" s="30"/>
      <c r="AJ176" s="30"/>
      <c r="AL176" s="30"/>
      <c r="AM176" s="30"/>
      <c r="AN176" s="30"/>
      <c r="AO176" s="30"/>
      <c r="AP176" s="30"/>
      <c r="AQ176" s="30"/>
      <c r="AR176" s="30"/>
      <c r="AS176" s="85"/>
      <c r="AT176" s="85"/>
      <c r="AU176" s="70"/>
      <c r="AW176" s="81"/>
      <c r="AX176" s="30"/>
      <c r="AY176" s="30"/>
      <c r="BA176" s="30"/>
      <c r="BB176" s="30"/>
      <c r="BC176" s="30"/>
      <c r="BD176" s="30"/>
      <c r="BE176" s="30"/>
      <c r="BF176" s="30"/>
      <c r="BG176" s="30"/>
      <c r="BH176" s="85"/>
      <c r="BI176" s="85"/>
      <c r="BJ176" s="70"/>
      <c r="BL176" s="81"/>
      <c r="BM176" s="30"/>
      <c r="BN176" s="30"/>
      <c r="BP176" s="30"/>
      <c r="BQ176" s="30"/>
      <c r="BR176" s="30"/>
      <c r="BS176" s="30"/>
      <c r="BT176" s="30"/>
      <c r="BU176" s="30"/>
      <c r="BV176" s="30"/>
      <c r="BW176" s="85"/>
      <c r="BX176" s="85"/>
      <c r="BY176" s="70"/>
      <c r="CA176" s="81"/>
      <c r="CB176" s="30"/>
      <c r="CC176" s="30"/>
      <c r="CE176" s="30"/>
      <c r="CF176" s="30"/>
      <c r="CG176" s="30"/>
      <c r="CH176" s="30"/>
      <c r="CI176" s="30"/>
      <c r="CJ176" s="30"/>
      <c r="CK176" s="30"/>
      <c r="CL176" s="85"/>
      <c r="CM176" s="85"/>
      <c r="CN176" s="70"/>
      <c r="CP176" s="81"/>
      <c r="CQ176" s="30"/>
      <c r="CR176" s="30"/>
      <c r="CT176" s="30"/>
      <c r="CU176" s="30"/>
      <c r="CV176" s="30"/>
      <c r="CW176" s="30"/>
      <c r="CX176" s="30"/>
      <c r="CY176" s="30"/>
      <c r="CZ176" s="30"/>
      <c r="DA176" s="85"/>
      <c r="DB176" s="85"/>
      <c r="DC176" s="70"/>
      <c r="DE176" s="81"/>
      <c r="DF176" s="30"/>
      <c r="DG176" s="30"/>
      <c r="DI176" s="30"/>
      <c r="DJ176" s="30"/>
      <c r="DK176" s="30"/>
      <c r="DL176" s="30"/>
      <c r="DM176" s="30"/>
      <c r="DN176" s="30"/>
      <c r="DO176" s="30"/>
      <c r="DP176" s="85"/>
      <c r="DQ176" s="85"/>
      <c r="DR176" s="70"/>
      <c r="DT176" s="81"/>
      <c r="DU176" s="30"/>
      <c r="DV176" s="30"/>
      <c r="DX176" s="30"/>
      <c r="DY176" s="30"/>
      <c r="DZ176" s="30"/>
      <c r="EA176" s="30"/>
      <c r="EB176" s="30"/>
      <c r="EC176" s="30"/>
      <c r="ED176" s="30"/>
      <c r="EE176" s="85"/>
      <c r="EF176" s="85"/>
      <c r="EG176" s="70"/>
      <c r="EI176" s="81"/>
      <c r="EJ176" s="30"/>
      <c r="EK176" s="30"/>
      <c r="EM176" s="30"/>
      <c r="EN176" s="30"/>
      <c r="EO176" s="30"/>
      <c r="EP176" s="30"/>
      <c r="EQ176" s="30"/>
      <c r="ER176" s="30"/>
      <c r="ES176" s="30"/>
      <c r="ET176" s="85"/>
      <c r="EU176" s="85"/>
      <c r="EV176" s="70"/>
    </row>
    <row r="177" spans="2:152">
      <c r="B177" s="11">
        <v>0.55000000000000004</v>
      </c>
      <c r="C177" s="28">
        <f t="shared" si="26"/>
        <v>2.2799999999999998</v>
      </c>
      <c r="D177" s="16"/>
      <c r="E177" s="8"/>
      <c r="F177" s="27">
        <f t="shared" si="27"/>
        <v>2.2437810945273631</v>
      </c>
      <c r="G177" s="27">
        <f t="shared" si="28"/>
        <v>-1642.9339299999997</v>
      </c>
      <c r="H177" s="27">
        <f t="shared" si="29"/>
        <v>589.00635498176609</v>
      </c>
      <c r="I177" s="27">
        <f t="shared" si="30"/>
        <v>-2.7893314157040972</v>
      </c>
      <c r="J177" s="27">
        <f t="shared" si="31"/>
        <v>0.28673334048977905</v>
      </c>
      <c r="K177" s="27" t="e">
        <f t="shared" si="32"/>
        <v>#NUM!</v>
      </c>
      <c r="L177" s="27" t="e">
        <f t="shared" si="33"/>
        <v>#NUM!</v>
      </c>
      <c r="M177" s="17" t="e">
        <f t="shared" si="34"/>
        <v>#NUM!</v>
      </c>
      <c r="N177" s="17" t="e">
        <f t="shared" si="35"/>
        <v>#N/A</v>
      </c>
      <c r="O177" s="57" t="e">
        <f t="shared" si="36"/>
        <v>#N/A</v>
      </c>
      <c r="P177" s="17">
        <f>IF(ISERROR(O177),0,IF('R-AFC ISOTOPE'!$G$7=B177,O177,0))</f>
        <v>0</v>
      </c>
      <c r="Q177" s="70"/>
      <c r="S177" s="81"/>
      <c r="T177" s="30"/>
      <c r="U177" s="30"/>
      <c r="W177" s="30"/>
      <c r="X177" s="30"/>
      <c r="Y177" s="30"/>
      <c r="Z177" s="30"/>
      <c r="AA177" s="30"/>
      <c r="AB177" s="30"/>
      <c r="AC177" s="30"/>
      <c r="AD177" s="85"/>
      <c r="AE177" s="85"/>
      <c r="AF177" s="70"/>
      <c r="AH177" s="81"/>
      <c r="AI177" s="30"/>
      <c r="AJ177" s="30"/>
      <c r="AL177" s="30"/>
      <c r="AM177" s="30"/>
      <c r="AN177" s="30"/>
      <c r="AO177" s="30"/>
      <c r="AP177" s="30"/>
      <c r="AQ177" s="30"/>
      <c r="AR177" s="30"/>
      <c r="AS177" s="85"/>
      <c r="AT177" s="85"/>
      <c r="AU177" s="70"/>
      <c r="AW177" s="81"/>
      <c r="AX177" s="30"/>
      <c r="AY177" s="30"/>
      <c r="BA177" s="30"/>
      <c r="BB177" s="30"/>
      <c r="BC177" s="30"/>
      <c r="BD177" s="30"/>
      <c r="BE177" s="30"/>
      <c r="BF177" s="30"/>
      <c r="BG177" s="30"/>
      <c r="BH177" s="85"/>
      <c r="BI177" s="85"/>
      <c r="BJ177" s="70"/>
      <c r="BL177" s="81"/>
      <c r="BM177" s="30"/>
      <c r="BN177" s="30"/>
      <c r="BP177" s="30"/>
      <c r="BQ177" s="30"/>
      <c r="BR177" s="30"/>
      <c r="BS177" s="30"/>
      <c r="BT177" s="30"/>
      <c r="BU177" s="30"/>
      <c r="BV177" s="30"/>
      <c r="BW177" s="85"/>
      <c r="BX177" s="85"/>
      <c r="BY177" s="70"/>
      <c r="CA177" s="81"/>
      <c r="CB177" s="30"/>
      <c r="CC177" s="30"/>
      <c r="CE177" s="30"/>
      <c r="CF177" s="30"/>
      <c r="CG177" s="30"/>
      <c r="CH177" s="30"/>
      <c r="CI177" s="30"/>
      <c r="CJ177" s="30"/>
      <c r="CK177" s="30"/>
      <c r="CL177" s="85"/>
      <c r="CM177" s="85"/>
      <c r="CN177" s="70"/>
      <c r="CP177" s="81"/>
      <c r="CQ177" s="30"/>
      <c r="CR177" s="30"/>
      <c r="CT177" s="30"/>
      <c r="CU177" s="30"/>
      <c r="CV177" s="30"/>
      <c r="CW177" s="30"/>
      <c r="CX177" s="30"/>
      <c r="CY177" s="30"/>
      <c r="CZ177" s="30"/>
      <c r="DA177" s="85"/>
      <c r="DB177" s="85"/>
      <c r="DC177" s="70"/>
      <c r="DE177" s="81"/>
      <c r="DF177" s="30"/>
      <c r="DG177" s="30"/>
      <c r="DI177" s="30"/>
      <c r="DJ177" s="30"/>
      <c r="DK177" s="30"/>
      <c r="DL177" s="30"/>
      <c r="DM177" s="30"/>
      <c r="DN177" s="30"/>
      <c r="DO177" s="30"/>
      <c r="DP177" s="85"/>
      <c r="DQ177" s="85"/>
      <c r="DR177" s="70"/>
      <c r="DT177" s="81"/>
      <c r="DU177" s="30"/>
      <c r="DV177" s="30"/>
      <c r="DX177" s="30"/>
      <c r="DY177" s="30"/>
      <c r="DZ177" s="30"/>
      <c r="EA177" s="30"/>
      <c r="EB177" s="30"/>
      <c r="EC177" s="30"/>
      <c r="ED177" s="30"/>
      <c r="EE177" s="85"/>
      <c r="EF177" s="85"/>
      <c r="EG177" s="70"/>
      <c r="EI177" s="81"/>
      <c r="EJ177" s="30"/>
      <c r="EK177" s="30"/>
      <c r="EM177" s="30"/>
      <c r="EN177" s="30"/>
      <c r="EO177" s="30"/>
      <c r="EP177" s="30"/>
      <c r="EQ177" s="30"/>
      <c r="ER177" s="30"/>
      <c r="ES177" s="30"/>
      <c r="ET177" s="85"/>
      <c r="EU177" s="85"/>
      <c r="EV177" s="70"/>
    </row>
    <row r="178" spans="2:152">
      <c r="B178" s="11">
        <v>0.56000000000000005</v>
      </c>
      <c r="C178" s="28">
        <f t="shared" si="26"/>
        <v>2.2799999999999998</v>
      </c>
      <c r="D178" s="16"/>
      <c r="E178" s="8"/>
      <c r="F178" s="27">
        <f t="shared" si="27"/>
        <v>2.1950286806883366</v>
      </c>
      <c r="G178" s="27">
        <f t="shared" si="28"/>
        <v>-1653.3509299999998</v>
      </c>
      <c r="H178" s="27">
        <f t="shared" si="29"/>
        <v>604.69765293315686</v>
      </c>
      <c r="I178" s="27">
        <f t="shared" si="30"/>
        <v>-2.7341778523204567</v>
      </c>
      <c r="J178" s="27">
        <f t="shared" si="31"/>
        <v>0.29498036343075418</v>
      </c>
      <c r="K178" s="27" t="e">
        <f t="shared" si="32"/>
        <v>#NUM!</v>
      </c>
      <c r="L178" s="27" t="e">
        <f t="shared" si="33"/>
        <v>#NUM!</v>
      </c>
      <c r="M178" s="17" t="e">
        <f t="shared" si="34"/>
        <v>#NUM!</v>
      </c>
      <c r="N178" s="17" t="e">
        <f t="shared" si="35"/>
        <v>#N/A</v>
      </c>
      <c r="O178" s="57" t="e">
        <f t="shared" si="36"/>
        <v>#N/A</v>
      </c>
      <c r="P178" s="17">
        <f>IF(ISERROR(O178),0,IF('R-AFC ISOTOPE'!$G$7=B178,O178,0))</f>
        <v>0</v>
      </c>
      <c r="Q178" s="70"/>
      <c r="S178" s="81"/>
      <c r="T178" s="30"/>
      <c r="U178" s="30"/>
      <c r="W178" s="30"/>
      <c r="X178" s="30"/>
      <c r="Y178" s="30"/>
      <c r="Z178" s="30"/>
      <c r="AA178" s="30"/>
      <c r="AB178" s="30"/>
      <c r="AC178" s="30"/>
      <c r="AD178" s="85"/>
      <c r="AE178" s="85"/>
      <c r="AF178" s="70"/>
      <c r="AH178" s="81"/>
      <c r="AI178" s="30"/>
      <c r="AJ178" s="30"/>
      <c r="AL178" s="30"/>
      <c r="AM178" s="30"/>
      <c r="AN178" s="30"/>
      <c r="AO178" s="30"/>
      <c r="AP178" s="30"/>
      <c r="AQ178" s="30"/>
      <c r="AR178" s="30"/>
      <c r="AS178" s="85"/>
      <c r="AT178" s="85"/>
      <c r="AU178" s="70"/>
      <c r="AW178" s="81"/>
      <c r="AX178" s="30"/>
      <c r="AY178" s="30"/>
      <c r="BA178" s="30"/>
      <c r="BB178" s="30"/>
      <c r="BC178" s="30"/>
      <c r="BD178" s="30"/>
      <c r="BE178" s="30"/>
      <c r="BF178" s="30"/>
      <c r="BG178" s="30"/>
      <c r="BH178" s="85"/>
      <c r="BI178" s="85"/>
      <c r="BJ178" s="70"/>
      <c r="BL178" s="81"/>
      <c r="BM178" s="30"/>
      <c r="BN178" s="30"/>
      <c r="BP178" s="30"/>
      <c r="BQ178" s="30"/>
      <c r="BR178" s="30"/>
      <c r="BS178" s="30"/>
      <c r="BT178" s="30"/>
      <c r="BU178" s="30"/>
      <c r="BV178" s="30"/>
      <c r="BW178" s="85"/>
      <c r="BX178" s="85"/>
      <c r="BY178" s="70"/>
      <c r="CA178" s="81"/>
      <c r="CB178" s="30"/>
      <c r="CC178" s="30"/>
      <c r="CE178" s="30"/>
      <c r="CF178" s="30"/>
      <c r="CG178" s="30"/>
      <c r="CH178" s="30"/>
      <c r="CI178" s="30"/>
      <c r="CJ178" s="30"/>
      <c r="CK178" s="30"/>
      <c r="CL178" s="85"/>
      <c r="CM178" s="85"/>
      <c r="CN178" s="70"/>
      <c r="CP178" s="81"/>
      <c r="CQ178" s="30"/>
      <c r="CR178" s="30"/>
      <c r="CT178" s="30"/>
      <c r="CU178" s="30"/>
      <c r="CV178" s="30"/>
      <c r="CW178" s="30"/>
      <c r="CX178" s="30"/>
      <c r="CY178" s="30"/>
      <c r="CZ178" s="30"/>
      <c r="DA178" s="85"/>
      <c r="DB178" s="85"/>
      <c r="DC178" s="70"/>
      <c r="DE178" s="81"/>
      <c r="DF178" s="30"/>
      <c r="DG178" s="30"/>
      <c r="DI178" s="30"/>
      <c r="DJ178" s="30"/>
      <c r="DK178" s="30"/>
      <c r="DL178" s="30"/>
      <c r="DM178" s="30"/>
      <c r="DN178" s="30"/>
      <c r="DO178" s="30"/>
      <c r="DP178" s="85"/>
      <c r="DQ178" s="85"/>
      <c r="DR178" s="70"/>
      <c r="DT178" s="81"/>
      <c r="DU178" s="30"/>
      <c r="DV178" s="30"/>
      <c r="DX178" s="30"/>
      <c r="DY178" s="30"/>
      <c r="DZ178" s="30"/>
      <c r="EA178" s="30"/>
      <c r="EB178" s="30"/>
      <c r="EC178" s="30"/>
      <c r="ED178" s="30"/>
      <c r="EE178" s="85"/>
      <c r="EF178" s="85"/>
      <c r="EG178" s="70"/>
      <c r="EI178" s="81"/>
      <c r="EJ178" s="30"/>
      <c r="EK178" s="30"/>
      <c r="EM178" s="30"/>
      <c r="EN178" s="30"/>
      <c r="EO178" s="30"/>
      <c r="EP178" s="30"/>
      <c r="EQ178" s="30"/>
      <c r="ER178" s="30"/>
      <c r="ES178" s="30"/>
      <c r="ET178" s="85"/>
      <c r="EU178" s="85"/>
      <c r="EV178" s="70"/>
    </row>
    <row r="179" spans="2:152">
      <c r="B179" s="11">
        <v>0.56999999999999995</v>
      </c>
      <c r="C179" s="28">
        <f t="shared" si="26"/>
        <v>2.2799999999999998</v>
      </c>
      <c r="D179" s="16"/>
      <c r="E179" s="8"/>
      <c r="F179" s="27">
        <f t="shared" si="27"/>
        <v>2.1499540018399266</v>
      </c>
      <c r="G179" s="27">
        <f t="shared" si="28"/>
        <v>-1663.76793</v>
      </c>
      <c r="H179" s="27">
        <f t="shared" si="29"/>
        <v>620.38895088454751</v>
      </c>
      <c r="I179" s="27">
        <f t="shared" si="30"/>
        <v>-2.6818142515720305</v>
      </c>
      <c r="J179" s="27">
        <f t="shared" si="31"/>
        <v>0.3030388566486118</v>
      </c>
      <c r="K179" s="27" t="e">
        <f t="shared" si="32"/>
        <v>#NUM!</v>
      </c>
      <c r="L179" s="27" t="e">
        <f t="shared" si="33"/>
        <v>#NUM!</v>
      </c>
      <c r="M179" s="17" t="e">
        <f t="shared" si="34"/>
        <v>#NUM!</v>
      </c>
      <c r="N179" s="17" t="e">
        <f t="shared" si="35"/>
        <v>#N/A</v>
      </c>
      <c r="O179" s="57" t="e">
        <f t="shared" si="36"/>
        <v>#N/A</v>
      </c>
      <c r="P179" s="17">
        <f>IF(ISERROR(O179),0,IF('R-AFC ISOTOPE'!$G$7=B179,O179,0))</f>
        <v>0</v>
      </c>
      <c r="Q179" s="70"/>
      <c r="S179" s="81"/>
      <c r="T179" s="30"/>
      <c r="U179" s="30"/>
      <c r="W179" s="30"/>
      <c r="X179" s="30"/>
      <c r="Y179" s="30"/>
      <c r="Z179" s="30"/>
      <c r="AA179" s="30"/>
      <c r="AB179" s="30"/>
      <c r="AC179" s="30"/>
      <c r="AD179" s="85"/>
      <c r="AE179" s="85"/>
      <c r="AF179" s="70"/>
      <c r="AH179" s="81"/>
      <c r="AI179" s="30"/>
      <c r="AJ179" s="30"/>
      <c r="AL179" s="30"/>
      <c r="AM179" s="30"/>
      <c r="AN179" s="30"/>
      <c r="AO179" s="30"/>
      <c r="AP179" s="30"/>
      <c r="AQ179" s="30"/>
      <c r="AR179" s="30"/>
      <c r="AS179" s="85"/>
      <c r="AT179" s="85"/>
      <c r="AU179" s="70"/>
      <c r="AW179" s="81"/>
      <c r="AX179" s="30"/>
      <c r="AY179" s="30"/>
      <c r="BA179" s="30"/>
      <c r="BB179" s="30"/>
      <c r="BC179" s="30"/>
      <c r="BD179" s="30"/>
      <c r="BE179" s="30"/>
      <c r="BF179" s="30"/>
      <c r="BG179" s="30"/>
      <c r="BH179" s="85"/>
      <c r="BI179" s="85"/>
      <c r="BJ179" s="70"/>
      <c r="BL179" s="81"/>
      <c r="BM179" s="30"/>
      <c r="BN179" s="30"/>
      <c r="BP179" s="30"/>
      <c r="BQ179" s="30"/>
      <c r="BR179" s="30"/>
      <c r="BS179" s="30"/>
      <c r="BT179" s="30"/>
      <c r="BU179" s="30"/>
      <c r="BV179" s="30"/>
      <c r="BW179" s="85"/>
      <c r="BX179" s="85"/>
      <c r="BY179" s="70"/>
      <c r="CA179" s="81"/>
      <c r="CB179" s="30"/>
      <c r="CC179" s="30"/>
      <c r="CE179" s="30"/>
      <c r="CF179" s="30"/>
      <c r="CG179" s="30"/>
      <c r="CH179" s="30"/>
      <c r="CI179" s="30"/>
      <c r="CJ179" s="30"/>
      <c r="CK179" s="30"/>
      <c r="CL179" s="85"/>
      <c r="CM179" s="85"/>
      <c r="CN179" s="70"/>
      <c r="CP179" s="81"/>
      <c r="CQ179" s="30"/>
      <c r="CR179" s="30"/>
      <c r="CT179" s="30"/>
      <c r="CU179" s="30"/>
      <c r="CV179" s="30"/>
      <c r="CW179" s="30"/>
      <c r="CX179" s="30"/>
      <c r="CY179" s="30"/>
      <c r="CZ179" s="30"/>
      <c r="DA179" s="85"/>
      <c r="DB179" s="85"/>
      <c r="DC179" s="70"/>
      <c r="DE179" s="81"/>
      <c r="DF179" s="30"/>
      <c r="DG179" s="30"/>
      <c r="DI179" s="30"/>
      <c r="DJ179" s="30"/>
      <c r="DK179" s="30"/>
      <c r="DL179" s="30"/>
      <c r="DM179" s="30"/>
      <c r="DN179" s="30"/>
      <c r="DO179" s="30"/>
      <c r="DP179" s="85"/>
      <c r="DQ179" s="85"/>
      <c r="DR179" s="70"/>
      <c r="DT179" s="81"/>
      <c r="DU179" s="30"/>
      <c r="DV179" s="30"/>
      <c r="DX179" s="30"/>
      <c r="DY179" s="30"/>
      <c r="DZ179" s="30"/>
      <c r="EA179" s="30"/>
      <c r="EB179" s="30"/>
      <c r="EC179" s="30"/>
      <c r="ED179" s="30"/>
      <c r="EE179" s="85"/>
      <c r="EF179" s="85"/>
      <c r="EG179" s="70"/>
      <c r="EI179" s="81"/>
      <c r="EJ179" s="30"/>
      <c r="EK179" s="30"/>
      <c r="EM179" s="30"/>
      <c r="EN179" s="30"/>
      <c r="EO179" s="30"/>
      <c r="EP179" s="30"/>
      <c r="EQ179" s="30"/>
      <c r="ER179" s="30"/>
      <c r="ES179" s="30"/>
      <c r="ET179" s="85"/>
      <c r="EU179" s="85"/>
      <c r="EV179" s="70"/>
    </row>
    <row r="180" spans="2:152">
      <c r="B180" s="11">
        <v>0.57999999999999996</v>
      </c>
      <c r="C180" s="28">
        <f t="shared" si="26"/>
        <v>2.2799999999999998</v>
      </c>
      <c r="D180" s="16"/>
      <c r="E180" s="8"/>
      <c r="F180" s="27">
        <f t="shared" si="27"/>
        <v>2.1081560283687946</v>
      </c>
      <c r="G180" s="27">
        <f t="shared" si="28"/>
        <v>-1674.1849299999999</v>
      </c>
      <c r="H180" s="27">
        <f t="shared" si="29"/>
        <v>636.08024883593851</v>
      </c>
      <c r="I180" s="27">
        <f t="shared" si="30"/>
        <v>-2.6320341388745359</v>
      </c>
      <c r="J180" s="27">
        <f t="shared" si="31"/>
        <v>0.31091521186439208</v>
      </c>
      <c r="K180" s="27" t="e">
        <f t="shared" si="32"/>
        <v>#NUM!</v>
      </c>
      <c r="L180" s="27" t="e">
        <f t="shared" si="33"/>
        <v>#NUM!</v>
      </c>
      <c r="M180" s="17" t="e">
        <f t="shared" si="34"/>
        <v>#NUM!</v>
      </c>
      <c r="N180" s="17" t="e">
        <f t="shared" si="35"/>
        <v>#N/A</v>
      </c>
      <c r="O180" s="57" t="e">
        <f t="shared" si="36"/>
        <v>#N/A</v>
      </c>
      <c r="P180" s="17">
        <f>IF(ISERROR(O180),0,IF('R-AFC ISOTOPE'!$G$7=B180,O180,0))</f>
        <v>0</v>
      </c>
      <c r="Q180" s="70"/>
      <c r="S180" s="81"/>
      <c r="T180" s="30"/>
      <c r="U180" s="30"/>
      <c r="W180" s="30"/>
      <c r="X180" s="30"/>
      <c r="Y180" s="30"/>
      <c r="Z180" s="30"/>
      <c r="AA180" s="30"/>
      <c r="AB180" s="30"/>
      <c r="AC180" s="30"/>
      <c r="AD180" s="85"/>
      <c r="AE180" s="85"/>
      <c r="AF180" s="70"/>
      <c r="AH180" s="81"/>
      <c r="AI180" s="30"/>
      <c r="AJ180" s="30"/>
      <c r="AL180" s="30"/>
      <c r="AM180" s="30"/>
      <c r="AN180" s="30"/>
      <c r="AO180" s="30"/>
      <c r="AP180" s="30"/>
      <c r="AQ180" s="30"/>
      <c r="AR180" s="30"/>
      <c r="AS180" s="85"/>
      <c r="AT180" s="85"/>
      <c r="AU180" s="70"/>
      <c r="AW180" s="81"/>
      <c r="AX180" s="30"/>
      <c r="AY180" s="30"/>
      <c r="BA180" s="30"/>
      <c r="BB180" s="30"/>
      <c r="BC180" s="30"/>
      <c r="BD180" s="30"/>
      <c r="BE180" s="30"/>
      <c r="BF180" s="30"/>
      <c r="BG180" s="30"/>
      <c r="BH180" s="85"/>
      <c r="BI180" s="85"/>
      <c r="BJ180" s="70"/>
      <c r="BL180" s="81"/>
      <c r="BM180" s="30"/>
      <c r="BN180" s="30"/>
      <c r="BP180" s="30"/>
      <c r="BQ180" s="30"/>
      <c r="BR180" s="30"/>
      <c r="BS180" s="30"/>
      <c r="BT180" s="30"/>
      <c r="BU180" s="30"/>
      <c r="BV180" s="30"/>
      <c r="BW180" s="85"/>
      <c r="BX180" s="85"/>
      <c r="BY180" s="70"/>
      <c r="CA180" s="81"/>
      <c r="CB180" s="30"/>
      <c r="CC180" s="30"/>
      <c r="CE180" s="30"/>
      <c r="CF180" s="30"/>
      <c r="CG180" s="30"/>
      <c r="CH180" s="30"/>
      <c r="CI180" s="30"/>
      <c r="CJ180" s="30"/>
      <c r="CK180" s="30"/>
      <c r="CL180" s="85"/>
      <c r="CM180" s="85"/>
      <c r="CN180" s="70"/>
      <c r="CP180" s="81"/>
      <c r="CQ180" s="30"/>
      <c r="CR180" s="30"/>
      <c r="CT180" s="30"/>
      <c r="CU180" s="30"/>
      <c r="CV180" s="30"/>
      <c r="CW180" s="30"/>
      <c r="CX180" s="30"/>
      <c r="CY180" s="30"/>
      <c r="CZ180" s="30"/>
      <c r="DA180" s="85"/>
      <c r="DB180" s="85"/>
      <c r="DC180" s="70"/>
      <c r="DE180" s="81"/>
      <c r="DF180" s="30"/>
      <c r="DG180" s="30"/>
      <c r="DI180" s="30"/>
      <c r="DJ180" s="30"/>
      <c r="DK180" s="30"/>
      <c r="DL180" s="30"/>
      <c r="DM180" s="30"/>
      <c r="DN180" s="30"/>
      <c r="DO180" s="30"/>
      <c r="DP180" s="85"/>
      <c r="DQ180" s="85"/>
      <c r="DR180" s="70"/>
      <c r="DT180" s="81"/>
      <c r="DU180" s="30"/>
      <c r="DV180" s="30"/>
      <c r="DX180" s="30"/>
      <c r="DY180" s="30"/>
      <c r="DZ180" s="30"/>
      <c r="EA180" s="30"/>
      <c r="EB180" s="30"/>
      <c r="EC180" s="30"/>
      <c r="ED180" s="30"/>
      <c r="EE180" s="85"/>
      <c r="EF180" s="85"/>
      <c r="EG180" s="70"/>
      <c r="EI180" s="81"/>
      <c r="EJ180" s="30"/>
      <c r="EK180" s="30"/>
      <c r="EM180" s="30"/>
      <c r="EN180" s="30"/>
      <c r="EO180" s="30"/>
      <c r="EP180" s="30"/>
      <c r="EQ180" s="30"/>
      <c r="ER180" s="30"/>
      <c r="ES180" s="30"/>
      <c r="ET180" s="85"/>
      <c r="EU180" s="85"/>
      <c r="EV180" s="70"/>
    </row>
    <row r="181" spans="2:152">
      <c r="B181" s="11">
        <v>0.59</v>
      </c>
      <c r="C181" s="28">
        <f t="shared" si="26"/>
        <v>2.2799999999999998</v>
      </c>
      <c r="D181" s="16"/>
      <c r="E181" s="8"/>
      <c r="F181" s="27">
        <f t="shared" si="27"/>
        <v>2.0692899914456802</v>
      </c>
      <c r="G181" s="27">
        <f t="shared" si="28"/>
        <v>-1684.60193</v>
      </c>
      <c r="H181" s="27">
        <f t="shared" si="29"/>
        <v>651.77154678732916</v>
      </c>
      <c r="I181" s="27">
        <f t="shared" si="30"/>
        <v>-2.5846509230168651</v>
      </c>
      <c r="J181" s="27">
        <f t="shared" si="31"/>
        <v>0.31861553509659818</v>
      </c>
      <c r="K181" s="27" t="e">
        <f t="shared" si="32"/>
        <v>#NUM!</v>
      </c>
      <c r="L181" s="27" t="e">
        <f t="shared" si="33"/>
        <v>#NUM!</v>
      </c>
      <c r="M181" s="17" t="e">
        <f t="shared" si="34"/>
        <v>#NUM!</v>
      </c>
      <c r="N181" s="17" t="e">
        <f t="shared" si="35"/>
        <v>#N/A</v>
      </c>
      <c r="O181" s="57" t="e">
        <f t="shared" si="36"/>
        <v>#N/A</v>
      </c>
      <c r="P181" s="17">
        <f>IF(ISERROR(O181),0,IF('R-AFC ISOTOPE'!$G$7=B181,O181,0))</f>
        <v>0</v>
      </c>
      <c r="Q181" s="70"/>
      <c r="S181" s="81"/>
      <c r="T181" s="30"/>
      <c r="U181" s="30"/>
      <c r="W181" s="30"/>
      <c r="X181" s="30"/>
      <c r="Y181" s="30"/>
      <c r="Z181" s="30"/>
      <c r="AA181" s="30"/>
      <c r="AB181" s="30"/>
      <c r="AC181" s="30"/>
      <c r="AD181" s="85"/>
      <c r="AE181" s="85"/>
      <c r="AF181" s="70"/>
      <c r="AH181" s="81"/>
      <c r="AI181" s="30"/>
      <c r="AJ181" s="30"/>
      <c r="AL181" s="30"/>
      <c r="AM181" s="30"/>
      <c r="AN181" s="30"/>
      <c r="AO181" s="30"/>
      <c r="AP181" s="30"/>
      <c r="AQ181" s="30"/>
      <c r="AR181" s="30"/>
      <c r="AS181" s="85"/>
      <c r="AT181" s="85"/>
      <c r="AU181" s="70"/>
      <c r="AW181" s="81"/>
      <c r="AX181" s="30"/>
      <c r="AY181" s="30"/>
      <c r="BA181" s="30"/>
      <c r="BB181" s="30"/>
      <c r="BC181" s="30"/>
      <c r="BD181" s="30"/>
      <c r="BE181" s="30"/>
      <c r="BF181" s="30"/>
      <c r="BG181" s="30"/>
      <c r="BH181" s="85"/>
      <c r="BI181" s="85"/>
      <c r="BJ181" s="70"/>
      <c r="BL181" s="81"/>
      <c r="BM181" s="30"/>
      <c r="BN181" s="30"/>
      <c r="BP181" s="30"/>
      <c r="BQ181" s="30"/>
      <c r="BR181" s="30"/>
      <c r="BS181" s="30"/>
      <c r="BT181" s="30"/>
      <c r="BU181" s="30"/>
      <c r="BV181" s="30"/>
      <c r="BW181" s="85"/>
      <c r="BX181" s="85"/>
      <c r="BY181" s="70"/>
      <c r="CA181" s="81"/>
      <c r="CB181" s="30"/>
      <c r="CC181" s="30"/>
      <c r="CE181" s="30"/>
      <c r="CF181" s="30"/>
      <c r="CG181" s="30"/>
      <c r="CH181" s="30"/>
      <c r="CI181" s="30"/>
      <c r="CJ181" s="30"/>
      <c r="CK181" s="30"/>
      <c r="CL181" s="85"/>
      <c r="CM181" s="85"/>
      <c r="CN181" s="70"/>
      <c r="CP181" s="81"/>
      <c r="CQ181" s="30"/>
      <c r="CR181" s="30"/>
      <c r="CT181" s="30"/>
      <c r="CU181" s="30"/>
      <c r="CV181" s="30"/>
      <c r="CW181" s="30"/>
      <c r="CX181" s="30"/>
      <c r="CY181" s="30"/>
      <c r="CZ181" s="30"/>
      <c r="DA181" s="85"/>
      <c r="DB181" s="85"/>
      <c r="DC181" s="70"/>
      <c r="DE181" s="81"/>
      <c r="DF181" s="30"/>
      <c r="DG181" s="30"/>
      <c r="DI181" s="30"/>
      <c r="DJ181" s="30"/>
      <c r="DK181" s="30"/>
      <c r="DL181" s="30"/>
      <c r="DM181" s="30"/>
      <c r="DN181" s="30"/>
      <c r="DO181" s="30"/>
      <c r="DP181" s="85"/>
      <c r="DQ181" s="85"/>
      <c r="DR181" s="70"/>
      <c r="DT181" s="81"/>
      <c r="DU181" s="30"/>
      <c r="DV181" s="30"/>
      <c r="DX181" s="30"/>
      <c r="DY181" s="30"/>
      <c r="DZ181" s="30"/>
      <c r="EA181" s="30"/>
      <c r="EB181" s="30"/>
      <c r="EC181" s="30"/>
      <c r="ED181" s="30"/>
      <c r="EE181" s="85"/>
      <c r="EF181" s="85"/>
      <c r="EG181" s="70"/>
      <c r="EI181" s="81"/>
      <c r="EJ181" s="30"/>
      <c r="EK181" s="30"/>
      <c r="EM181" s="30"/>
      <c r="EN181" s="30"/>
      <c r="EO181" s="30"/>
      <c r="EP181" s="30"/>
      <c r="EQ181" s="30"/>
      <c r="ER181" s="30"/>
      <c r="ES181" s="30"/>
      <c r="ET181" s="85"/>
      <c r="EU181" s="85"/>
      <c r="EV181" s="70"/>
    </row>
    <row r="182" spans="2:152">
      <c r="B182" s="11">
        <v>0.6</v>
      </c>
      <c r="C182" s="28">
        <f t="shared" si="26"/>
        <v>2.2799999999999998</v>
      </c>
      <c r="D182" s="16"/>
      <c r="E182" s="8"/>
      <c r="F182" s="27">
        <f t="shared" si="27"/>
        <v>2.0330578512396698</v>
      </c>
      <c r="G182" s="27">
        <f t="shared" si="28"/>
        <v>-1695.01893</v>
      </c>
      <c r="H182" s="27">
        <f t="shared" si="29"/>
        <v>667.46284473872015</v>
      </c>
      <c r="I182" s="27">
        <f t="shared" si="30"/>
        <v>-2.5394955589827908</v>
      </c>
      <c r="J182" s="27">
        <f t="shared" si="31"/>
        <v>0.32614566244799942</v>
      </c>
      <c r="K182" s="27" t="e">
        <f t="shared" si="32"/>
        <v>#NUM!</v>
      </c>
      <c r="L182" s="27" t="e">
        <f t="shared" si="33"/>
        <v>#NUM!</v>
      </c>
      <c r="M182" s="17" t="e">
        <f t="shared" si="34"/>
        <v>#NUM!</v>
      </c>
      <c r="N182" s="17" t="e">
        <f t="shared" si="35"/>
        <v>#N/A</v>
      </c>
      <c r="O182" s="57" t="e">
        <f t="shared" si="36"/>
        <v>#N/A</v>
      </c>
      <c r="P182" s="17">
        <f>IF(ISERROR(O182),0,IF('R-AFC ISOTOPE'!$G$7=B182,O182,0))</f>
        <v>0</v>
      </c>
      <c r="Q182" s="70"/>
      <c r="S182" s="81"/>
      <c r="T182" s="30"/>
      <c r="U182" s="30"/>
      <c r="W182" s="30"/>
      <c r="X182" s="30"/>
      <c r="Y182" s="30"/>
      <c r="Z182" s="30"/>
      <c r="AA182" s="30"/>
      <c r="AB182" s="30"/>
      <c r="AC182" s="30"/>
      <c r="AD182" s="85"/>
      <c r="AE182" s="85"/>
      <c r="AF182" s="70"/>
      <c r="AH182" s="81"/>
      <c r="AI182" s="30"/>
      <c r="AJ182" s="30"/>
      <c r="AL182" s="30"/>
      <c r="AM182" s="30"/>
      <c r="AN182" s="30"/>
      <c r="AO182" s="30"/>
      <c r="AP182" s="30"/>
      <c r="AQ182" s="30"/>
      <c r="AR182" s="30"/>
      <c r="AS182" s="85"/>
      <c r="AT182" s="85"/>
      <c r="AU182" s="70"/>
      <c r="AW182" s="81"/>
      <c r="AX182" s="30"/>
      <c r="AY182" s="30"/>
      <c r="BA182" s="30"/>
      <c r="BB182" s="30"/>
      <c r="BC182" s="30"/>
      <c r="BD182" s="30"/>
      <c r="BE182" s="30"/>
      <c r="BF182" s="30"/>
      <c r="BG182" s="30"/>
      <c r="BH182" s="85"/>
      <c r="BI182" s="85"/>
      <c r="BJ182" s="70"/>
      <c r="BL182" s="81"/>
      <c r="BM182" s="30"/>
      <c r="BN182" s="30"/>
      <c r="BP182" s="30"/>
      <c r="BQ182" s="30"/>
      <c r="BR182" s="30"/>
      <c r="BS182" s="30"/>
      <c r="BT182" s="30"/>
      <c r="BU182" s="30"/>
      <c r="BV182" s="30"/>
      <c r="BW182" s="85"/>
      <c r="BX182" s="85"/>
      <c r="BY182" s="70"/>
      <c r="CA182" s="81"/>
      <c r="CB182" s="30"/>
      <c r="CC182" s="30"/>
      <c r="CE182" s="30"/>
      <c r="CF182" s="30"/>
      <c r="CG182" s="30"/>
      <c r="CH182" s="30"/>
      <c r="CI182" s="30"/>
      <c r="CJ182" s="30"/>
      <c r="CK182" s="30"/>
      <c r="CL182" s="85"/>
      <c r="CM182" s="85"/>
      <c r="CN182" s="70"/>
      <c r="CP182" s="81"/>
      <c r="CQ182" s="30"/>
      <c r="CR182" s="30"/>
      <c r="CT182" s="30"/>
      <c r="CU182" s="30"/>
      <c r="CV182" s="30"/>
      <c r="CW182" s="30"/>
      <c r="CX182" s="30"/>
      <c r="CY182" s="30"/>
      <c r="CZ182" s="30"/>
      <c r="DA182" s="85"/>
      <c r="DB182" s="85"/>
      <c r="DC182" s="70"/>
      <c r="DE182" s="81"/>
      <c r="DF182" s="30"/>
      <c r="DG182" s="30"/>
      <c r="DI182" s="30"/>
      <c r="DJ182" s="30"/>
      <c r="DK182" s="30"/>
      <c r="DL182" s="30"/>
      <c r="DM182" s="30"/>
      <c r="DN182" s="30"/>
      <c r="DO182" s="30"/>
      <c r="DP182" s="85"/>
      <c r="DQ182" s="85"/>
      <c r="DR182" s="70"/>
      <c r="DT182" s="81"/>
      <c r="DU182" s="30"/>
      <c r="DV182" s="30"/>
      <c r="DX182" s="30"/>
      <c r="DY182" s="30"/>
      <c r="DZ182" s="30"/>
      <c r="EA182" s="30"/>
      <c r="EB182" s="30"/>
      <c r="EC182" s="30"/>
      <c r="ED182" s="30"/>
      <c r="EE182" s="85"/>
      <c r="EF182" s="85"/>
      <c r="EG182" s="70"/>
      <c r="EI182" s="81"/>
      <c r="EJ182" s="30"/>
      <c r="EK182" s="30"/>
      <c r="EM182" s="30"/>
      <c r="EN182" s="30"/>
      <c r="EO182" s="30"/>
      <c r="EP182" s="30"/>
      <c r="EQ182" s="30"/>
      <c r="ER182" s="30"/>
      <c r="ES182" s="30"/>
      <c r="ET182" s="85"/>
      <c r="EU182" s="85"/>
      <c r="EV182" s="70"/>
    </row>
    <row r="183" spans="2:152">
      <c r="B183" s="11">
        <v>0.61</v>
      </c>
      <c r="C183" s="28">
        <f t="shared" si="26"/>
        <v>2.2799999999999998</v>
      </c>
      <c r="D183" s="16"/>
      <c r="E183" s="8"/>
      <c r="F183" s="27">
        <f t="shared" si="27"/>
        <v>1.9992006394884094</v>
      </c>
      <c r="G183" s="27">
        <f t="shared" si="28"/>
        <v>-1705.4359299999999</v>
      </c>
      <c r="H183" s="27">
        <f t="shared" si="29"/>
        <v>683.15414269011103</v>
      </c>
      <c r="I183" s="27">
        <f t="shared" si="30"/>
        <v>-2.4964145328671616</v>
      </c>
      <c r="J183" s="27">
        <f t="shared" si="31"/>
        <v>0.33351117485709642</v>
      </c>
      <c r="K183" s="27" t="e">
        <f t="shared" si="32"/>
        <v>#NUM!</v>
      </c>
      <c r="L183" s="27" t="e">
        <f t="shared" si="33"/>
        <v>#NUM!</v>
      </c>
      <c r="M183" s="17" t="e">
        <f t="shared" si="34"/>
        <v>#NUM!</v>
      </c>
      <c r="N183" s="17" t="e">
        <f t="shared" si="35"/>
        <v>#N/A</v>
      </c>
      <c r="O183" s="57" t="e">
        <f t="shared" si="36"/>
        <v>#N/A</v>
      </c>
      <c r="P183" s="17">
        <f>IF(ISERROR(O183),0,IF('R-AFC ISOTOPE'!$G$7=B183,O183,0))</f>
        <v>0</v>
      </c>
      <c r="Q183" s="70"/>
      <c r="S183" s="81"/>
      <c r="T183" s="30"/>
      <c r="U183" s="30"/>
      <c r="W183" s="30"/>
      <c r="X183" s="30"/>
      <c r="Y183" s="30"/>
      <c r="Z183" s="30"/>
      <c r="AA183" s="30"/>
      <c r="AB183" s="30"/>
      <c r="AC183" s="30"/>
      <c r="AD183" s="85"/>
      <c r="AE183" s="85"/>
      <c r="AF183" s="70"/>
      <c r="AH183" s="81"/>
      <c r="AI183" s="30"/>
      <c r="AJ183" s="30"/>
      <c r="AL183" s="30"/>
      <c r="AM183" s="30"/>
      <c r="AN183" s="30"/>
      <c r="AO183" s="30"/>
      <c r="AP183" s="30"/>
      <c r="AQ183" s="30"/>
      <c r="AR183" s="30"/>
      <c r="AS183" s="85"/>
      <c r="AT183" s="85"/>
      <c r="AU183" s="70"/>
      <c r="AW183" s="81"/>
      <c r="AX183" s="30"/>
      <c r="AY183" s="30"/>
      <c r="BA183" s="30"/>
      <c r="BB183" s="30"/>
      <c r="BC183" s="30"/>
      <c r="BD183" s="30"/>
      <c r="BE183" s="30"/>
      <c r="BF183" s="30"/>
      <c r="BG183" s="30"/>
      <c r="BH183" s="85"/>
      <c r="BI183" s="85"/>
      <c r="BJ183" s="70"/>
      <c r="BL183" s="81"/>
      <c r="BM183" s="30"/>
      <c r="BN183" s="30"/>
      <c r="BP183" s="30"/>
      <c r="BQ183" s="30"/>
      <c r="BR183" s="30"/>
      <c r="BS183" s="30"/>
      <c r="BT183" s="30"/>
      <c r="BU183" s="30"/>
      <c r="BV183" s="30"/>
      <c r="BW183" s="85"/>
      <c r="BX183" s="85"/>
      <c r="BY183" s="70"/>
      <c r="CA183" s="81"/>
      <c r="CB183" s="30"/>
      <c r="CC183" s="30"/>
      <c r="CE183" s="30"/>
      <c r="CF183" s="30"/>
      <c r="CG183" s="30"/>
      <c r="CH183" s="30"/>
      <c r="CI183" s="30"/>
      <c r="CJ183" s="30"/>
      <c r="CK183" s="30"/>
      <c r="CL183" s="85"/>
      <c r="CM183" s="85"/>
      <c r="CN183" s="70"/>
      <c r="CP183" s="81"/>
      <c r="CQ183" s="30"/>
      <c r="CR183" s="30"/>
      <c r="CT183" s="30"/>
      <c r="CU183" s="30"/>
      <c r="CV183" s="30"/>
      <c r="CW183" s="30"/>
      <c r="CX183" s="30"/>
      <c r="CY183" s="30"/>
      <c r="CZ183" s="30"/>
      <c r="DA183" s="85"/>
      <c r="DB183" s="85"/>
      <c r="DC183" s="70"/>
      <c r="DE183" s="81"/>
      <c r="DF183" s="30"/>
      <c r="DG183" s="30"/>
      <c r="DI183" s="30"/>
      <c r="DJ183" s="30"/>
      <c r="DK183" s="30"/>
      <c r="DL183" s="30"/>
      <c r="DM183" s="30"/>
      <c r="DN183" s="30"/>
      <c r="DO183" s="30"/>
      <c r="DP183" s="85"/>
      <c r="DQ183" s="85"/>
      <c r="DR183" s="70"/>
      <c r="DT183" s="81"/>
      <c r="DU183" s="30"/>
      <c r="DV183" s="30"/>
      <c r="DX183" s="30"/>
      <c r="DY183" s="30"/>
      <c r="DZ183" s="30"/>
      <c r="EA183" s="30"/>
      <c r="EB183" s="30"/>
      <c r="EC183" s="30"/>
      <c r="ED183" s="30"/>
      <c r="EE183" s="85"/>
      <c r="EF183" s="85"/>
      <c r="EG183" s="70"/>
      <c r="EI183" s="81"/>
      <c r="EJ183" s="30"/>
      <c r="EK183" s="30"/>
      <c r="EM183" s="30"/>
      <c r="EN183" s="30"/>
      <c r="EO183" s="30"/>
      <c r="EP183" s="30"/>
      <c r="EQ183" s="30"/>
      <c r="ER183" s="30"/>
      <c r="ES183" s="30"/>
      <c r="ET183" s="85"/>
      <c r="EU183" s="85"/>
      <c r="EV183" s="70"/>
    </row>
    <row r="184" spans="2:152">
      <c r="B184" s="11">
        <v>0.62</v>
      </c>
      <c r="C184" s="28">
        <f t="shared" si="26"/>
        <v>2.2799999999999998</v>
      </c>
      <c r="D184" s="16"/>
      <c r="E184" s="8"/>
      <c r="F184" s="27">
        <f t="shared" si="27"/>
        <v>1.9674922600619196</v>
      </c>
      <c r="G184" s="27">
        <f t="shared" si="28"/>
        <v>-1715.8529299999996</v>
      </c>
      <c r="H184" s="27">
        <f t="shared" si="29"/>
        <v>698.84544064150168</v>
      </c>
      <c r="I184" s="27">
        <f t="shared" si="30"/>
        <v>-2.4552681182622309</v>
      </c>
      <c r="J184" s="27">
        <f t="shared" si="31"/>
        <v>0.34071741189260674</v>
      </c>
      <c r="K184" s="27" t="e">
        <f t="shared" si="32"/>
        <v>#NUM!</v>
      </c>
      <c r="L184" s="27" t="e">
        <f t="shared" si="33"/>
        <v>#NUM!</v>
      </c>
      <c r="M184" s="17" t="e">
        <f t="shared" si="34"/>
        <v>#NUM!</v>
      </c>
      <c r="N184" s="17" t="e">
        <f t="shared" si="35"/>
        <v>#N/A</v>
      </c>
      <c r="O184" s="57" t="e">
        <f t="shared" si="36"/>
        <v>#N/A</v>
      </c>
      <c r="P184" s="17">
        <f>IF(ISERROR(O184),0,IF('R-AFC ISOTOPE'!$G$7=B184,O184,0))</f>
        <v>0</v>
      </c>
      <c r="Q184" s="70"/>
      <c r="S184" s="81"/>
      <c r="T184" s="30"/>
      <c r="U184" s="30"/>
      <c r="W184" s="30"/>
      <c r="X184" s="30"/>
      <c r="Y184" s="30"/>
      <c r="Z184" s="30"/>
      <c r="AA184" s="30"/>
      <c r="AB184" s="30"/>
      <c r="AC184" s="30"/>
      <c r="AD184" s="85"/>
      <c r="AE184" s="85"/>
      <c r="AF184" s="70"/>
      <c r="AH184" s="81"/>
      <c r="AI184" s="30"/>
      <c r="AJ184" s="30"/>
      <c r="AL184" s="30"/>
      <c r="AM184" s="30"/>
      <c r="AN184" s="30"/>
      <c r="AO184" s="30"/>
      <c r="AP184" s="30"/>
      <c r="AQ184" s="30"/>
      <c r="AR184" s="30"/>
      <c r="AS184" s="85"/>
      <c r="AT184" s="85"/>
      <c r="AU184" s="70"/>
      <c r="AW184" s="81"/>
      <c r="AX184" s="30"/>
      <c r="AY184" s="30"/>
      <c r="BA184" s="30"/>
      <c r="BB184" s="30"/>
      <c r="BC184" s="30"/>
      <c r="BD184" s="30"/>
      <c r="BE184" s="30"/>
      <c r="BF184" s="30"/>
      <c r="BG184" s="30"/>
      <c r="BH184" s="85"/>
      <c r="BI184" s="85"/>
      <c r="BJ184" s="70"/>
      <c r="BL184" s="81"/>
      <c r="BM184" s="30"/>
      <c r="BN184" s="30"/>
      <c r="BP184" s="30"/>
      <c r="BQ184" s="30"/>
      <c r="BR184" s="30"/>
      <c r="BS184" s="30"/>
      <c r="BT184" s="30"/>
      <c r="BU184" s="30"/>
      <c r="BV184" s="30"/>
      <c r="BW184" s="85"/>
      <c r="BX184" s="85"/>
      <c r="BY184" s="70"/>
      <c r="CA184" s="81"/>
      <c r="CB184" s="30"/>
      <c r="CC184" s="30"/>
      <c r="CE184" s="30"/>
      <c r="CF184" s="30"/>
      <c r="CG184" s="30"/>
      <c r="CH184" s="30"/>
      <c r="CI184" s="30"/>
      <c r="CJ184" s="30"/>
      <c r="CK184" s="30"/>
      <c r="CL184" s="85"/>
      <c r="CM184" s="85"/>
      <c r="CN184" s="70"/>
      <c r="CP184" s="81"/>
      <c r="CQ184" s="30"/>
      <c r="CR184" s="30"/>
      <c r="CT184" s="30"/>
      <c r="CU184" s="30"/>
      <c r="CV184" s="30"/>
      <c r="CW184" s="30"/>
      <c r="CX184" s="30"/>
      <c r="CY184" s="30"/>
      <c r="CZ184" s="30"/>
      <c r="DA184" s="85"/>
      <c r="DB184" s="85"/>
      <c r="DC184" s="70"/>
      <c r="DE184" s="81"/>
      <c r="DF184" s="30"/>
      <c r="DG184" s="30"/>
      <c r="DI184" s="30"/>
      <c r="DJ184" s="30"/>
      <c r="DK184" s="30"/>
      <c r="DL184" s="30"/>
      <c r="DM184" s="30"/>
      <c r="DN184" s="30"/>
      <c r="DO184" s="30"/>
      <c r="DP184" s="85"/>
      <c r="DQ184" s="85"/>
      <c r="DR184" s="70"/>
      <c r="DT184" s="81"/>
      <c r="DU184" s="30"/>
      <c r="DV184" s="30"/>
      <c r="DX184" s="30"/>
      <c r="DY184" s="30"/>
      <c r="DZ184" s="30"/>
      <c r="EA184" s="30"/>
      <c r="EB184" s="30"/>
      <c r="EC184" s="30"/>
      <c r="ED184" s="30"/>
      <c r="EE184" s="85"/>
      <c r="EF184" s="85"/>
      <c r="EG184" s="70"/>
      <c r="EI184" s="81"/>
      <c r="EJ184" s="30"/>
      <c r="EK184" s="30"/>
      <c r="EM184" s="30"/>
      <c r="EN184" s="30"/>
      <c r="EO184" s="30"/>
      <c r="EP184" s="30"/>
      <c r="EQ184" s="30"/>
      <c r="ER184" s="30"/>
      <c r="ES184" s="30"/>
      <c r="ET184" s="85"/>
      <c r="EU184" s="85"/>
      <c r="EV184" s="70"/>
    </row>
    <row r="185" spans="2:152">
      <c r="B185" s="11">
        <v>0.63</v>
      </c>
      <c r="C185" s="28">
        <f t="shared" si="26"/>
        <v>2.2799999999999998</v>
      </c>
      <c r="D185" s="16"/>
      <c r="E185" s="8"/>
      <c r="F185" s="27">
        <f t="shared" si="27"/>
        <v>1.9377344336084024</v>
      </c>
      <c r="G185" s="27">
        <f t="shared" si="28"/>
        <v>-1726.2699299999995</v>
      </c>
      <c r="H185" s="27">
        <f t="shared" si="29"/>
        <v>714.53673859289268</v>
      </c>
      <c r="I185" s="27">
        <f t="shared" si="30"/>
        <v>-2.4159288623835784</v>
      </c>
      <c r="J185" s="27">
        <f t="shared" si="31"/>
        <v>0.34776948466262869</v>
      </c>
      <c r="K185" s="27" t="e">
        <f t="shared" si="32"/>
        <v>#NUM!</v>
      </c>
      <c r="L185" s="27" t="e">
        <f t="shared" si="33"/>
        <v>#NUM!</v>
      </c>
      <c r="M185" s="17" t="e">
        <f t="shared" si="34"/>
        <v>#NUM!</v>
      </c>
      <c r="N185" s="17" t="e">
        <f t="shared" si="35"/>
        <v>#N/A</v>
      </c>
      <c r="O185" s="57" t="e">
        <f t="shared" si="36"/>
        <v>#N/A</v>
      </c>
      <c r="P185" s="17">
        <f>IF(ISERROR(O185),0,IF('R-AFC ISOTOPE'!$G$7=B185,O185,0))</f>
        <v>0</v>
      </c>
      <c r="Q185" s="70"/>
      <c r="S185" s="81"/>
      <c r="T185" s="30"/>
      <c r="U185" s="30"/>
      <c r="W185" s="30"/>
      <c r="X185" s="30"/>
      <c r="Y185" s="30"/>
      <c r="Z185" s="30"/>
      <c r="AA185" s="30"/>
      <c r="AB185" s="30"/>
      <c r="AC185" s="30"/>
      <c r="AD185" s="85"/>
      <c r="AE185" s="85"/>
      <c r="AF185" s="70"/>
      <c r="AH185" s="81"/>
      <c r="AI185" s="30"/>
      <c r="AJ185" s="30"/>
      <c r="AL185" s="30"/>
      <c r="AM185" s="30"/>
      <c r="AN185" s="30"/>
      <c r="AO185" s="30"/>
      <c r="AP185" s="30"/>
      <c r="AQ185" s="30"/>
      <c r="AR185" s="30"/>
      <c r="AS185" s="85"/>
      <c r="AT185" s="85"/>
      <c r="AU185" s="70"/>
      <c r="AW185" s="81"/>
      <c r="AX185" s="30"/>
      <c r="AY185" s="30"/>
      <c r="BA185" s="30"/>
      <c r="BB185" s="30"/>
      <c r="BC185" s="30"/>
      <c r="BD185" s="30"/>
      <c r="BE185" s="30"/>
      <c r="BF185" s="30"/>
      <c r="BG185" s="30"/>
      <c r="BH185" s="85"/>
      <c r="BI185" s="85"/>
      <c r="BJ185" s="70"/>
      <c r="BL185" s="81"/>
      <c r="BM185" s="30"/>
      <c r="BN185" s="30"/>
      <c r="BP185" s="30"/>
      <c r="BQ185" s="30"/>
      <c r="BR185" s="30"/>
      <c r="BS185" s="30"/>
      <c r="BT185" s="30"/>
      <c r="BU185" s="30"/>
      <c r="BV185" s="30"/>
      <c r="BW185" s="85"/>
      <c r="BX185" s="85"/>
      <c r="BY185" s="70"/>
      <c r="CA185" s="81"/>
      <c r="CB185" s="30"/>
      <c r="CC185" s="30"/>
      <c r="CE185" s="30"/>
      <c r="CF185" s="30"/>
      <c r="CG185" s="30"/>
      <c r="CH185" s="30"/>
      <c r="CI185" s="30"/>
      <c r="CJ185" s="30"/>
      <c r="CK185" s="30"/>
      <c r="CL185" s="85"/>
      <c r="CM185" s="85"/>
      <c r="CN185" s="70"/>
      <c r="CP185" s="81"/>
      <c r="CQ185" s="30"/>
      <c r="CR185" s="30"/>
      <c r="CT185" s="30"/>
      <c r="CU185" s="30"/>
      <c r="CV185" s="30"/>
      <c r="CW185" s="30"/>
      <c r="CX185" s="30"/>
      <c r="CY185" s="30"/>
      <c r="CZ185" s="30"/>
      <c r="DA185" s="85"/>
      <c r="DB185" s="85"/>
      <c r="DC185" s="70"/>
      <c r="DE185" s="81"/>
      <c r="DF185" s="30"/>
      <c r="DG185" s="30"/>
      <c r="DI185" s="30"/>
      <c r="DJ185" s="30"/>
      <c r="DK185" s="30"/>
      <c r="DL185" s="30"/>
      <c r="DM185" s="30"/>
      <c r="DN185" s="30"/>
      <c r="DO185" s="30"/>
      <c r="DP185" s="85"/>
      <c r="DQ185" s="85"/>
      <c r="DR185" s="70"/>
      <c r="DT185" s="81"/>
      <c r="DU185" s="30"/>
      <c r="DV185" s="30"/>
      <c r="DX185" s="30"/>
      <c r="DY185" s="30"/>
      <c r="DZ185" s="30"/>
      <c r="EA185" s="30"/>
      <c r="EB185" s="30"/>
      <c r="EC185" s="30"/>
      <c r="ED185" s="30"/>
      <c r="EE185" s="85"/>
      <c r="EF185" s="85"/>
      <c r="EG185" s="70"/>
      <c r="EI185" s="81"/>
      <c r="EJ185" s="30"/>
      <c r="EK185" s="30"/>
      <c r="EM185" s="30"/>
      <c r="EN185" s="30"/>
      <c r="EO185" s="30"/>
      <c r="EP185" s="30"/>
      <c r="EQ185" s="30"/>
      <c r="ER185" s="30"/>
      <c r="ES185" s="30"/>
      <c r="ET185" s="85"/>
      <c r="EU185" s="85"/>
      <c r="EV185" s="70"/>
    </row>
    <row r="186" spans="2:152">
      <c r="B186" s="11">
        <v>0.64</v>
      </c>
      <c r="C186" s="28">
        <f t="shared" si="26"/>
        <v>2.2799999999999998</v>
      </c>
      <c r="D186" s="16"/>
      <c r="E186" s="8"/>
      <c r="F186" s="27">
        <f t="shared" si="27"/>
        <v>1.9097525473071326</v>
      </c>
      <c r="G186" s="27">
        <f t="shared" si="28"/>
        <v>-1736.6869299999994</v>
      </c>
      <c r="H186" s="27">
        <f t="shared" si="29"/>
        <v>730.22803654428355</v>
      </c>
      <c r="I186" s="27">
        <f t="shared" si="30"/>
        <v>-2.3782802673787513</v>
      </c>
      <c r="J186" s="27">
        <f t="shared" si="31"/>
        <v>0.35467228790406807</v>
      </c>
      <c r="K186" s="27" t="e">
        <f t="shared" si="32"/>
        <v>#NUM!</v>
      </c>
      <c r="L186" s="27" t="e">
        <f t="shared" si="33"/>
        <v>#NUM!</v>
      </c>
      <c r="M186" s="17" t="e">
        <f t="shared" si="34"/>
        <v>#NUM!</v>
      </c>
      <c r="N186" s="17" t="e">
        <f t="shared" si="35"/>
        <v>#N/A</v>
      </c>
      <c r="O186" s="57" t="e">
        <f t="shared" si="36"/>
        <v>#N/A</v>
      </c>
      <c r="P186" s="17">
        <f>IF(ISERROR(O186),0,IF('R-AFC ISOTOPE'!$G$7=B186,O186,0))</f>
        <v>0</v>
      </c>
      <c r="Q186" s="70"/>
      <c r="S186" s="81"/>
      <c r="T186" s="30"/>
      <c r="U186" s="30"/>
      <c r="W186" s="30"/>
      <c r="X186" s="30"/>
      <c r="Y186" s="30"/>
      <c r="Z186" s="30"/>
      <c r="AA186" s="30"/>
      <c r="AB186" s="30"/>
      <c r="AC186" s="30"/>
      <c r="AD186" s="85"/>
      <c r="AE186" s="85"/>
      <c r="AF186" s="70"/>
      <c r="AH186" s="81"/>
      <c r="AI186" s="30"/>
      <c r="AJ186" s="30"/>
      <c r="AL186" s="30"/>
      <c r="AM186" s="30"/>
      <c r="AN186" s="30"/>
      <c r="AO186" s="30"/>
      <c r="AP186" s="30"/>
      <c r="AQ186" s="30"/>
      <c r="AR186" s="30"/>
      <c r="AS186" s="85"/>
      <c r="AT186" s="85"/>
      <c r="AU186" s="70"/>
      <c r="AW186" s="81"/>
      <c r="AX186" s="30"/>
      <c r="AY186" s="30"/>
      <c r="BA186" s="30"/>
      <c r="BB186" s="30"/>
      <c r="BC186" s="30"/>
      <c r="BD186" s="30"/>
      <c r="BE186" s="30"/>
      <c r="BF186" s="30"/>
      <c r="BG186" s="30"/>
      <c r="BH186" s="85"/>
      <c r="BI186" s="85"/>
      <c r="BJ186" s="70"/>
      <c r="BL186" s="81"/>
      <c r="BM186" s="30"/>
      <c r="BN186" s="30"/>
      <c r="BP186" s="30"/>
      <c r="BQ186" s="30"/>
      <c r="BR186" s="30"/>
      <c r="BS186" s="30"/>
      <c r="BT186" s="30"/>
      <c r="BU186" s="30"/>
      <c r="BV186" s="30"/>
      <c r="BW186" s="85"/>
      <c r="BX186" s="85"/>
      <c r="BY186" s="70"/>
      <c r="CA186" s="81"/>
      <c r="CB186" s="30"/>
      <c r="CC186" s="30"/>
      <c r="CE186" s="30"/>
      <c r="CF186" s="30"/>
      <c r="CG186" s="30"/>
      <c r="CH186" s="30"/>
      <c r="CI186" s="30"/>
      <c r="CJ186" s="30"/>
      <c r="CK186" s="30"/>
      <c r="CL186" s="85"/>
      <c r="CM186" s="85"/>
      <c r="CN186" s="70"/>
      <c r="CP186" s="81"/>
      <c r="CQ186" s="30"/>
      <c r="CR186" s="30"/>
      <c r="CT186" s="30"/>
      <c r="CU186" s="30"/>
      <c r="CV186" s="30"/>
      <c r="CW186" s="30"/>
      <c r="CX186" s="30"/>
      <c r="CY186" s="30"/>
      <c r="CZ186" s="30"/>
      <c r="DA186" s="85"/>
      <c r="DB186" s="85"/>
      <c r="DC186" s="70"/>
      <c r="DE186" s="81"/>
      <c r="DF186" s="30"/>
      <c r="DG186" s="30"/>
      <c r="DI186" s="30"/>
      <c r="DJ186" s="30"/>
      <c r="DK186" s="30"/>
      <c r="DL186" s="30"/>
      <c r="DM186" s="30"/>
      <c r="DN186" s="30"/>
      <c r="DO186" s="30"/>
      <c r="DP186" s="85"/>
      <c r="DQ186" s="85"/>
      <c r="DR186" s="70"/>
      <c r="DT186" s="81"/>
      <c r="DU186" s="30"/>
      <c r="DV186" s="30"/>
      <c r="DX186" s="30"/>
      <c r="DY186" s="30"/>
      <c r="DZ186" s="30"/>
      <c r="EA186" s="30"/>
      <c r="EB186" s="30"/>
      <c r="EC186" s="30"/>
      <c r="ED186" s="30"/>
      <c r="EE186" s="85"/>
      <c r="EF186" s="85"/>
      <c r="EG186" s="70"/>
      <c r="EI186" s="81"/>
      <c r="EJ186" s="30"/>
      <c r="EK186" s="30"/>
      <c r="EM186" s="30"/>
      <c r="EN186" s="30"/>
      <c r="EO186" s="30"/>
      <c r="EP186" s="30"/>
      <c r="EQ186" s="30"/>
      <c r="ER186" s="30"/>
      <c r="ES186" s="30"/>
      <c r="ET186" s="85"/>
      <c r="EU186" s="85"/>
      <c r="EV186" s="70"/>
    </row>
    <row r="187" spans="2:152">
      <c r="B187" s="11">
        <v>0.65</v>
      </c>
      <c r="C187" s="28">
        <f t="shared" si="26"/>
        <v>2.2799999999999998</v>
      </c>
      <c r="D187" s="16"/>
      <c r="E187" s="8"/>
      <c r="F187" s="27">
        <f t="shared" si="27"/>
        <v>1.8833922261484097</v>
      </c>
      <c r="G187" s="27">
        <f t="shared" si="28"/>
        <v>-1747.1039300000002</v>
      </c>
      <c r="H187" s="27">
        <f t="shared" si="29"/>
        <v>745.91933449567432</v>
      </c>
      <c r="I187" s="27">
        <f t="shared" si="30"/>
        <v>-2.342215638077326</v>
      </c>
      <c r="J187" s="27">
        <f t="shared" si="31"/>
        <v>0.36143051131242376</v>
      </c>
      <c r="K187" s="27" t="e">
        <f t="shared" si="32"/>
        <v>#NUM!</v>
      </c>
      <c r="L187" s="27" t="e">
        <f t="shared" si="33"/>
        <v>#NUM!</v>
      </c>
      <c r="M187" s="17" t="e">
        <f t="shared" si="34"/>
        <v>#NUM!</v>
      </c>
      <c r="N187" s="17" t="e">
        <f t="shared" si="35"/>
        <v>#N/A</v>
      </c>
      <c r="O187" s="57" t="e">
        <f t="shared" si="36"/>
        <v>#N/A</v>
      </c>
      <c r="P187" s="17">
        <f>IF(ISERROR(O187),0,IF('R-AFC ISOTOPE'!$G$7=B187,O187,0))</f>
        <v>0</v>
      </c>
      <c r="Q187" s="70"/>
      <c r="S187" s="81"/>
      <c r="T187" s="30"/>
      <c r="U187" s="30"/>
      <c r="W187" s="30"/>
      <c r="X187" s="30"/>
      <c r="Y187" s="30"/>
      <c r="Z187" s="30"/>
      <c r="AA187" s="30"/>
      <c r="AB187" s="30"/>
      <c r="AC187" s="30"/>
      <c r="AD187" s="85"/>
      <c r="AE187" s="85"/>
      <c r="AF187" s="70"/>
      <c r="AH187" s="81"/>
      <c r="AI187" s="30"/>
      <c r="AJ187" s="30"/>
      <c r="AL187" s="30"/>
      <c r="AM187" s="30"/>
      <c r="AN187" s="30"/>
      <c r="AO187" s="30"/>
      <c r="AP187" s="30"/>
      <c r="AQ187" s="30"/>
      <c r="AR187" s="30"/>
      <c r="AS187" s="85"/>
      <c r="AT187" s="85"/>
      <c r="AU187" s="70"/>
      <c r="AW187" s="81"/>
      <c r="AX187" s="30"/>
      <c r="AY187" s="30"/>
      <c r="BA187" s="30"/>
      <c r="BB187" s="30"/>
      <c r="BC187" s="30"/>
      <c r="BD187" s="30"/>
      <c r="BE187" s="30"/>
      <c r="BF187" s="30"/>
      <c r="BG187" s="30"/>
      <c r="BH187" s="85"/>
      <c r="BI187" s="85"/>
      <c r="BJ187" s="70"/>
      <c r="BL187" s="81"/>
      <c r="BM187" s="30"/>
      <c r="BN187" s="30"/>
      <c r="BP187" s="30"/>
      <c r="BQ187" s="30"/>
      <c r="BR187" s="30"/>
      <c r="BS187" s="30"/>
      <c r="BT187" s="30"/>
      <c r="BU187" s="30"/>
      <c r="BV187" s="30"/>
      <c r="BW187" s="85"/>
      <c r="BX187" s="85"/>
      <c r="BY187" s="70"/>
      <c r="CA187" s="81"/>
      <c r="CB187" s="30"/>
      <c r="CC187" s="30"/>
      <c r="CE187" s="30"/>
      <c r="CF187" s="30"/>
      <c r="CG187" s="30"/>
      <c r="CH187" s="30"/>
      <c r="CI187" s="30"/>
      <c r="CJ187" s="30"/>
      <c r="CK187" s="30"/>
      <c r="CL187" s="85"/>
      <c r="CM187" s="85"/>
      <c r="CN187" s="70"/>
      <c r="CP187" s="81"/>
      <c r="CQ187" s="30"/>
      <c r="CR187" s="30"/>
      <c r="CT187" s="30"/>
      <c r="CU187" s="30"/>
      <c r="CV187" s="30"/>
      <c r="CW187" s="30"/>
      <c r="CX187" s="30"/>
      <c r="CY187" s="30"/>
      <c r="CZ187" s="30"/>
      <c r="DA187" s="85"/>
      <c r="DB187" s="85"/>
      <c r="DC187" s="70"/>
      <c r="DE187" s="81"/>
      <c r="DF187" s="30"/>
      <c r="DG187" s="30"/>
      <c r="DI187" s="30"/>
      <c r="DJ187" s="30"/>
      <c r="DK187" s="30"/>
      <c r="DL187" s="30"/>
      <c r="DM187" s="30"/>
      <c r="DN187" s="30"/>
      <c r="DO187" s="30"/>
      <c r="DP187" s="85"/>
      <c r="DQ187" s="85"/>
      <c r="DR187" s="70"/>
      <c r="DT187" s="81"/>
      <c r="DU187" s="30"/>
      <c r="DV187" s="30"/>
      <c r="DX187" s="30"/>
      <c r="DY187" s="30"/>
      <c r="DZ187" s="30"/>
      <c r="EA187" s="30"/>
      <c r="EB187" s="30"/>
      <c r="EC187" s="30"/>
      <c r="ED187" s="30"/>
      <c r="EE187" s="85"/>
      <c r="EF187" s="85"/>
      <c r="EG187" s="70"/>
      <c r="EI187" s="81"/>
      <c r="EJ187" s="30"/>
      <c r="EK187" s="30"/>
      <c r="EM187" s="30"/>
      <c r="EN187" s="30"/>
      <c r="EO187" s="30"/>
      <c r="EP187" s="30"/>
      <c r="EQ187" s="30"/>
      <c r="ER187" s="30"/>
      <c r="ES187" s="30"/>
      <c r="ET187" s="85"/>
      <c r="EU187" s="85"/>
      <c r="EV187" s="70"/>
    </row>
    <row r="188" spans="2:152">
      <c r="B188" s="11">
        <v>0.66</v>
      </c>
      <c r="C188" s="28">
        <f t="shared" ref="C188:C222" si="37">$F$8</f>
        <v>2.2799999999999998</v>
      </c>
      <c r="D188" s="16"/>
      <c r="E188" s="8"/>
      <c r="F188" s="27">
        <f t="shared" ref="F188:F222" si="38">(((1+C188)*B188)/(((1+C188)*B188)-1))</f>
        <v>1.8585164835164836</v>
      </c>
      <c r="G188" s="27">
        <f t="shared" ref="G188:G222" si="39">(B188*(C188*$E$123+$C$116))-($C$114*(($C$117+(C188+1)*B188-1)))</f>
        <v>-1757.5209300000004</v>
      </c>
      <c r="H188" s="27">
        <f t="shared" ref="H188:H222" si="40">(B188*(C188*$E$123+$C$116))-($D$123*(($C$117+(C188+1)*B188-1)))</f>
        <v>761.61063244706497</v>
      </c>
      <c r="I188" s="27">
        <f t="shared" ref="I188:I222" si="41">(G188/H188)</f>
        <v>-2.3076370721782893</v>
      </c>
      <c r="J188" s="27">
        <f t="shared" ref="J188:J222" si="42">((C188+1)*B188-1)/((C188+1)*B188+$C$117-1)</f>
        <v>0.36804865016704058</v>
      </c>
      <c r="K188" s="27" t="e">
        <f t="shared" ref="K188:K222" si="43">I188^J188</f>
        <v>#NUM!</v>
      </c>
      <c r="L188" s="27" t="e">
        <f t="shared" ref="L188:L222" si="44">(K188-1)*F188</f>
        <v>#NUM!</v>
      </c>
      <c r="M188" s="17" t="e">
        <f t="shared" ref="M188:M222" si="45">L188/(C188*(1+L188)+1)</f>
        <v>#NUM!</v>
      </c>
      <c r="N188" s="17" t="e">
        <f t="shared" ref="N188:N222" si="46">IFERROR(M188,NA())</f>
        <v>#N/A</v>
      </c>
      <c r="O188" s="57" t="e">
        <f t="shared" ref="O188:O222" si="47">IF($C$114=0,NA(),IF(N188&lt;0,NA(),IF(ISERROR(N188),NA(),N188)))</f>
        <v>#N/A</v>
      </c>
      <c r="P188" s="17">
        <f>IF(ISERROR(O188),0,IF('R-AFC ISOTOPE'!$G$7=B188,O188,0))</f>
        <v>0</v>
      </c>
      <c r="Q188" s="70"/>
      <c r="S188" s="81"/>
      <c r="T188" s="30"/>
      <c r="U188" s="30"/>
      <c r="W188" s="30"/>
      <c r="X188" s="30"/>
      <c r="Y188" s="30"/>
      <c r="Z188" s="30"/>
      <c r="AA188" s="30"/>
      <c r="AB188" s="30"/>
      <c r="AC188" s="30"/>
      <c r="AD188" s="85"/>
      <c r="AE188" s="85"/>
      <c r="AF188" s="70"/>
      <c r="AH188" s="81"/>
      <c r="AI188" s="30"/>
      <c r="AJ188" s="30"/>
      <c r="AL188" s="30"/>
      <c r="AM188" s="30"/>
      <c r="AN188" s="30"/>
      <c r="AO188" s="30"/>
      <c r="AP188" s="30"/>
      <c r="AQ188" s="30"/>
      <c r="AR188" s="30"/>
      <c r="AS188" s="85"/>
      <c r="AT188" s="85"/>
      <c r="AU188" s="70"/>
      <c r="AW188" s="81"/>
      <c r="AX188" s="30"/>
      <c r="AY188" s="30"/>
      <c r="BA188" s="30"/>
      <c r="BB188" s="30"/>
      <c r="BC188" s="30"/>
      <c r="BD188" s="30"/>
      <c r="BE188" s="30"/>
      <c r="BF188" s="30"/>
      <c r="BG188" s="30"/>
      <c r="BH188" s="85"/>
      <c r="BI188" s="85"/>
      <c r="BJ188" s="70"/>
      <c r="BL188" s="81"/>
      <c r="BM188" s="30"/>
      <c r="BN188" s="30"/>
      <c r="BP188" s="30"/>
      <c r="BQ188" s="30"/>
      <c r="BR188" s="30"/>
      <c r="BS188" s="30"/>
      <c r="BT188" s="30"/>
      <c r="BU188" s="30"/>
      <c r="BV188" s="30"/>
      <c r="BW188" s="85"/>
      <c r="BX188" s="85"/>
      <c r="BY188" s="70"/>
      <c r="CA188" s="81"/>
      <c r="CB188" s="30"/>
      <c r="CC188" s="30"/>
      <c r="CE188" s="30"/>
      <c r="CF188" s="30"/>
      <c r="CG188" s="30"/>
      <c r="CH188" s="30"/>
      <c r="CI188" s="30"/>
      <c r="CJ188" s="30"/>
      <c r="CK188" s="30"/>
      <c r="CL188" s="85"/>
      <c r="CM188" s="85"/>
      <c r="CN188" s="70"/>
      <c r="CP188" s="81"/>
      <c r="CQ188" s="30"/>
      <c r="CR188" s="30"/>
      <c r="CT188" s="30"/>
      <c r="CU188" s="30"/>
      <c r="CV188" s="30"/>
      <c r="CW188" s="30"/>
      <c r="CX188" s="30"/>
      <c r="CY188" s="30"/>
      <c r="CZ188" s="30"/>
      <c r="DA188" s="85"/>
      <c r="DB188" s="85"/>
      <c r="DC188" s="70"/>
      <c r="DE188" s="81"/>
      <c r="DF188" s="30"/>
      <c r="DG188" s="30"/>
      <c r="DI188" s="30"/>
      <c r="DJ188" s="30"/>
      <c r="DK188" s="30"/>
      <c r="DL188" s="30"/>
      <c r="DM188" s="30"/>
      <c r="DN188" s="30"/>
      <c r="DO188" s="30"/>
      <c r="DP188" s="85"/>
      <c r="DQ188" s="85"/>
      <c r="DR188" s="70"/>
      <c r="DT188" s="81"/>
      <c r="DU188" s="30"/>
      <c r="DV188" s="30"/>
      <c r="DX188" s="30"/>
      <c r="DY188" s="30"/>
      <c r="DZ188" s="30"/>
      <c r="EA188" s="30"/>
      <c r="EB188" s="30"/>
      <c r="EC188" s="30"/>
      <c r="ED188" s="30"/>
      <c r="EE188" s="85"/>
      <c r="EF188" s="85"/>
      <c r="EG188" s="70"/>
      <c r="EI188" s="81"/>
      <c r="EJ188" s="30"/>
      <c r="EK188" s="30"/>
      <c r="EM188" s="30"/>
      <c r="EN188" s="30"/>
      <c r="EO188" s="30"/>
      <c r="EP188" s="30"/>
      <c r="EQ188" s="30"/>
      <c r="ER188" s="30"/>
      <c r="ES188" s="30"/>
      <c r="ET188" s="85"/>
      <c r="EU188" s="85"/>
      <c r="EV188" s="70"/>
    </row>
    <row r="189" spans="2:152">
      <c r="B189" s="11">
        <v>0.67</v>
      </c>
      <c r="C189" s="28">
        <f t="shared" si="37"/>
        <v>2.2799999999999998</v>
      </c>
      <c r="D189" s="16"/>
      <c r="E189" s="8"/>
      <c r="F189" s="27">
        <f t="shared" si="38"/>
        <v>1.8350033400133601</v>
      </c>
      <c r="G189" s="27">
        <f t="shared" si="39"/>
        <v>-1767.9379300000003</v>
      </c>
      <c r="H189" s="27">
        <f t="shared" si="40"/>
        <v>777.30193039845585</v>
      </c>
      <c r="I189" s="27">
        <f t="shared" si="41"/>
        <v>-2.2744545727472083</v>
      </c>
      <c r="J189" s="27">
        <f t="shared" si="42"/>
        <v>0.37453101530241906</v>
      </c>
      <c r="K189" s="27" t="e">
        <f t="shared" si="43"/>
        <v>#NUM!</v>
      </c>
      <c r="L189" s="27" t="e">
        <f t="shared" si="44"/>
        <v>#NUM!</v>
      </c>
      <c r="M189" s="17" t="e">
        <f t="shared" si="45"/>
        <v>#NUM!</v>
      </c>
      <c r="N189" s="17" t="e">
        <f t="shared" si="46"/>
        <v>#N/A</v>
      </c>
      <c r="O189" s="57" t="e">
        <f t="shared" si="47"/>
        <v>#N/A</v>
      </c>
      <c r="P189" s="17">
        <f>IF(ISERROR(O189),0,IF('R-AFC ISOTOPE'!$G$7=B189,O189,0))</f>
        <v>0</v>
      </c>
      <c r="Q189" s="70"/>
      <c r="S189" s="81"/>
      <c r="T189" s="30"/>
      <c r="U189" s="30"/>
      <c r="W189" s="30"/>
      <c r="X189" s="30"/>
      <c r="Y189" s="30"/>
      <c r="Z189" s="30"/>
      <c r="AA189" s="30"/>
      <c r="AB189" s="30"/>
      <c r="AC189" s="30"/>
      <c r="AD189" s="85"/>
      <c r="AE189" s="85"/>
      <c r="AF189" s="70"/>
      <c r="AH189" s="81"/>
      <c r="AI189" s="30"/>
      <c r="AJ189" s="30"/>
      <c r="AL189" s="30"/>
      <c r="AM189" s="30"/>
      <c r="AN189" s="30"/>
      <c r="AO189" s="30"/>
      <c r="AP189" s="30"/>
      <c r="AQ189" s="30"/>
      <c r="AR189" s="30"/>
      <c r="AS189" s="85"/>
      <c r="AT189" s="85"/>
      <c r="AU189" s="70"/>
      <c r="AW189" s="81"/>
      <c r="AX189" s="30"/>
      <c r="AY189" s="30"/>
      <c r="BA189" s="30"/>
      <c r="BB189" s="30"/>
      <c r="BC189" s="30"/>
      <c r="BD189" s="30"/>
      <c r="BE189" s="30"/>
      <c r="BF189" s="30"/>
      <c r="BG189" s="30"/>
      <c r="BH189" s="85"/>
      <c r="BI189" s="85"/>
      <c r="BJ189" s="70"/>
      <c r="BL189" s="81"/>
      <c r="BM189" s="30"/>
      <c r="BN189" s="30"/>
      <c r="BP189" s="30"/>
      <c r="BQ189" s="30"/>
      <c r="BR189" s="30"/>
      <c r="BS189" s="30"/>
      <c r="BT189" s="30"/>
      <c r="BU189" s="30"/>
      <c r="BV189" s="30"/>
      <c r="BW189" s="85"/>
      <c r="BX189" s="85"/>
      <c r="BY189" s="70"/>
      <c r="CA189" s="81"/>
      <c r="CB189" s="30"/>
      <c r="CC189" s="30"/>
      <c r="CE189" s="30"/>
      <c r="CF189" s="30"/>
      <c r="CG189" s="30"/>
      <c r="CH189" s="30"/>
      <c r="CI189" s="30"/>
      <c r="CJ189" s="30"/>
      <c r="CK189" s="30"/>
      <c r="CL189" s="85"/>
      <c r="CM189" s="85"/>
      <c r="CN189" s="70"/>
      <c r="CP189" s="81"/>
      <c r="CQ189" s="30"/>
      <c r="CR189" s="30"/>
      <c r="CT189" s="30"/>
      <c r="CU189" s="30"/>
      <c r="CV189" s="30"/>
      <c r="CW189" s="30"/>
      <c r="CX189" s="30"/>
      <c r="CY189" s="30"/>
      <c r="CZ189" s="30"/>
      <c r="DA189" s="85"/>
      <c r="DB189" s="85"/>
      <c r="DC189" s="70"/>
      <c r="DE189" s="81"/>
      <c r="DF189" s="30"/>
      <c r="DG189" s="30"/>
      <c r="DI189" s="30"/>
      <c r="DJ189" s="30"/>
      <c r="DK189" s="30"/>
      <c r="DL189" s="30"/>
      <c r="DM189" s="30"/>
      <c r="DN189" s="30"/>
      <c r="DO189" s="30"/>
      <c r="DP189" s="85"/>
      <c r="DQ189" s="85"/>
      <c r="DR189" s="70"/>
      <c r="DT189" s="81"/>
      <c r="DU189" s="30"/>
      <c r="DV189" s="30"/>
      <c r="DX189" s="30"/>
      <c r="DY189" s="30"/>
      <c r="DZ189" s="30"/>
      <c r="EA189" s="30"/>
      <c r="EB189" s="30"/>
      <c r="EC189" s="30"/>
      <c r="ED189" s="30"/>
      <c r="EE189" s="85"/>
      <c r="EF189" s="85"/>
      <c r="EG189" s="70"/>
      <c r="EI189" s="81"/>
      <c r="EJ189" s="30"/>
      <c r="EK189" s="30"/>
      <c r="EM189" s="30"/>
      <c r="EN189" s="30"/>
      <c r="EO189" s="30"/>
      <c r="EP189" s="30"/>
      <c r="EQ189" s="30"/>
      <c r="ER189" s="30"/>
      <c r="ES189" s="30"/>
      <c r="ET189" s="85"/>
      <c r="EU189" s="85"/>
      <c r="EV189" s="70"/>
    </row>
    <row r="190" spans="2:152">
      <c r="B190" s="11">
        <v>0.68</v>
      </c>
      <c r="C190" s="28">
        <f t="shared" si="37"/>
        <v>2.2799999999999998</v>
      </c>
      <c r="D190" s="16"/>
      <c r="E190" s="8"/>
      <c r="F190" s="27">
        <f t="shared" si="38"/>
        <v>1.8127438231469442</v>
      </c>
      <c r="G190" s="27">
        <f t="shared" si="39"/>
        <v>-1778.3549300000002</v>
      </c>
      <c r="H190" s="27">
        <f t="shared" si="40"/>
        <v>792.99322834984685</v>
      </c>
      <c r="I190" s="27">
        <f t="shared" si="41"/>
        <v>-2.2425852660817918</v>
      </c>
      <c r="J190" s="27">
        <f t="shared" si="42"/>
        <v>0.38088174247205991</v>
      </c>
      <c r="K190" s="27" t="e">
        <f t="shared" si="43"/>
        <v>#NUM!</v>
      </c>
      <c r="L190" s="27" t="e">
        <f t="shared" si="44"/>
        <v>#NUM!</v>
      </c>
      <c r="M190" s="17" t="e">
        <f t="shared" si="45"/>
        <v>#NUM!</v>
      </c>
      <c r="N190" s="17" t="e">
        <f t="shared" si="46"/>
        <v>#N/A</v>
      </c>
      <c r="O190" s="57" t="e">
        <f t="shared" si="47"/>
        <v>#N/A</v>
      </c>
      <c r="P190" s="17">
        <f>IF(ISERROR(O190),0,IF('R-AFC ISOTOPE'!$G$7=B190,O190,0))</f>
        <v>0</v>
      </c>
      <c r="Q190" s="70"/>
      <c r="S190" s="81"/>
      <c r="T190" s="30"/>
      <c r="U190" s="30"/>
      <c r="W190" s="30"/>
      <c r="X190" s="30"/>
      <c r="Y190" s="30"/>
      <c r="Z190" s="30"/>
      <c r="AA190" s="30"/>
      <c r="AB190" s="30"/>
      <c r="AC190" s="30"/>
      <c r="AD190" s="85"/>
      <c r="AE190" s="85"/>
      <c r="AF190" s="70"/>
      <c r="AH190" s="81"/>
      <c r="AI190" s="30"/>
      <c r="AJ190" s="30"/>
      <c r="AL190" s="30"/>
      <c r="AM190" s="30"/>
      <c r="AN190" s="30"/>
      <c r="AO190" s="30"/>
      <c r="AP190" s="30"/>
      <c r="AQ190" s="30"/>
      <c r="AR190" s="30"/>
      <c r="AS190" s="85"/>
      <c r="AT190" s="85"/>
      <c r="AU190" s="70"/>
      <c r="AW190" s="81"/>
      <c r="AX190" s="30"/>
      <c r="AY190" s="30"/>
      <c r="BA190" s="30"/>
      <c r="BB190" s="30"/>
      <c r="BC190" s="30"/>
      <c r="BD190" s="30"/>
      <c r="BE190" s="30"/>
      <c r="BF190" s="30"/>
      <c r="BG190" s="30"/>
      <c r="BH190" s="85"/>
      <c r="BI190" s="85"/>
      <c r="BJ190" s="70"/>
      <c r="BL190" s="81"/>
      <c r="BM190" s="30"/>
      <c r="BN190" s="30"/>
      <c r="BP190" s="30"/>
      <c r="BQ190" s="30"/>
      <c r="BR190" s="30"/>
      <c r="BS190" s="30"/>
      <c r="BT190" s="30"/>
      <c r="BU190" s="30"/>
      <c r="BV190" s="30"/>
      <c r="BW190" s="85"/>
      <c r="BX190" s="85"/>
      <c r="BY190" s="70"/>
      <c r="CA190" s="81"/>
      <c r="CB190" s="30"/>
      <c r="CC190" s="30"/>
      <c r="CE190" s="30"/>
      <c r="CF190" s="30"/>
      <c r="CG190" s="30"/>
      <c r="CH190" s="30"/>
      <c r="CI190" s="30"/>
      <c r="CJ190" s="30"/>
      <c r="CK190" s="30"/>
      <c r="CL190" s="85"/>
      <c r="CM190" s="85"/>
      <c r="CN190" s="70"/>
      <c r="CP190" s="81"/>
      <c r="CQ190" s="30"/>
      <c r="CR190" s="30"/>
      <c r="CT190" s="30"/>
      <c r="CU190" s="30"/>
      <c r="CV190" s="30"/>
      <c r="CW190" s="30"/>
      <c r="CX190" s="30"/>
      <c r="CY190" s="30"/>
      <c r="CZ190" s="30"/>
      <c r="DA190" s="85"/>
      <c r="DB190" s="85"/>
      <c r="DC190" s="70"/>
      <c r="DE190" s="81"/>
      <c r="DF190" s="30"/>
      <c r="DG190" s="30"/>
      <c r="DI190" s="30"/>
      <c r="DJ190" s="30"/>
      <c r="DK190" s="30"/>
      <c r="DL190" s="30"/>
      <c r="DM190" s="30"/>
      <c r="DN190" s="30"/>
      <c r="DO190" s="30"/>
      <c r="DP190" s="85"/>
      <c r="DQ190" s="85"/>
      <c r="DR190" s="70"/>
      <c r="DT190" s="81"/>
      <c r="DU190" s="30"/>
      <c r="DV190" s="30"/>
      <c r="DX190" s="30"/>
      <c r="DY190" s="30"/>
      <c r="DZ190" s="30"/>
      <c r="EA190" s="30"/>
      <c r="EB190" s="30"/>
      <c r="EC190" s="30"/>
      <c r="ED190" s="30"/>
      <c r="EE190" s="85"/>
      <c r="EF190" s="85"/>
      <c r="EG190" s="70"/>
      <c r="EI190" s="81"/>
      <c r="EJ190" s="30"/>
      <c r="EK190" s="30"/>
      <c r="EM190" s="30"/>
      <c r="EN190" s="30"/>
      <c r="EO190" s="30"/>
      <c r="EP190" s="30"/>
      <c r="EQ190" s="30"/>
      <c r="ER190" s="30"/>
      <c r="ES190" s="30"/>
      <c r="ET190" s="85"/>
      <c r="EU190" s="85"/>
      <c r="EV190" s="70"/>
    </row>
    <row r="191" spans="2:152">
      <c r="B191" s="11">
        <v>0.69</v>
      </c>
      <c r="C191" s="28">
        <f t="shared" si="37"/>
        <v>2.2799999999999998</v>
      </c>
      <c r="D191" s="16"/>
      <c r="E191" s="8"/>
      <c r="F191" s="27">
        <f t="shared" si="38"/>
        <v>1.7916402786573782</v>
      </c>
      <c r="G191" s="27">
        <f t="shared" si="39"/>
        <v>-1788.7719300000001</v>
      </c>
      <c r="H191" s="27">
        <f t="shared" si="40"/>
        <v>808.68452630123727</v>
      </c>
      <c r="I191" s="27">
        <f t="shared" si="41"/>
        <v>-2.2119527106342547</v>
      </c>
      <c r="J191" s="27">
        <f t="shared" si="42"/>
        <v>0.3871048011475855</v>
      </c>
      <c r="K191" s="27" t="e">
        <f t="shared" si="43"/>
        <v>#NUM!</v>
      </c>
      <c r="L191" s="27" t="e">
        <f t="shared" si="44"/>
        <v>#NUM!</v>
      </c>
      <c r="M191" s="17" t="e">
        <f t="shared" si="45"/>
        <v>#NUM!</v>
      </c>
      <c r="N191" s="17" t="e">
        <f t="shared" si="46"/>
        <v>#N/A</v>
      </c>
      <c r="O191" s="57" t="e">
        <f t="shared" si="47"/>
        <v>#N/A</v>
      </c>
      <c r="P191" s="17">
        <f>IF(ISERROR(O191),0,IF('R-AFC ISOTOPE'!$G$7=B191,O191,0))</f>
        <v>0</v>
      </c>
      <c r="Q191" s="70"/>
      <c r="S191" s="81"/>
      <c r="T191" s="30"/>
      <c r="U191" s="30"/>
      <c r="W191" s="30"/>
      <c r="X191" s="30"/>
      <c r="Y191" s="30"/>
      <c r="Z191" s="30"/>
      <c r="AA191" s="30"/>
      <c r="AB191" s="30"/>
      <c r="AC191" s="30"/>
      <c r="AD191" s="85"/>
      <c r="AE191" s="85"/>
      <c r="AF191" s="70"/>
      <c r="AH191" s="81"/>
      <c r="AI191" s="30"/>
      <c r="AJ191" s="30"/>
      <c r="AL191" s="30"/>
      <c r="AM191" s="30"/>
      <c r="AN191" s="30"/>
      <c r="AO191" s="30"/>
      <c r="AP191" s="30"/>
      <c r="AQ191" s="30"/>
      <c r="AR191" s="30"/>
      <c r="AS191" s="85"/>
      <c r="AT191" s="85"/>
      <c r="AU191" s="70"/>
      <c r="AW191" s="81"/>
      <c r="AX191" s="30"/>
      <c r="AY191" s="30"/>
      <c r="BA191" s="30"/>
      <c r="BB191" s="30"/>
      <c r="BC191" s="30"/>
      <c r="BD191" s="30"/>
      <c r="BE191" s="30"/>
      <c r="BF191" s="30"/>
      <c r="BG191" s="30"/>
      <c r="BH191" s="85"/>
      <c r="BI191" s="85"/>
      <c r="BJ191" s="70"/>
      <c r="BL191" s="81"/>
      <c r="BM191" s="30"/>
      <c r="BN191" s="30"/>
      <c r="BP191" s="30"/>
      <c r="BQ191" s="30"/>
      <c r="BR191" s="30"/>
      <c r="BS191" s="30"/>
      <c r="BT191" s="30"/>
      <c r="BU191" s="30"/>
      <c r="BV191" s="30"/>
      <c r="BW191" s="85"/>
      <c r="BX191" s="85"/>
      <c r="BY191" s="70"/>
      <c r="CA191" s="81"/>
      <c r="CB191" s="30"/>
      <c r="CC191" s="30"/>
      <c r="CE191" s="30"/>
      <c r="CF191" s="30"/>
      <c r="CG191" s="30"/>
      <c r="CH191" s="30"/>
      <c r="CI191" s="30"/>
      <c r="CJ191" s="30"/>
      <c r="CK191" s="30"/>
      <c r="CL191" s="85"/>
      <c r="CM191" s="85"/>
      <c r="CN191" s="70"/>
      <c r="CP191" s="81"/>
      <c r="CQ191" s="30"/>
      <c r="CR191" s="30"/>
      <c r="CT191" s="30"/>
      <c r="CU191" s="30"/>
      <c r="CV191" s="30"/>
      <c r="CW191" s="30"/>
      <c r="CX191" s="30"/>
      <c r="CY191" s="30"/>
      <c r="CZ191" s="30"/>
      <c r="DA191" s="85"/>
      <c r="DB191" s="85"/>
      <c r="DC191" s="70"/>
      <c r="DE191" s="81"/>
      <c r="DF191" s="30"/>
      <c r="DG191" s="30"/>
      <c r="DI191" s="30"/>
      <c r="DJ191" s="30"/>
      <c r="DK191" s="30"/>
      <c r="DL191" s="30"/>
      <c r="DM191" s="30"/>
      <c r="DN191" s="30"/>
      <c r="DO191" s="30"/>
      <c r="DP191" s="85"/>
      <c r="DQ191" s="85"/>
      <c r="DR191" s="70"/>
      <c r="DT191" s="81"/>
      <c r="DU191" s="30"/>
      <c r="DV191" s="30"/>
      <c r="DX191" s="30"/>
      <c r="DY191" s="30"/>
      <c r="DZ191" s="30"/>
      <c r="EA191" s="30"/>
      <c r="EB191" s="30"/>
      <c r="EC191" s="30"/>
      <c r="ED191" s="30"/>
      <c r="EE191" s="85"/>
      <c r="EF191" s="85"/>
      <c r="EG191" s="70"/>
      <c r="EI191" s="81"/>
      <c r="EJ191" s="30"/>
      <c r="EK191" s="30"/>
      <c r="EM191" s="30"/>
      <c r="EN191" s="30"/>
      <c r="EO191" s="30"/>
      <c r="EP191" s="30"/>
      <c r="EQ191" s="30"/>
      <c r="ER191" s="30"/>
      <c r="ES191" s="30"/>
      <c r="ET191" s="85"/>
      <c r="EU191" s="85"/>
      <c r="EV191" s="70"/>
    </row>
    <row r="192" spans="2:152">
      <c r="B192" s="11">
        <v>0.7</v>
      </c>
      <c r="C192" s="28">
        <f t="shared" si="37"/>
        <v>2.2799999999999998</v>
      </c>
      <c r="D192" s="16"/>
      <c r="E192" s="8"/>
      <c r="F192" s="27">
        <f t="shared" si="38"/>
        <v>1.771604938271605</v>
      </c>
      <c r="G192" s="27">
        <f t="shared" si="39"/>
        <v>-1799.18893</v>
      </c>
      <c r="H192" s="27">
        <f t="shared" si="40"/>
        <v>824.37582425262826</v>
      </c>
      <c r="I192" s="27">
        <f t="shared" si="41"/>
        <v>-2.1824862848581574</v>
      </c>
      <c r="J192" s="27">
        <f t="shared" si="42"/>
        <v>0.39320400279247653</v>
      </c>
      <c r="K192" s="27" t="e">
        <f t="shared" si="43"/>
        <v>#NUM!</v>
      </c>
      <c r="L192" s="27" t="e">
        <f t="shared" si="44"/>
        <v>#NUM!</v>
      </c>
      <c r="M192" s="17" t="e">
        <f t="shared" si="45"/>
        <v>#NUM!</v>
      </c>
      <c r="N192" s="17" t="e">
        <f t="shared" si="46"/>
        <v>#N/A</v>
      </c>
      <c r="O192" s="57" t="e">
        <f t="shared" si="47"/>
        <v>#N/A</v>
      </c>
      <c r="P192" s="17">
        <f>IF(ISERROR(O192),0,IF('R-AFC ISOTOPE'!$G$7=B192,O192,0))</f>
        <v>0</v>
      </c>
      <c r="Q192" s="70"/>
      <c r="S192" s="81"/>
      <c r="T192" s="30"/>
      <c r="U192" s="30"/>
      <c r="W192" s="30"/>
      <c r="X192" s="30"/>
      <c r="Y192" s="30"/>
      <c r="Z192" s="30"/>
      <c r="AA192" s="30"/>
      <c r="AB192" s="30"/>
      <c r="AC192" s="30"/>
      <c r="AD192" s="85"/>
      <c r="AE192" s="85"/>
      <c r="AF192" s="70"/>
      <c r="AH192" s="81"/>
      <c r="AI192" s="30"/>
      <c r="AJ192" s="30"/>
      <c r="AL192" s="30"/>
      <c r="AM192" s="30"/>
      <c r="AN192" s="30"/>
      <c r="AO192" s="30"/>
      <c r="AP192" s="30"/>
      <c r="AQ192" s="30"/>
      <c r="AR192" s="30"/>
      <c r="AS192" s="85"/>
      <c r="AT192" s="85"/>
      <c r="AU192" s="70"/>
      <c r="AW192" s="81"/>
      <c r="AX192" s="30"/>
      <c r="AY192" s="30"/>
      <c r="BA192" s="30"/>
      <c r="BB192" s="30"/>
      <c r="BC192" s="30"/>
      <c r="BD192" s="30"/>
      <c r="BE192" s="30"/>
      <c r="BF192" s="30"/>
      <c r="BG192" s="30"/>
      <c r="BH192" s="85"/>
      <c r="BI192" s="85"/>
      <c r="BJ192" s="70"/>
      <c r="BL192" s="81"/>
      <c r="BM192" s="30"/>
      <c r="BN192" s="30"/>
      <c r="BP192" s="30"/>
      <c r="BQ192" s="30"/>
      <c r="BR192" s="30"/>
      <c r="BS192" s="30"/>
      <c r="BT192" s="30"/>
      <c r="BU192" s="30"/>
      <c r="BV192" s="30"/>
      <c r="BW192" s="85"/>
      <c r="BX192" s="85"/>
      <c r="BY192" s="70"/>
      <c r="CA192" s="81"/>
      <c r="CB192" s="30"/>
      <c r="CC192" s="30"/>
      <c r="CE192" s="30"/>
      <c r="CF192" s="30"/>
      <c r="CG192" s="30"/>
      <c r="CH192" s="30"/>
      <c r="CI192" s="30"/>
      <c r="CJ192" s="30"/>
      <c r="CK192" s="30"/>
      <c r="CL192" s="85"/>
      <c r="CM192" s="85"/>
      <c r="CN192" s="70"/>
      <c r="CP192" s="81"/>
      <c r="CQ192" s="30"/>
      <c r="CR192" s="30"/>
      <c r="CT192" s="30"/>
      <c r="CU192" s="30"/>
      <c r="CV192" s="30"/>
      <c r="CW192" s="30"/>
      <c r="CX192" s="30"/>
      <c r="CY192" s="30"/>
      <c r="CZ192" s="30"/>
      <c r="DA192" s="85"/>
      <c r="DB192" s="85"/>
      <c r="DC192" s="70"/>
      <c r="DE192" s="81"/>
      <c r="DF192" s="30"/>
      <c r="DG192" s="30"/>
      <c r="DI192" s="30"/>
      <c r="DJ192" s="30"/>
      <c r="DK192" s="30"/>
      <c r="DL192" s="30"/>
      <c r="DM192" s="30"/>
      <c r="DN192" s="30"/>
      <c r="DO192" s="30"/>
      <c r="DP192" s="85"/>
      <c r="DQ192" s="85"/>
      <c r="DR192" s="70"/>
      <c r="DT192" s="81"/>
      <c r="DU192" s="30"/>
      <c r="DV192" s="30"/>
      <c r="DX192" s="30"/>
      <c r="DY192" s="30"/>
      <c r="DZ192" s="30"/>
      <c r="EA192" s="30"/>
      <c r="EB192" s="30"/>
      <c r="EC192" s="30"/>
      <c r="ED192" s="30"/>
      <c r="EE192" s="85"/>
      <c r="EF192" s="85"/>
      <c r="EG192" s="70"/>
      <c r="EI192" s="81"/>
      <c r="EJ192" s="30"/>
      <c r="EK192" s="30"/>
      <c r="EM192" s="30"/>
      <c r="EN192" s="30"/>
      <c r="EO192" s="30"/>
      <c r="EP192" s="30"/>
      <c r="EQ192" s="30"/>
      <c r="ER192" s="30"/>
      <c r="ES192" s="30"/>
      <c r="ET192" s="85"/>
      <c r="EU192" s="85"/>
      <c r="EV192" s="70"/>
    </row>
    <row r="193" spans="2:152">
      <c r="B193" s="11">
        <v>0.71</v>
      </c>
      <c r="C193" s="28">
        <f t="shared" si="37"/>
        <v>2.2799999999999998</v>
      </c>
      <c r="D193" s="16"/>
      <c r="E193" s="8"/>
      <c r="F193" s="27">
        <f t="shared" si="38"/>
        <v>1.7525586995785674</v>
      </c>
      <c r="G193" s="27">
        <f t="shared" si="39"/>
        <v>-1809.6059299999999</v>
      </c>
      <c r="H193" s="27">
        <f t="shared" si="40"/>
        <v>840.06712220401914</v>
      </c>
      <c r="I193" s="27">
        <f t="shared" si="41"/>
        <v>-2.1541206436603266</v>
      </c>
      <c r="J193" s="27">
        <f t="shared" si="42"/>
        <v>0.39918300864666195</v>
      </c>
      <c r="K193" s="27" t="e">
        <f t="shared" si="43"/>
        <v>#NUM!</v>
      </c>
      <c r="L193" s="27" t="e">
        <f t="shared" si="44"/>
        <v>#NUM!</v>
      </c>
      <c r="M193" s="17" t="e">
        <f t="shared" si="45"/>
        <v>#NUM!</v>
      </c>
      <c r="N193" s="17" t="e">
        <f t="shared" si="46"/>
        <v>#N/A</v>
      </c>
      <c r="O193" s="57" t="e">
        <f t="shared" si="47"/>
        <v>#N/A</v>
      </c>
      <c r="P193" s="17">
        <f>IF(ISERROR(O193),0,IF('R-AFC ISOTOPE'!$G$7=B193,O193,0))</f>
        <v>0</v>
      </c>
      <c r="Q193" s="70"/>
      <c r="S193" s="81"/>
      <c r="T193" s="30"/>
      <c r="U193" s="30"/>
      <c r="W193" s="30"/>
      <c r="X193" s="30"/>
      <c r="Y193" s="30"/>
      <c r="Z193" s="30"/>
      <c r="AA193" s="30"/>
      <c r="AB193" s="30"/>
      <c r="AC193" s="30"/>
      <c r="AD193" s="85"/>
      <c r="AE193" s="85"/>
      <c r="AF193" s="70"/>
      <c r="AH193" s="81"/>
      <c r="AI193" s="30"/>
      <c r="AJ193" s="30"/>
      <c r="AL193" s="30"/>
      <c r="AM193" s="30"/>
      <c r="AN193" s="30"/>
      <c r="AO193" s="30"/>
      <c r="AP193" s="30"/>
      <c r="AQ193" s="30"/>
      <c r="AR193" s="30"/>
      <c r="AS193" s="85"/>
      <c r="AT193" s="85"/>
      <c r="AU193" s="70"/>
      <c r="AW193" s="81"/>
      <c r="AX193" s="30"/>
      <c r="AY193" s="30"/>
      <c r="BA193" s="30"/>
      <c r="BB193" s="30"/>
      <c r="BC193" s="30"/>
      <c r="BD193" s="30"/>
      <c r="BE193" s="30"/>
      <c r="BF193" s="30"/>
      <c r="BG193" s="30"/>
      <c r="BH193" s="85"/>
      <c r="BI193" s="85"/>
      <c r="BJ193" s="70"/>
      <c r="BL193" s="81"/>
      <c r="BM193" s="30"/>
      <c r="BN193" s="30"/>
      <c r="BP193" s="30"/>
      <c r="BQ193" s="30"/>
      <c r="BR193" s="30"/>
      <c r="BS193" s="30"/>
      <c r="BT193" s="30"/>
      <c r="BU193" s="30"/>
      <c r="BV193" s="30"/>
      <c r="BW193" s="85"/>
      <c r="BX193" s="85"/>
      <c r="BY193" s="70"/>
      <c r="CA193" s="81"/>
      <c r="CB193" s="30"/>
      <c r="CC193" s="30"/>
      <c r="CE193" s="30"/>
      <c r="CF193" s="30"/>
      <c r="CG193" s="30"/>
      <c r="CH193" s="30"/>
      <c r="CI193" s="30"/>
      <c r="CJ193" s="30"/>
      <c r="CK193" s="30"/>
      <c r="CL193" s="85"/>
      <c r="CM193" s="85"/>
      <c r="CN193" s="70"/>
      <c r="CP193" s="81"/>
      <c r="CQ193" s="30"/>
      <c r="CR193" s="30"/>
      <c r="CT193" s="30"/>
      <c r="CU193" s="30"/>
      <c r="CV193" s="30"/>
      <c r="CW193" s="30"/>
      <c r="CX193" s="30"/>
      <c r="CY193" s="30"/>
      <c r="CZ193" s="30"/>
      <c r="DA193" s="85"/>
      <c r="DB193" s="85"/>
      <c r="DC193" s="70"/>
      <c r="DE193" s="81"/>
      <c r="DF193" s="30"/>
      <c r="DG193" s="30"/>
      <c r="DI193" s="30"/>
      <c r="DJ193" s="30"/>
      <c r="DK193" s="30"/>
      <c r="DL193" s="30"/>
      <c r="DM193" s="30"/>
      <c r="DN193" s="30"/>
      <c r="DO193" s="30"/>
      <c r="DP193" s="85"/>
      <c r="DQ193" s="85"/>
      <c r="DR193" s="70"/>
      <c r="DT193" s="81"/>
      <c r="DU193" s="30"/>
      <c r="DV193" s="30"/>
      <c r="DX193" s="30"/>
      <c r="DY193" s="30"/>
      <c r="DZ193" s="30"/>
      <c r="EA193" s="30"/>
      <c r="EB193" s="30"/>
      <c r="EC193" s="30"/>
      <c r="ED193" s="30"/>
      <c r="EE193" s="85"/>
      <c r="EF193" s="85"/>
      <c r="EG193" s="70"/>
      <c r="EI193" s="81"/>
      <c r="EJ193" s="30"/>
      <c r="EK193" s="30"/>
      <c r="EM193" s="30"/>
      <c r="EN193" s="30"/>
      <c r="EO193" s="30"/>
      <c r="EP193" s="30"/>
      <c r="EQ193" s="30"/>
      <c r="ER193" s="30"/>
      <c r="ES193" s="30"/>
      <c r="ET193" s="85"/>
      <c r="EU193" s="85"/>
      <c r="EV193" s="70"/>
    </row>
    <row r="194" spans="2:152">
      <c r="B194" s="11">
        <v>0.72</v>
      </c>
      <c r="C194" s="28">
        <f t="shared" si="37"/>
        <v>2.2799999999999998</v>
      </c>
      <c r="D194" s="16"/>
      <c r="E194" s="8"/>
      <c r="F194" s="27">
        <f t="shared" si="38"/>
        <v>1.7344300822561693</v>
      </c>
      <c r="G194" s="27">
        <f t="shared" si="39"/>
        <v>-1820.0229300000001</v>
      </c>
      <c r="H194" s="27">
        <f t="shared" si="40"/>
        <v>855.75842015540991</v>
      </c>
      <c r="I194" s="27">
        <f t="shared" si="41"/>
        <v>-2.1267952346521755</v>
      </c>
      <c r="J194" s="27">
        <f t="shared" si="42"/>
        <v>0.40504533705537149</v>
      </c>
      <c r="K194" s="27" t="e">
        <f t="shared" si="43"/>
        <v>#NUM!</v>
      </c>
      <c r="L194" s="27" t="e">
        <f t="shared" si="44"/>
        <v>#NUM!</v>
      </c>
      <c r="M194" s="17" t="e">
        <f t="shared" si="45"/>
        <v>#NUM!</v>
      </c>
      <c r="N194" s="17" t="e">
        <f t="shared" si="46"/>
        <v>#N/A</v>
      </c>
      <c r="O194" s="57" t="e">
        <f t="shared" si="47"/>
        <v>#N/A</v>
      </c>
      <c r="P194" s="17">
        <f>IF(ISERROR(O194),0,IF('R-AFC ISOTOPE'!$G$7=B194,O194,0))</f>
        <v>0</v>
      </c>
      <c r="Q194" s="70"/>
      <c r="S194" s="81"/>
      <c r="T194" s="30"/>
      <c r="U194" s="30"/>
      <c r="W194" s="30"/>
      <c r="X194" s="30"/>
      <c r="Y194" s="30"/>
      <c r="Z194" s="30"/>
      <c r="AA194" s="30"/>
      <c r="AB194" s="30"/>
      <c r="AC194" s="30"/>
      <c r="AD194" s="85"/>
      <c r="AE194" s="85"/>
      <c r="AF194" s="70"/>
      <c r="AH194" s="81"/>
      <c r="AI194" s="30"/>
      <c r="AJ194" s="30"/>
      <c r="AL194" s="30"/>
      <c r="AM194" s="30"/>
      <c r="AN194" s="30"/>
      <c r="AO194" s="30"/>
      <c r="AP194" s="30"/>
      <c r="AQ194" s="30"/>
      <c r="AR194" s="30"/>
      <c r="AS194" s="85"/>
      <c r="AT194" s="85"/>
      <c r="AU194" s="70"/>
      <c r="AW194" s="81"/>
      <c r="AX194" s="30"/>
      <c r="AY194" s="30"/>
      <c r="BA194" s="30"/>
      <c r="BB194" s="30"/>
      <c r="BC194" s="30"/>
      <c r="BD194" s="30"/>
      <c r="BE194" s="30"/>
      <c r="BF194" s="30"/>
      <c r="BG194" s="30"/>
      <c r="BH194" s="85"/>
      <c r="BI194" s="85"/>
      <c r="BJ194" s="70"/>
      <c r="BL194" s="81"/>
      <c r="BM194" s="30"/>
      <c r="BN194" s="30"/>
      <c r="BP194" s="30"/>
      <c r="BQ194" s="30"/>
      <c r="BR194" s="30"/>
      <c r="BS194" s="30"/>
      <c r="BT194" s="30"/>
      <c r="BU194" s="30"/>
      <c r="BV194" s="30"/>
      <c r="BW194" s="85"/>
      <c r="BX194" s="85"/>
      <c r="BY194" s="70"/>
      <c r="CA194" s="81"/>
      <c r="CB194" s="30"/>
      <c r="CC194" s="30"/>
      <c r="CE194" s="30"/>
      <c r="CF194" s="30"/>
      <c r="CG194" s="30"/>
      <c r="CH194" s="30"/>
      <c r="CI194" s="30"/>
      <c r="CJ194" s="30"/>
      <c r="CK194" s="30"/>
      <c r="CL194" s="85"/>
      <c r="CM194" s="85"/>
      <c r="CN194" s="70"/>
      <c r="CP194" s="81"/>
      <c r="CQ194" s="30"/>
      <c r="CR194" s="30"/>
      <c r="CT194" s="30"/>
      <c r="CU194" s="30"/>
      <c r="CV194" s="30"/>
      <c r="CW194" s="30"/>
      <c r="CX194" s="30"/>
      <c r="CY194" s="30"/>
      <c r="CZ194" s="30"/>
      <c r="DA194" s="85"/>
      <c r="DB194" s="85"/>
      <c r="DC194" s="70"/>
      <c r="DE194" s="81"/>
      <c r="DF194" s="30"/>
      <c r="DG194" s="30"/>
      <c r="DI194" s="30"/>
      <c r="DJ194" s="30"/>
      <c r="DK194" s="30"/>
      <c r="DL194" s="30"/>
      <c r="DM194" s="30"/>
      <c r="DN194" s="30"/>
      <c r="DO194" s="30"/>
      <c r="DP194" s="85"/>
      <c r="DQ194" s="85"/>
      <c r="DR194" s="70"/>
      <c r="DT194" s="81"/>
      <c r="DU194" s="30"/>
      <c r="DV194" s="30"/>
      <c r="DX194" s="30"/>
      <c r="DY194" s="30"/>
      <c r="DZ194" s="30"/>
      <c r="EA194" s="30"/>
      <c r="EB194" s="30"/>
      <c r="EC194" s="30"/>
      <c r="ED194" s="30"/>
      <c r="EE194" s="85"/>
      <c r="EF194" s="85"/>
      <c r="EG194" s="70"/>
      <c r="EI194" s="81"/>
      <c r="EJ194" s="30"/>
      <c r="EK194" s="30"/>
      <c r="EM194" s="30"/>
      <c r="EN194" s="30"/>
      <c r="EO194" s="30"/>
      <c r="EP194" s="30"/>
      <c r="EQ194" s="30"/>
      <c r="ER194" s="30"/>
      <c r="ES194" s="30"/>
      <c r="ET194" s="85"/>
      <c r="EU194" s="85"/>
      <c r="EV194" s="70"/>
    </row>
    <row r="195" spans="2:152">
      <c r="B195" s="11">
        <v>0.73</v>
      </c>
      <c r="C195" s="28">
        <f t="shared" si="37"/>
        <v>2.2799999999999998</v>
      </c>
      <c r="D195" s="16"/>
      <c r="E195" s="8"/>
      <c r="F195" s="27">
        <f t="shared" si="38"/>
        <v>1.7171543316121631</v>
      </c>
      <c r="G195" s="27">
        <f t="shared" si="39"/>
        <v>-1830.43993</v>
      </c>
      <c r="H195" s="27">
        <f t="shared" si="40"/>
        <v>871.44971810680079</v>
      </c>
      <c r="I195" s="27">
        <f t="shared" si="41"/>
        <v>-2.1004538666632167</v>
      </c>
      <c r="J195" s="27">
        <f t="shared" si="42"/>
        <v>0.41079437037307626</v>
      </c>
      <c r="K195" s="27" t="e">
        <f t="shared" si="43"/>
        <v>#NUM!</v>
      </c>
      <c r="L195" s="27" t="e">
        <f t="shared" si="44"/>
        <v>#NUM!</v>
      </c>
      <c r="M195" s="17" t="e">
        <f t="shared" si="45"/>
        <v>#NUM!</v>
      </c>
      <c r="N195" s="17" t="e">
        <f t="shared" si="46"/>
        <v>#N/A</v>
      </c>
      <c r="O195" s="57" t="e">
        <f t="shared" si="47"/>
        <v>#N/A</v>
      </c>
      <c r="P195" s="17">
        <f>IF(ISERROR(O195),0,IF('R-AFC ISOTOPE'!$G$7=B195,O195,0))</f>
        <v>0</v>
      </c>
      <c r="Q195" s="70"/>
      <c r="S195" s="81"/>
      <c r="T195" s="30"/>
      <c r="U195" s="30"/>
      <c r="W195" s="30"/>
      <c r="X195" s="30"/>
      <c r="Y195" s="30"/>
      <c r="Z195" s="30"/>
      <c r="AA195" s="30"/>
      <c r="AB195" s="30"/>
      <c r="AC195" s="30"/>
      <c r="AD195" s="85"/>
      <c r="AE195" s="85"/>
      <c r="AF195" s="70"/>
      <c r="AH195" s="81"/>
      <c r="AI195" s="30"/>
      <c r="AJ195" s="30"/>
      <c r="AL195" s="30"/>
      <c r="AM195" s="30"/>
      <c r="AN195" s="30"/>
      <c r="AO195" s="30"/>
      <c r="AP195" s="30"/>
      <c r="AQ195" s="30"/>
      <c r="AR195" s="30"/>
      <c r="AS195" s="85"/>
      <c r="AT195" s="85"/>
      <c r="AU195" s="70"/>
      <c r="AW195" s="81"/>
      <c r="AX195" s="30"/>
      <c r="AY195" s="30"/>
      <c r="BA195" s="30"/>
      <c r="BB195" s="30"/>
      <c r="BC195" s="30"/>
      <c r="BD195" s="30"/>
      <c r="BE195" s="30"/>
      <c r="BF195" s="30"/>
      <c r="BG195" s="30"/>
      <c r="BH195" s="85"/>
      <c r="BI195" s="85"/>
      <c r="BJ195" s="70"/>
      <c r="BL195" s="81"/>
      <c r="BM195" s="30"/>
      <c r="BN195" s="30"/>
      <c r="BP195" s="30"/>
      <c r="BQ195" s="30"/>
      <c r="BR195" s="30"/>
      <c r="BS195" s="30"/>
      <c r="BT195" s="30"/>
      <c r="BU195" s="30"/>
      <c r="BV195" s="30"/>
      <c r="BW195" s="85"/>
      <c r="BX195" s="85"/>
      <c r="BY195" s="70"/>
      <c r="CA195" s="81"/>
      <c r="CB195" s="30"/>
      <c r="CC195" s="30"/>
      <c r="CE195" s="30"/>
      <c r="CF195" s="30"/>
      <c r="CG195" s="30"/>
      <c r="CH195" s="30"/>
      <c r="CI195" s="30"/>
      <c r="CJ195" s="30"/>
      <c r="CK195" s="30"/>
      <c r="CL195" s="85"/>
      <c r="CM195" s="85"/>
      <c r="CN195" s="70"/>
      <c r="CP195" s="81"/>
      <c r="CQ195" s="30"/>
      <c r="CR195" s="30"/>
      <c r="CT195" s="30"/>
      <c r="CU195" s="30"/>
      <c r="CV195" s="30"/>
      <c r="CW195" s="30"/>
      <c r="CX195" s="30"/>
      <c r="CY195" s="30"/>
      <c r="CZ195" s="30"/>
      <c r="DA195" s="85"/>
      <c r="DB195" s="85"/>
      <c r="DC195" s="70"/>
      <c r="DE195" s="81"/>
      <c r="DF195" s="30"/>
      <c r="DG195" s="30"/>
      <c r="DI195" s="30"/>
      <c r="DJ195" s="30"/>
      <c r="DK195" s="30"/>
      <c r="DL195" s="30"/>
      <c r="DM195" s="30"/>
      <c r="DN195" s="30"/>
      <c r="DO195" s="30"/>
      <c r="DP195" s="85"/>
      <c r="DQ195" s="85"/>
      <c r="DR195" s="70"/>
      <c r="DT195" s="81"/>
      <c r="DU195" s="30"/>
      <c r="DV195" s="30"/>
      <c r="DX195" s="30"/>
      <c r="DY195" s="30"/>
      <c r="DZ195" s="30"/>
      <c r="EA195" s="30"/>
      <c r="EB195" s="30"/>
      <c r="EC195" s="30"/>
      <c r="ED195" s="30"/>
      <c r="EE195" s="85"/>
      <c r="EF195" s="85"/>
      <c r="EG195" s="70"/>
      <c r="EI195" s="81"/>
      <c r="EJ195" s="30"/>
      <c r="EK195" s="30"/>
      <c r="EM195" s="30"/>
      <c r="EN195" s="30"/>
      <c r="EO195" s="30"/>
      <c r="EP195" s="30"/>
      <c r="EQ195" s="30"/>
      <c r="ER195" s="30"/>
      <c r="ES195" s="30"/>
      <c r="ET195" s="85"/>
      <c r="EU195" s="85"/>
      <c r="EV195" s="70"/>
    </row>
    <row r="196" spans="2:152">
      <c r="B196" s="11">
        <v>0.74</v>
      </c>
      <c r="C196" s="28">
        <f t="shared" si="37"/>
        <v>2.2799999999999998</v>
      </c>
      <c r="D196" s="16"/>
      <c r="E196" s="8"/>
      <c r="F196" s="27">
        <f t="shared" si="38"/>
        <v>1.7006726457399104</v>
      </c>
      <c r="G196" s="27">
        <f t="shared" si="39"/>
        <v>-1840.8569299999999</v>
      </c>
      <c r="H196" s="27">
        <f t="shared" si="40"/>
        <v>887.14101605819167</v>
      </c>
      <c r="I196" s="27">
        <f t="shared" si="41"/>
        <v>-2.0750443240460541</v>
      </c>
      <c r="J196" s="27">
        <f t="shared" si="42"/>
        <v>0.41643336147098553</v>
      </c>
      <c r="K196" s="27" t="e">
        <f t="shared" si="43"/>
        <v>#NUM!</v>
      </c>
      <c r="L196" s="27" t="e">
        <f t="shared" si="44"/>
        <v>#NUM!</v>
      </c>
      <c r="M196" s="17" t="e">
        <f t="shared" si="45"/>
        <v>#NUM!</v>
      </c>
      <c r="N196" s="17" t="e">
        <f t="shared" si="46"/>
        <v>#N/A</v>
      </c>
      <c r="O196" s="57" t="e">
        <f t="shared" si="47"/>
        <v>#N/A</v>
      </c>
      <c r="P196" s="17">
        <f>IF(ISERROR(O196),0,IF('R-AFC ISOTOPE'!$G$7=B196,O196,0))</f>
        <v>0</v>
      </c>
      <c r="Q196" s="70"/>
      <c r="S196" s="81"/>
      <c r="T196" s="30"/>
      <c r="U196" s="30"/>
      <c r="W196" s="30"/>
      <c r="X196" s="30"/>
      <c r="Y196" s="30"/>
      <c r="Z196" s="30"/>
      <c r="AA196" s="30"/>
      <c r="AB196" s="30"/>
      <c r="AC196" s="30"/>
      <c r="AD196" s="85"/>
      <c r="AE196" s="85"/>
      <c r="AF196" s="70"/>
      <c r="AH196" s="81"/>
      <c r="AI196" s="30"/>
      <c r="AJ196" s="30"/>
      <c r="AL196" s="30"/>
      <c r="AM196" s="30"/>
      <c r="AN196" s="30"/>
      <c r="AO196" s="30"/>
      <c r="AP196" s="30"/>
      <c r="AQ196" s="30"/>
      <c r="AR196" s="30"/>
      <c r="AS196" s="85"/>
      <c r="AT196" s="85"/>
      <c r="AU196" s="70"/>
      <c r="AW196" s="81"/>
      <c r="AX196" s="30"/>
      <c r="AY196" s="30"/>
      <c r="BA196" s="30"/>
      <c r="BB196" s="30"/>
      <c r="BC196" s="30"/>
      <c r="BD196" s="30"/>
      <c r="BE196" s="30"/>
      <c r="BF196" s="30"/>
      <c r="BG196" s="30"/>
      <c r="BH196" s="85"/>
      <c r="BI196" s="85"/>
      <c r="BJ196" s="70"/>
      <c r="BL196" s="81"/>
      <c r="BM196" s="30"/>
      <c r="BN196" s="30"/>
      <c r="BP196" s="30"/>
      <c r="BQ196" s="30"/>
      <c r="BR196" s="30"/>
      <c r="BS196" s="30"/>
      <c r="BT196" s="30"/>
      <c r="BU196" s="30"/>
      <c r="BV196" s="30"/>
      <c r="BW196" s="85"/>
      <c r="BX196" s="85"/>
      <c r="BY196" s="70"/>
      <c r="CA196" s="81"/>
      <c r="CB196" s="30"/>
      <c r="CC196" s="30"/>
      <c r="CE196" s="30"/>
      <c r="CF196" s="30"/>
      <c r="CG196" s="30"/>
      <c r="CH196" s="30"/>
      <c r="CI196" s="30"/>
      <c r="CJ196" s="30"/>
      <c r="CK196" s="30"/>
      <c r="CL196" s="85"/>
      <c r="CM196" s="85"/>
      <c r="CN196" s="70"/>
      <c r="CP196" s="81"/>
      <c r="CQ196" s="30"/>
      <c r="CR196" s="30"/>
      <c r="CT196" s="30"/>
      <c r="CU196" s="30"/>
      <c r="CV196" s="30"/>
      <c r="CW196" s="30"/>
      <c r="CX196" s="30"/>
      <c r="CY196" s="30"/>
      <c r="CZ196" s="30"/>
      <c r="DA196" s="85"/>
      <c r="DB196" s="85"/>
      <c r="DC196" s="70"/>
      <c r="DE196" s="81"/>
      <c r="DF196" s="30"/>
      <c r="DG196" s="30"/>
      <c r="DI196" s="30"/>
      <c r="DJ196" s="30"/>
      <c r="DK196" s="30"/>
      <c r="DL196" s="30"/>
      <c r="DM196" s="30"/>
      <c r="DN196" s="30"/>
      <c r="DO196" s="30"/>
      <c r="DP196" s="85"/>
      <c r="DQ196" s="85"/>
      <c r="DR196" s="70"/>
      <c r="DT196" s="81"/>
      <c r="DU196" s="30"/>
      <c r="DV196" s="30"/>
      <c r="DX196" s="30"/>
      <c r="DY196" s="30"/>
      <c r="DZ196" s="30"/>
      <c r="EA196" s="30"/>
      <c r="EB196" s="30"/>
      <c r="EC196" s="30"/>
      <c r="ED196" s="30"/>
      <c r="EE196" s="85"/>
      <c r="EF196" s="85"/>
      <c r="EG196" s="70"/>
      <c r="EI196" s="81"/>
      <c r="EJ196" s="30"/>
      <c r="EK196" s="30"/>
      <c r="EM196" s="30"/>
      <c r="EN196" s="30"/>
      <c r="EO196" s="30"/>
      <c r="EP196" s="30"/>
      <c r="EQ196" s="30"/>
      <c r="ER196" s="30"/>
      <c r="ES196" s="30"/>
      <c r="ET196" s="85"/>
      <c r="EU196" s="85"/>
      <c r="EV196" s="70"/>
    </row>
    <row r="197" spans="2:152">
      <c r="B197" s="11">
        <v>0.75</v>
      </c>
      <c r="C197" s="28">
        <f t="shared" si="37"/>
        <v>2.2799999999999998</v>
      </c>
      <c r="D197" s="16"/>
      <c r="E197" s="8"/>
      <c r="F197" s="27">
        <f t="shared" si="38"/>
        <v>1.6849315068493151</v>
      </c>
      <c r="G197" s="27">
        <f t="shared" si="39"/>
        <v>-1851.2739299999998</v>
      </c>
      <c r="H197" s="27">
        <f t="shared" si="40"/>
        <v>902.83231400958266</v>
      </c>
      <c r="I197" s="27">
        <f t="shared" si="41"/>
        <v>-2.0505180212018312</v>
      </c>
      <c r="J197" s="27">
        <f t="shared" si="42"/>
        <v>0.4219654398744046</v>
      </c>
      <c r="K197" s="27" t="e">
        <f t="shared" si="43"/>
        <v>#NUM!</v>
      </c>
      <c r="L197" s="27" t="e">
        <f t="shared" si="44"/>
        <v>#NUM!</v>
      </c>
      <c r="M197" s="17" t="e">
        <f t="shared" si="45"/>
        <v>#NUM!</v>
      </c>
      <c r="N197" s="17" t="e">
        <f t="shared" si="46"/>
        <v>#N/A</v>
      </c>
      <c r="O197" s="57" t="e">
        <f t="shared" si="47"/>
        <v>#N/A</v>
      </c>
      <c r="P197" s="17">
        <f>IF(ISERROR(O197),0,IF('R-AFC ISOTOPE'!$G$7=B197,O197,0))</f>
        <v>0</v>
      </c>
      <c r="Q197" s="70"/>
      <c r="S197" s="81"/>
      <c r="T197" s="30"/>
      <c r="U197" s="30"/>
      <c r="W197" s="30"/>
      <c r="X197" s="30"/>
      <c r="Y197" s="30"/>
      <c r="Z197" s="30"/>
      <c r="AA197" s="30"/>
      <c r="AB197" s="30"/>
      <c r="AC197" s="30"/>
      <c r="AD197" s="85"/>
      <c r="AE197" s="85"/>
      <c r="AF197" s="70"/>
      <c r="AH197" s="81"/>
      <c r="AI197" s="30"/>
      <c r="AJ197" s="30"/>
      <c r="AL197" s="30"/>
      <c r="AM197" s="30"/>
      <c r="AN197" s="30"/>
      <c r="AO197" s="30"/>
      <c r="AP197" s="30"/>
      <c r="AQ197" s="30"/>
      <c r="AR197" s="30"/>
      <c r="AS197" s="85"/>
      <c r="AT197" s="85"/>
      <c r="AU197" s="70"/>
      <c r="AW197" s="81"/>
      <c r="AX197" s="30"/>
      <c r="AY197" s="30"/>
      <c r="BA197" s="30"/>
      <c r="BB197" s="30"/>
      <c r="BC197" s="30"/>
      <c r="BD197" s="30"/>
      <c r="BE197" s="30"/>
      <c r="BF197" s="30"/>
      <c r="BG197" s="30"/>
      <c r="BH197" s="85"/>
      <c r="BI197" s="85"/>
      <c r="BJ197" s="70"/>
      <c r="BL197" s="81"/>
      <c r="BM197" s="30"/>
      <c r="BN197" s="30"/>
      <c r="BP197" s="30"/>
      <c r="BQ197" s="30"/>
      <c r="BR197" s="30"/>
      <c r="BS197" s="30"/>
      <c r="BT197" s="30"/>
      <c r="BU197" s="30"/>
      <c r="BV197" s="30"/>
      <c r="BW197" s="85"/>
      <c r="BX197" s="85"/>
      <c r="BY197" s="70"/>
      <c r="CA197" s="81"/>
      <c r="CB197" s="30"/>
      <c r="CC197" s="30"/>
      <c r="CE197" s="30"/>
      <c r="CF197" s="30"/>
      <c r="CG197" s="30"/>
      <c r="CH197" s="30"/>
      <c r="CI197" s="30"/>
      <c r="CJ197" s="30"/>
      <c r="CK197" s="30"/>
      <c r="CL197" s="85"/>
      <c r="CM197" s="85"/>
      <c r="CN197" s="70"/>
      <c r="CP197" s="81"/>
      <c r="CQ197" s="30"/>
      <c r="CR197" s="30"/>
      <c r="CT197" s="30"/>
      <c r="CU197" s="30"/>
      <c r="CV197" s="30"/>
      <c r="CW197" s="30"/>
      <c r="CX197" s="30"/>
      <c r="CY197" s="30"/>
      <c r="CZ197" s="30"/>
      <c r="DA197" s="85"/>
      <c r="DB197" s="85"/>
      <c r="DC197" s="70"/>
      <c r="DE197" s="81"/>
      <c r="DF197" s="30"/>
      <c r="DG197" s="30"/>
      <c r="DI197" s="30"/>
      <c r="DJ197" s="30"/>
      <c r="DK197" s="30"/>
      <c r="DL197" s="30"/>
      <c r="DM197" s="30"/>
      <c r="DN197" s="30"/>
      <c r="DO197" s="30"/>
      <c r="DP197" s="85"/>
      <c r="DQ197" s="85"/>
      <c r="DR197" s="70"/>
      <c r="DT197" s="81"/>
      <c r="DU197" s="30"/>
      <c r="DV197" s="30"/>
      <c r="DX197" s="30"/>
      <c r="DY197" s="30"/>
      <c r="DZ197" s="30"/>
      <c r="EA197" s="30"/>
      <c r="EB197" s="30"/>
      <c r="EC197" s="30"/>
      <c r="ED197" s="30"/>
      <c r="EE197" s="85"/>
      <c r="EF197" s="85"/>
      <c r="EG197" s="70"/>
      <c r="EI197" s="81"/>
      <c r="EJ197" s="30"/>
      <c r="EK197" s="30"/>
      <c r="EM197" s="30"/>
      <c r="EN197" s="30"/>
      <c r="EO197" s="30"/>
      <c r="EP197" s="30"/>
      <c r="EQ197" s="30"/>
      <c r="ER197" s="30"/>
      <c r="ES197" s="30"/>
      <c r="ET197" s="85"/>
      <c r="EU197" s="85"/>
      <c r="EV197" s="70"/>
    </row>
    <row r="198" spans="2:152">
      <c r="B198" s="11">
        <v>0.76</v>
      </c>
      <c r="C198" s="28">
        <f t="shared" si="37"/>
        <v>2.2799999999999998</v>
      </c>
      <c r="D198" s="16"/>
      <c r="E198" s="8"/>
      <c r="F198" s="27">
        <f t="shared" si="38"/>
        <v>1.669882100750268</v>
      </c>
      <c r="G198" s="27">
        <f t="shared" si="39"/>
        <v>-1861.6909299999995</v>
      </c>
      <c r="H198" s="27">
        <f t="shared" si="40"/>
        <v>918.52361196097331</v>
      </c>
      <c r="I198" s="27">
        <f t="shared" si="41"/>
        <v>-2.0268296925164946</v>
      </c>
      <c r="J198" s="27">
        <f t="shared" si="42"/>
        <v>0.42739361755428812</v>
      </c>
      <c r="K198" s="27" t="e">
        <f t="shared" si="43"/>
        <v>#NUM!</v>
      </c>
      <c r="L198" s="27" t="e">
        <f t="shared" si="44"/>
        <v>#NUM!</v>
      </c>
      <c r="M198" s="17" t="e">
        <f t="shared" si="45"/>
        <v>#NUM!</v>
      </c>
      <c r="N198" s="17" t="e">
        <f t="shared" si="46"/>
        <v>#N/A</v>
      </c>
      <c r="O198" s="57" t="e">
        <f t="shared" si="47"/>
        <v>#N/A</v>
      </c>
      <c r="P198" s="17">
        <f>IF(ISERROR(O198),0,IF('R-AFC ISOTOPE'!$G$7=B198,O198,0))</f>
        <v>0</v>
      </c>
      <c r="Q198" s="70"/>
      <c r="S198" s="81"/>
      <c r="T198" s="30"/>
      <c r="U198" s="30"/>
      <c r="W198" s="30"/>
      <c r="X198" s="30"/>
      <c r="Y198" s="30"/>
      <c r="Z198" s="30"/>
      <c r="AA198" s="30"/>
      <c r="AB198" s="30"/>
      <c r="AC198" s="30"/>
      <c r="AD198" s="85"/>
      <c r="AE198" s="85"/>
      <c r="AF198" s="70"/>
      <c r="AH198" s="81"/>
      <c r="AI198" s="30"/>
      <c r="AJ198" s="30"/>
      <c r="AL198" s="30"/>
      <c r="AM198" s="30"/>
      <c r="AN198" s="30"/>
      <c r="AO198" s="30"/>
      <c r="AP198" s="30"/>
      <c r="AQ198" s="30"/>
      <c r="AR198" s="30"/>
      <c r="AS198" s="85"/>
      <c r="AT198" s="85"/>
      <c r="AU198" s="70"/>
      <c r="AW198" s="81"/>
      <c r="AX198" s="30"/>
      <c r="AY198" s="30"/>
      <c r="BA198" s="30"/>
      <c r="BB198" s="30"/>
      <c r="BC198" s="30"/>
      <c r="BD198" s="30"/>
      <c r="BE198" s="30"/>
      <c r="BF198" s="30"/>
      <c r="BG198" s="30"/>
      <c r="BH198" s="85"/>
      <c r="BI198" s="85"/>
      <c r="BJ198" s="70"/>
      <c r="BL198" s="81"/>
      <c r="BM198" s="30"/>
      <c r="BN198" s="30"/>
      <c r="BP198" s="30"/>
      <c r="BQ198" s="30"/>
      <c r="BR198" s="30"/>
      <c r="BS198" s="30"/>
      <c r="BT198" s="30"/>
      <c r="BU198" s="30"/>
      <c r="BV198" s="30"/>
      <c r="BW198" s="85"/>
      <c r="BX198" s="85"/>
      <c r="BY198" s="70"/>
      <c r="CA198" s="81"/>
      <c r="CB198" s="30"/>
      <c r="CC198" s="30"/>
      <c r="CE198" s="30"/>
      <c r="CF198" s="30"/>
      <c r="CG198" s="30"/>
      <c r="CH198" s="30"/>
      <c r="CI198" s="30"/>
      <c r="CJ198" s="30"/>
      <c r="CK198" s="30"/>
      <c r="CL198" s="85"/>
      <c r="CM198" s="85"/>
      <c r="CN198" s="70"/>
      <c r="CP198" s="81"/>
      <c r="CQ198" s="30"/>
      <c r="CR198" s="30"/>
      <c r="CT198" s="30"/>
      <c r="CU198" s="30"/>
      <c r="CV198" s="30"/>
      <c r="CW198" s="30"/>
      <c r="CX198" s="30"/>
      <c r="CY198" s="30"/>
      <c r="CZ198" s="30"/>
      <c r="DA198" s="85"/>
      <c r="DB198" s="85"/>
      <c r="DC198" s="70"/>
      <c r="DE198" s="81"/>
      <c r="DF198" s="30"/>
      <c r="DG198" s="30"/>
      <c r="DI198" s="30"/>
      <c r="DJ198" s="30"/>
      <c r="DK198" s="30"/>
      <c r="DL198" s="30"/>
      <c r="DM198" s="30"/>
      <c r="DN198" s="30"/>
      <c r="DO198" s="30"/>
      <c r="DP198" s="85"/>
      <c r="DQ198" s="85"/>
      <c r="DR198" s="70"/>
      <c r="DT198" s="81"/>
      <c r="DU198" s="30"/>
      <c r="DV198" s="30"/>
      <c r="DX198" s="30"/>
      <c r="DY198" s="30"/>
      <c r="DZ198" s="30"/>
      <c r="EA198" s="30"/>
      <c r="EB198" s="30"/>
      <c r="EC198" s="30"/>
      <c r="ED198" s="30"/>
      <c r="EE198" s="85"/>
      <c r="EF198" s="85"/>
      <c r="EG198" s="70"/>
      <c r="EI198" s="81"/>
      <c r="EJ198" s="30"/>
      <c r="EK198" s="30"/>
      <c r="EM198" s="30"/>
      <c r="EN198" s="30"/>
      <c r="EO198" s="30"/>
      <c r="EP198" s="30"/>
      <c r="EQ198" s="30"/>
      <c r="ER198" s="30"/>
      <c r="ES198" s="30"/>
      <c r="ET198" s="85"/>
      <c r="EU198" s="85"/>
      <c r="EV198" s="70"/>
    </row>
    <row r="199" spans="2:152">
      <c r="B199" s="11">
        <v>0.77</v>
      </c>
      <c r="C199" s="28">
        <f t="shared" si="37"/>
        <v>2.2799999999999998</v>
      </c>
      <c r="D199" s="16"/>
      <c r="E199" s="8"/>
      <c r="F199" s="27">
        <f t="shared" si="38"/>
        <v>1.6554798112218145</v>
      </c>
      <c r="G199" s="27">
        <f t="shared" si="39"/>
        <v>-1872.1079299999994</v>
      </c>
      <c r="H199" s="27">
        <f t="shared" si="40"/>
        <v>934.21490991236431</v>
      </c>
      <c r="I199" s="27">
        <f t="shared" si="41"/>
        <v>-2.0039371135444797</v>
      </c>
      <c r="J199" s="27">
        <f t="shared" si="42"/>
        <v>0.43272079439550554</v>
      </c>
      <c r="K199" s="27" t="e">
        <f t="shared" si="43"/>
        <v>#NUM!</v>
      </c>
      <c r="L199" s="27" t="e">
        <f t="shared" si="44"/>
        <v>#NUM!</v>
      </c>
      <c r="M199" s="17" t="e">
        <f t="shared" si="45"/>
        <v>#NUM!</v>
      </c>
      <c r="N199" s="17" t="e">
        <f t="shared" si="46"/>
        <v>#N/A</v>
      </c>
      <c r="O199" s="57" t="e">
        <f t="shared" si="47"/>
        <v>#N/A</v>
      </c>
      <c r="P199" s="17">
        <f>IF(ISERROR(O199),0,IF('R-AFC ISOTOPE'!$G$7=B199,O199,0))</f>
        <v>0</v>
      </c>
      <c r="Q199" s="70"/>
      <c r="S199" s="81"/>
      <c r="T199" s="30"/>
      <c r="U199" s="30"/>
      <c r="W199" s="30"/>
      <c r="X199" s="30"/>
      <c r="Y199" s="30"/>
      <c r="Z199" s="30"/>
      <c r="AA199" s="30"/>
      <c r="AB199" s="30"/>
      <c r="AC199" s="30"/>
      <c r="AD199" s="85"/>
      <c r="AE199" s="85"/>
      <c r="AF199" s="70"/>
      <c r="AH199" s="81"/>
      <c r="AI199" s="30"/>
      <c r="AJ199" s="30"/>
      <c r="AL199" s="30"/>
      <c r="AM199" s="30"/>
      <c r="AN199" s="30"/>
      <c r="AO199" s="30"/>
      <c r="AP199" s="30"/>
      <c r="AQ199" s="30"/>
      <c r="AR199" s="30"/>
      <c r="AS199" s="85"/>
      <c r="AT199" s="85"/>
      <c r="AU199" s="70"/>
      <c r="AW199" s="81"/>
      <c r="AX199" s="30"/>
      <c r="AY199" s="30"/>
      <c r="BA199" s="30"/>
      <c r="BB199" s="30"/>
      <c r="BC199" s="30"/>
      <c r="BD199" s="30"/>
      <c r="BE199" s="30"/>
      <c r="BF199" s="30"/>
      <c r="BG199" s="30"/>
      <c r="BH199" s="85"/>
      <c r="BI199" s="85"/>
      <c r="BJ199" s="70"/>
      <c r="BL199" s="81"/>
      <c r="BM199" s="30"/>
      <c r="BN199" s="30"/>
      <c r="BP199" s="30"/>
      <c r="BQ199" s="30"/>
      <c r="BR199" s="30"/>
      <c r="BS199" s="30"/>
      <c r="BT199" s="30"/>
      <c r="BU199" s="30"/>
      <c r="BV199" s="30"/>
      <c r="BW199" s="85"/>
      <c r="BX199" s="85"/>
      <c r="BY199" s="70"/>
      <c r="CA199" s="81"/>
      <c r="CB199" s="30"/>
      <c r="CC199" s="30"/>
      <c r="CE199" s="30"/>
      <c r="CF199" s="30"/>
      <c r="CG199" s="30"/>
      <c r="CH199" s="30"/>
      <c r="CI199" s="30"/>
      <c r="CJ199" s="30"/>
      <c r="CK199" s="30"/>
      <c r="CL199" s="85"/>
      <c r="CM199" s="85"/>
      <c r="CN199" s="70"/>
      <c r="CP199" s="81"/>
      <c r="CQ199" s="30"/>
      <c r="CR199" s="30"/>
      <c r="CT199" s="30"/>
      <c r="CU199" s="30"/>
      <c r="CV199" s="30"/>
      <c r="CW199" s="30"/>
      <c r="CX199" s="30"/>
      <c r="CY199" s="30"/>
      <c r="CZ199" s="30"/>
      <c r="DA199" s="85"/>
      <c r="DB199" s="85"/>
      <c r="DC199" s="70"/>
      <c r="DE199" s="81"/>
      <c r="DF199" s="30"/>
      <c r="DG199" s="30"/>
      <c r="DI199" s="30"/>
      <c r="DJ199" s="30"/>
      <c r="DK199" s="30"/>
      <c r="DL199" s="30"/>
      <c r="DM199" s="30"/>
      <c r="DN199" s="30"/>
      <c r="DO199" s="30"/>
      <c r="DP199" s="85"/>
      <c r="DQ199" s="85"/>
      <c r="DR199" s="70"/>
      <c r="DT199" s="81"/>
      <c r="DU199" s="30"/>
      <c r="DV199" s="30"/>
      <c r="DX199" s="30"/>
      <c r="DY199" s="30"/>
      <c r="DZ199" s="30"/>
      <c r="EA199" s="30"/>
      <c r="EB199" s="30"/>
      <c r="EC199" s="30"/>
      <c r="ED199" s="30"/>
      <c r="EE199" s="85"/>
      <c r="EF199" s="85"/>
      <c r="EG199" s="70"/>
      <c r="EI199" s="81"/>
      <c r="EJ199" s="30"/>
      <c r="EK199" s="30"/>
      <c r="EM199" s="30"/>
      <c r="EN199" s="30"/>
      <c r="EO199" s="30"/>
      <c r="EP199" s="30"/>
      <c r="EQ199" s="30"/>
      <c r="ER199" s="30"/>
      <c r="ES199" s="30"/>
      <c r="ET199" s="85"/>
      <c r="EU199" s="85"/>
      <c r="EV199" s="70"/>
    </row>
    <row r="200" spans="2:152">
      <c r="B200" s="11">
        <v>0.78</v>
      </c>
      <c r="C200" s="28">
        <f t="shared" si="37"/>
        <v>2.2799999999999998</v>
      </c>
      <c r="D200" s="16"/>
      <c r="E200" s="8"/>
      <c r="F200" s="27">
        <f t="shared" si="38"/>
        <v>1.6416837782340863</v>
      </c>
      <c r="G200" s="27">
        <f t="shared" si="39"/>
        <v>-1882.5249299999994</v>
      </c>
      <c r="H200" s="27">
        <f t="shared" si="40"/>
        <v>949.90620786375518</v>
      </c>
      <c r="I200" s="27">
        <f t="shared" si="41"/>
        <v>-1.9818008498266488</v>
      </c>
      <c r="J200" s="27">
        <f t="shared" si="42"/>
        <v>0.43794976336268077</v>
      </c>
      <c r="K200" s="27" t="e">
        <f t="shared" si="43"/>
        <v>#NUM!</v>
      </c>
      <c r="L200" s="27" t="e">
        <f t="shared" si="44"/>
        <v>#NUM!</v>
      </c>
      <c r="M200" s="17" t="e">
        <f t="shared" si="45"/>
        <v>#NUM!</v>
      </c>
      <c r="N200" s="17" t="e">
        <f t="shared" si="46"/>
        <v>#N/A</v>
      </c>
      <c r="O200" s="57" t="e">
        <f t="shared" si="47"/>
        <v>#N/A</v>
      </c>
      <c r="P200" s="17">
        <f>IF(ISERROR(O200),0,IF('R-AFC ISOTOPE'!$G$7=B200,O200,0))</f>
        <v>0</v>
      </c>
      <c r="Q200" s="70"/>
      <c r="S200" s="81"/>
      <c r="T200" s="30"/>
      <c r="U200" s="30"/>
      <c r="W200" s="30"/>
      <c r="X200" s="30"/>
      <c r="Y200" s="30"/>
      <c r="Z200" s="30"/>
      <c r="AA200" s="30"/>
      <c r="AB200" s="30"/>
      <c r="AC200" s="30"/>
      <c r="AD200" s="85"/>
      <c r="AE200" s="85"/>
      <c r="AF200" s="70"/>
      <c r="AH200" s="81"/>
      <c r="AI200" s="30"/>
      <c r="AJ200" s="30"/>
      <c r="AL200" s="30"/>
      <c r="AM200" s="30"/>
      <c r="AN200" s="30"/>
      <c r="AO200" s="30"/>
      <c r="AP200" s="30"/>
      <c r="AQ200" s="30"/>
      <c r="AR200" s="30"/>
      <c r="AS200" s="85"/>
      <c r="AT200" s="85"/>
      <c r="AU200" s="70"/>
      <c r="AW200" s="81"/>
      <c r="AX200" s="30"/>
      <c r="AY200" s="30"/>
      <c r="BA200" s="30"/>
      <c r="BB200" s="30"/>
      <c r="BC200" s="30"/>
      <c r="BD200" s="30"/>
      <c r="BE200" s="30"/>
      <c r="BF200" s="30"/>
      <c r="BG200" s="30"/>
      <c r="BH200" s="85"/>
      <c r="BI200" s="85"/>
      <c r="BJ200" s="70"/>
      <c r="BL200" s="81"/>
      <c r="BM200" s="30"/>
      <c r="BN200" s="30"/>
      <c r="BP200" s="30"/>
      <c r="BQ200" s="30"/>
      <c r="BR200" s="30"/>
      <c r="BS200" s="30"/>
      <c r="BT200" s="30"/>
      <c r="BU200" s="30"/>
      <c r="BV200" s="30"/>
      <c r="BW200" s="85"/>
      <c r="BX200" s="85"/>
      <c r="BY200" s="70"/>
      <c r="CA200" s="81"/>
      <c r="CB200" s="30"/>
      <c r="CC200" s="30"/>
      <c r="CE200" s="30"/>
      <c r="CF200" s="30"/>
      <c r="CG200" s="30"/>
      <c r="CH200" s="30"/>
      <c r="CI200" s="30"/>
      <c r="CJ200" s="30"/>
      <c r="CK200" s="30"/>
      <c r="CL200" s="85"/>
      <c r="CM200" s="85"/>
      <c r="CN200" s="70"/>
      <c r="CP200" s="81"/>
      <c r="CQ200" s="30"/>
      <c r="CR200" s="30"/>
      <c r="CT200" s="30"/>
      <c r="CU200" s="30"/>
      <c r="CV200" s="30"/>
      <c r="CW200" s="30"/>
      <c r="CX200" s="30"/>
      <c r="CY200" s="30"/>
      <c r="CZ200" s="30"/>
      <c r="DA200" s="85"/>
      <c r="DB200" s="85"/>
      <c r="DC200" s="70"/>
      <c r="DE200" s="81"/>
      <c r="DF200" s="30"/>
      <c r="DG200" s="30"/>
      <c r="DI200" s="30"/>
      <c r="DJ200" s="30"/>
      <c r="DK200" s="30"/>
      <c r="DL200" s="30"/>
      <c r="DM200" s="30"/>
      <c r="DN200" s="30"/>
      <c r="DO200" s="30"/>
      <c r="DP200" s="85"/>
      <c r="DQ200" s="85"/>
      <c r="DR200" s="70"/>
      <c r="DT200" s="81"/>
      <c r="DU200" s="30"/>
      <c r="DV200" s="30"/>
      <c r="DX200" s="30"/>
      <c r="DY200" s="30"/>
      <c r="DZ200" s="30"/>
      <c r="EA200" s="30"/>
      <c r="EB200" s="30"/>
      <c r="EC200" s="30"/>
      <c r="ED200" s="30"/>
      <c r="EE200" s="85"/>
      <c r="EF200" s="85"/>
      <c r="EG200" s="70"/>
      <c r="EI200" s="81"/>
      <c r="EJ200" s="30"/>
      <c r="EK200" s="30"/>
      <c r="EM200" s="30"/>
      <c r="EN200" s="30"/>
      <c r="EO200" s="30"/>
      <c r="EP200" s="30"/>
      <c r="EQ200" s="30"/>
      <c r="ER200" s="30"/>
      <c r="ES200" s="30"/>
      <c r="ET200" s="85"/>
      <c r="EU200" s="85"/>
      <c r="EV200" s="70"/>
    </row>
    <row r="201" spans="2:152">
      <c r="B201" s="11">
        <v>0.79</v>
      </c>
      <c r="C201" s="28">
        <f t="shared" si="37"/>
        <v>2.2799999999999998</v>
      </c>
      <c r="D201" s="16"/>
      <c r="E201" s="8"/>
      <c r="F201" s="27">
        <f t="shared" si="38"/>
        <v>1.628456510809452</v>
      </c>
      <c r="G201" s="27">
        <f t="shared" si="39"/>
        <v>-1892.9419300000004</v>
      </c>
      <c r="H201" s="27">
        <f t="shared" si="40"/>
        <v>965.59750581514561</v>
      </c>
      <c r="I201" s="27">
        <f t="shared" si="41"/>
        <v>-1.960384030199003</v>
      </c>
      <c r="J201" s="27">
        <f t="shared" si="42"/>
        <v>0.44308321538294032</v>
      </c>
      <c r="K201" s="27" t="e">
        <f t="shared" si="43"/>
        <v>#NUM!</v>
      </c>
      <c r="L201" s="27" t="e">
        <f t="shared" si="44"/>
        <v>#NUM!</v>
      </c>
      <c r="M201" s="17" t="e">
        <f t="shared" si="45"/>
        <v>#NUM!</v>
      </c>
      <c r="N201" s="17" t="e">
        <f t="shared" si="46"/>
        <v>#N/A</v>
      </c>
      <c r="O201" s="57" t="e">
        <f t="shared" si="47"/>
        <v>#N/A</v>
      </c>
      <c r="P201" s="17">
        <f>IF(ISERROR(O201),0,IF('R-AFC ISOTOPE'!$G$7=B201,O201,0))</f>
        <v>0</v>
      </c>
      <c r="Q201" s="70"/>
      <c r="S201" s="81"/>
      <c r="T201" s="30"/>
      <c r="U201" s="30"/>
      <c r="W201" s="30"/>
      <c r="X201" s="30"/>
      <c r="Y201" s="30"/>
      <c r="Z201" s="30"/>
      <c r="AA201" s="30"/>
      <c r="AB201" s="30"/>
      <c r="AC201" s="30"/>
      <c r="AD201" s="85"/>
      <c r="AE201" s="85"/>
      <c r="AF201" s="70"/>
      <c r="AH201" s="81"/>
      <c r="AI201" s="30"/>
      <c r="AJ201" s="30"/>
      <c r="AL201" s="30"/>
      <c r="AM201" s="30"/>
      <c r="AN201" s="30"/>
      <c r="AO201" s="30"/>
      <c r="AP201" s="30"/>
      <c r="AQ201" s="30"/>
      <c r="AR201" s="30"/>
      <c r="AS201" s="85"/>
      <c r="AT201" s="85"/>
      <c r="AU201" s="70"/>
      <c r="AW201" s="81"/>
      <c r="AX201" s="30"/>
      <c r="AY201" s="30"/>
      <c r="BA201" s="30"/>
      <c r="BB201" s="30"/>
      <c r="BC201" s="30"/>
      <c r="BD201" s="30"/>
      <c r="BE201" s="30"/>
      <c r="BF201" s="30"/>
      <c r="BG201" s="30"/>
      <c r="BH201" s="85"/>
      <c r="BI201" s="85"/>
      <c r="BJ201" s="70"/>
      <c r="BL201" s="81"/>
      <c r="BM201" s="30"/>
      <c r="BN201" s="30"/>
      <c r="BP201" s="30"/>
      <c r="BQ201" s="30"/>
      <c r="BR201" s="30"/>
      <c r="BS201" s="30"/>
      <c r="BT201" s="30"/>
      <c r="BU201" s="30"/>
      <c r="BV201" s="30"/>
      <c r="BW201" s="85"/>
      <c r="BX201" s="85"/>
      <c r="BY201" s="70"/>
      <c r="CA201" s="81"/>
      <c r="CB201" s="30"/>
      <c r="CC201" s="30"/>
      <c r="CE201" s="30"/>
      <c r="CF201" s="30"/>
      <c r="CG201" s="30"/>
      <c r="CH201" s="30"/>
      <c r="CI201" s="30"/>
      <c r="CJ201" s="30"/>
      <c r="CK201" s="30"/>
      <c r="CL201" s="85"/>
      <c r="CM201" s="85"/>
      <c r="CN201" s="70"/>
      <c r="CP201" s="81"/>
      <c r="CQ201" s="30"/>
      <c r="CR201" s="30"/>
      <c r="CT201" s="30"/>
      <c r="CU201" s="30"/>
      <c r="CV201" s="30"/>
      <c r="CW201" s="30"/>
      <c r="CX201" s="30"/>
      <c r="CY201" s="30"/>
      <c r="CZ201" s="30"/>
      <c r="DA201" s="85"/>
      <c r="DB201" s="85"/>
      <c r="DC201" s="70"/>
      <c r="DE201" s="81"/>
      <c r="DF201" s="30"/>
      <c r="DG201" s="30"/>
      <c r="DI201" s="30"/>
      <c r="DJ201" s="30"/>
      <c r="DK201" s="30"/>
      <c r="DL201" s="30"/>
      <c r="DM201" s="30"/>
      <c r="DN201" s="30"/>
      <c r="DO201" s="30"/>
      <c r="DP201" s="85"/>
      <c r="DQ201" s="85"/>
      <c r="DR201" s="70"/>
      <c r="DT201" s="81"/>
      <c r="DU201" s="30"/>
      <c r="DV201" s="30"/>
      <c r="DX201" s="30"/>
      <c r="DY201" s="30"/>
      <c r="DZ201" s="30"/>
      <c r="EA201" s="30"/>
      <c r="EB201" s="30"/>
      <c r="EC201" s="30"/>
      <c r="ED201" s="30"/>
      <c r="EE201" s="85"/>
      <c r="EF201" s="85"/>
      <c r="EG201" s="70"/>
      <c r="EI201" s="81"/>
      <c r="EJ201" s="30"/>
      <c r="EK201" s="30"/>
      <c r="EM201" s="30"/>
      <c r="EN201" s="30"/>
      <c r="EO201" s="30"/>
      <c r="EP201" s="30"/>
      <c r="EQ201" s="30"/>
      <c r="ER201" s="30"/>
      <c r="ES201" s="30"/>
      <c r="ET201" s="85"/>
      <c r="EU201" s="85"/>
      <c r="EV201" s="70"/>
    </row>
    <row r="202" spans="2:152">
      <c r="B202" s="11">
        <v>0.8</v>
      </c>
      <c r="C202" s="28">
        <f t="shared" si="37"/>
        <v>2.2799999999999998</v>
      </c>
      <c r="D202" s="16"/>
      <c r="E202" s="8"/>
      <c r="F202" s="27">
        <f t="shared" si="38"/>
        <v>1.6157635467980296</v>
      </c>
      <c r="G202" s="27">
        <f t="shared" si="39"/>
        <v>-1903.3589300000003</v>
      </c>
      <c r="H202" s="27">
        <f t="shared" si="40"/>
        <v>981.2888037665366</v>
      </c>
      <c r="I202" s="27">
        <f t="shared" si="41"/>
        <v>-1.9396521418508288</v>
      </c>
      <c r="J202" s="27">
        <f t="shared" si="42"/>
        <v>0.44812374396350546</v>
      </c>
      <c r="K202" s="27" t="e">
        <f t="shared" si="43"/>
        <v>#NUM!</v>
      </c>
      <c r="L202" s="27" t="e">
        <f t="shared" si="44"/>
        <v>#NUM!</v>
      </c>
      <c r="M202" s="17" t="e">
        <f t="shared" si="45"/>
        <v>#NUM!</v>
      </c>
      <c r="N202" s="17" t="e">
        <f t="shared" si="46"/>
        <v>#N/A</v>
      </c>
      <c r="O202" s="57" t="e">
        <f t="shared" si="47"/>
        <v>#N/A</v>
      </c>
      <c r="P202" s="17">
        <f>IF(ISERROR(O202),0,IF('R-AFC ISOTOPE'!$G$7=B202,O202,0))</f>
        <v>0</v>
      </c>
      <c r="Q202" s="70"/>
      <c r="S202" s="81"/>
      <c r="T202" s="30"/>
      <c r="U202" s="30"/>
      <c r="W202" s="30"/>
      <c r="X202" s="30"/>
      <c r="Y202" s="30"/>
      <c r="Z202" s="30"/>
      <c r="AA202" s="30"/>
      <c r="AB202" s="30"/>
      <c r="AC202" s="30"/>
      <c r="AD202" s="85"/>
      <c r="AE202" s="85"/>
      <c r="AF202" s="70"/>
      <c r="AH202" s="81"/>
      <c r="AI202" s="30"/>
      <c r="AJ202" s="30"/>
      <c r="AL202" s="30"/>
      <c r="AM202" s="30"/>
      <c r="AN202" s="30"/>
      <c r="AO202" s="30"/>
      <c r="AP202" s="30"/>
      <c r="AQ202" s="30"/>
      <c r="AR202" s="30"/>
      <c r="AS202" s="85"/>
      <c r="AT202" s="85"/>
      <c r="AU202" s="70"/>
      <c r="AW202" s="81"/>
      <c r="AX202" s="30"/>
      <c r="AY202" s="30"/>
      <c r="BA202" s="30"/>
      <c r="BB202" s="30"/>
      <c r="BC202" s="30"/>
      <c r="BD202" s="30"/>
      <c r="BE202" s="30"/>
      <c r="BF202" s="30"/>
      <c r="BG202" s="30"/>
      <c r="BH202" s="85"/>
      <c r="BI202" s="85"/>
      <c r="BJ202" s="70"/>
      <c r="BL202" s="81"/>
      <c r="BM202" s="30"/>
      <c r="BN202" s="30"/>
      <c r="BP202" s="30"/>
      <c r="BQ202" s="30"/>
      <c r="BR202" s="30"/>
      <c r="BS202" s="30"/>
      <c r="BT202" s="30"/>
      <c r="BU202" s="30"/>
      <c r="BV202" s="30"/>
      <c r="BW202" s="85"/>
      <c r="BX202" s="85"/>
      <c r="BY202" s="70"/>
      <c r="CA202" s="81"/>
      <c r="CB202" s="30"/>
      <c r="CC202" s="30"/>
      <c r="CE202" s="30"/>
      <c r="CF202" s="30"/>
      <c r="CG202" s="30"/>
      <c r="CH202" s="30"/>
      <c r="CI202" s="30"/>
      <c r="CJ202" s="30"/>
      <c r="CK202" s="30"/>
      <c r="CL202" s="85"/>
      <c r="CM202" s="85"/>
      <c r="CN202" s="70"/>
      <c r="CP202" s="81"/>
      <c r="CQ202" s="30"/>
      <c r="CR202" s="30"/>
      <c r="CT202" s="30"/>
      <c r="CU202" s="30"/>
      <c r="CV202" s="30"/>
      <c r="CW202" s="30"/>
      <c r="CX202" s="30"/>
      <c r="CY202" s="30"/>
      <c r="CZ202" s="30"/>
      <c r="DA202" s="85"/>
      <c r="DB202" s="85"/>
      <c r="DC202" s="70"/>
      <c r="DE202" s="81"/>
      <c r="DF202" s="30"/>
      <c r="DG202" s="30"/>
      <c r="DI202" s="30"/>
      <c r="DJ202" s="30"/>
      <c r="DK202" s="30"/>
      <c r="DL202" s="30"/>
      <c r="DM202" s="30"/>
      <c r="DN202" s="30"/>
      <c r="DO202" s="30"/>
      <c r="DP202" s="85"/>
      <c r="DQ202" s="85"/>
      <c r="DR202" s="70"/>
      <c r="DT202" s="81"/>
      <c r="DU202" s="30"/>
      <c r="DV202" s="30"/>
      <c r="DX202" s="30"/>
      <c r="DY202" s="30"/>
      <c r="DZ202" s="30"/>
      <c r="EA202" s="30"/>
      <c r="EB202" s="30"/>
      <c r="EC202" s="30"/>
      <c r="ED202" s="30"/>
      <c r="EE202" s="85"/>
      <c r="EF202" s="85"/>
      <c r="EG202" s="70"/>
      <c r="EI202" s="81"/>
      <c r="EJ202" s="30"/>
      <c r="EK202" s="30"/>
      <c r="EM202" s="30"/>
      <c r="EN202" s="30"/>
      <c r="EO202" s="30"/>
      <c r="EP202" s="30"/>
      <c r="EQ202" s="30"/>
      <c r="ER202" s="30"/>
      <c r="ES202" s="30"/>
      <c r="ET202" s="85"/>
      <c r="EU202" s="85"/>
      <c r="EV202" s="70"/>
    </row>
    <row r="203" spans="2:152">
      <c r="B203" s="11">
        <v>0.81</v>
      </c>
      <c r="C203" s="28">
        <f t="shared" si="37"/>
        <v>2.2799999999999998</v>
      </c>
      <c r="D203" s="16"/>
      <c r="E203" s="8"/>
      <c r="F203" s="27">
        <f t="shared" si="38"/>
        <v>1.6035731530661517</v>
      </c>
      <c r="G203" s="27">
        <f t="shared" si="39"/>
        <v>-1913.7759300000002</v>
      </c>
      <c r="H203" s="27">
        <f t="shared" si="40"/>
        <v>996.98010171792748</v>
      </c>
      <c r="I203" s="27">
        <f t="shared" si="41"/>
        <v>-1.919572844736132</v>
      </c>
      <c r="J203" s="27">
        <f t="shared" si="42"/>
        <v>0.45307384956077701</v>
      </c>
      <c r="K203" s="27" t="e">
        <f t="shared" si="43"/>
        <v>#NUM!</v>
      </c>
      <c r="L203" s="27" t="e">
        <f t="shared" si="44"/>
        <v>#NUM!</v>
      </c>
      <c r="M203" s="17" t="e">
        <f t="shared" si="45"/>
        <v>#NUM!</v>
      </c>
      <c r="N203" s="17" t="e">
        <f t="shared" si="46"/>
        <v>#N/A</v>
      </c>
      <c r="O203" s="57" t="e">
        <f t="shared" si="47"/>
        <v>#N/A</v>
      </c>
      <c r="P203" s="17">
        <f>IF(ISERROR(O203),0,IF('R-AFC ISOTOPE'!$G$7=B203,O203,0))</f>
        <v>0</v>
      </c>
      <c r="Q203" s="70"/>
      <c r="S203" s="81"/>
      <c r="T203" s="30"/>
      <c r="U203" s="30"/>
      <c r="W203" s="30"/>
      <c r="X203" s="30"/>
      <c r="Y203" s="30"/>
      <c r="Z203" s="30"/>
      <c r="AA203" s="30"/>
      <c r="AB203" s="30"/>
      <c r="AC203" s="30"/>
      <c r="AD203" s="85"/>
      <c r="AE203" s="85"/>
      <c r="AF203" s="70"/>
      <c r="AH203" s="81"/>
      <c r="AI203" s="30"/>
      <c r="AJ203" s="30"/>
      <c r="AL203" s="30"/>
      <c r="AM203" s="30"/>
      <c r="AN203" s="30"/>
      <c r="AO203" s="30"/>
      <c r="AP203" s="30"/>
      <c r="AQ203" s="30"/>
      <c r="AR203" s="30"/>
      <c r="AS203" s="85"/>
      <c r="AT203" s="85"/>
      <c r="AU203" s="70"/>
      <c r="AW203" s="81"/>
      <c r="AX203" s="30"/>
      <c r="AY203" s="30"/>
      <c r="BA203" s="30"/>
      <c r="BB203" s="30"/>
      <c r="BC203" s="30"/>
      <c r="BD203" s="30"/>
      <c r="BE203" s="30"/>
      <c r="BF203" s="30"/>
      <c r="BG203" s="30"/>
      <c r="BH203" s="85"/>
      <c r="BI203" s="85"/>
      <c r="BJ203" s="70"/>
      <c r="BL203" s="81"/>
      <c r="BM203" s="30"/>
      <c r="BN203" s="30"/>
      <c r="BP203" s="30"/>
      <c r="BQ203" s="30"/>
      <c r="BR203" s="30"/>
      <c r="BS203" s="30"/>
      <c r="BT203" s="30"/>
      <c r="BU203" s="30"/>
      <c r="BV203" s="30"/>
      <c r="BW203" s="85"/>
      <c r="BX203" s="85"/>
      <c r="BY203" s="70"/>
      <c r="CA203" s="81"/>
      <c r="CB203" s="30"/>
      <c r="CC203" s="30"/>
      <c r="CE203" s="30"/>
      <c r="CF203" s="30"/>
      <c r="CG203" s="30"/>
      <c r="CH203" s="30"/>
      <c r="CI203" s="30"/>
      <c r="CJ203" s="30"/>
      <c r="CK203" s="30"/>
      <c r="CL203" s="85"/>
      <c r="CM203" s="85"/>
      <c r="CN203" s="70"/>
      <c r="CP203" s="81"/>
      <c r="CQ203" s="30"/>
      <c r="CR203" s="30"/>
      <c r="CT203" s="30"/>
      <c r="CU203" s="30"/>
      <c r="CV203" s="30"/>
      <c r="CW203" s="30"/>
      <c r="CX203" s="30"/>
      <c r="CY203" s="30"/>
      <c r="CZ203" s="30"/>
      <c r="DA203" s="85"/>
      <c r="DB203" s="85"/>
      <c r="DC203" s="70"/>
      <c r="DE203" s="81"/>
      <c r="DF203" s="30"/>
      <c r="DG203" s="30"/>
      <c r="DI203" s="30"/>
      <c r="DJ203" s="30"/>
      <c r="DK203" s="30"/>
      <c r="DL203" s="30"/>
      <c r="DM203" s="30"/>
      <c r="DN203" s="30"/>
      <c r="DO203" s="30"/>
      <c r="DP203" s="85"/>
      <c r="DQ203" s="85"/>
      <c r="DR203" s="70"/>
      <c r="DT203" s="81"/>
      <c r="DU203" s="30"/>
      <c r="DV203" s="30"/>
      <c r="DX203" s="30"/>
      <c r="DY203" s="30"/>
      <c r="DZ203" s="30"/>
      <c r="EA203" s="30"/>
      <c r="EB203" s="30"/>
      <c r="EC203" s="30"/>
      <c r="ED203" s="30"/>
      <c r="EE203" s="85"/>
      <c r="EF203" s="85"/>
      <c r="EG203" s="70"/>
      <c r="EI203" s="81"/>
      <c r="EJ203" s="30"/>
      <c r="EK203" s="30"/>
      <c r="EM203" s="30"/>
      <c r="EN203" s="30"/>
      <c r="EO203" s="30"/>
      <c r="EP203" s="30"/>
      <c r="EQ203" s="30"/>
      <c r="ER203" s="30"/>
      <c r="ES203" s="30"/>
      <c r="ET203" s="85"/>
      <c r="EU203" s="85"/>
      <c r="EV203" s="70"/>
    </row>
    <row r="204" spans="2:152">
      <c r="B204" s="11">
        <v>0.82</v>
      </c>
      <c r="C204" s="28">
        <f t="shared" si="37"/>
        <v>2.2799999999999998</v>
      </c>
      <c r="D204" s="16"/>
      <c r="E204" s="8"/>
      <c r="F204" s="27">
        <f t="shared" si="38"/>
        <v>1.5918560606060608</v>
      </c>
      <c r="G204" s="27">
        <f t="shared" si="39"/>
        <v>-1924.1929299999997</v>
      </c>
      <c r="H204" s="27">
        <f t="shared" si="40"/>
        <v>1012.6713996693182</v>
      </c>
      <c r="I204" s="27">
        <f t="shared" si="41"/>
        <v>-1.9001158032391685</v>
      </c>
      <c r="J204" s="27">
        <f t="shared" si="42"/>
        <v>0.45793594371637669</v>
      </c>
      <c r="K204" s="27" t="e">
        <f t="shared" si="43"/>
        <v>#NUM!</v>
      </c>
      <c r="L204" s="27" t="e">
        <f t="shared" si="44"/>
        <v>#NUM!</v>
      </c>
      <c r="M204" s="17" t="e">
        <f t="shared" si="45"/>
        <v>#NUM!</v>
      </c>
      <c r="N204" s="17" t="e">
        <f t="shared" si="46"/>
        <v>#N/A</v>
      </c>
      <c r="O204" s="57" t="e">
        <f t="shared" si="47"/>
        <v>#N/A</v>
      </c>
      <c r="P204" s="17">
        <f>IF(ISERROR(O204),0,IF('R-AFC ISOTOPE'!$G$7=B204,O204,0))</f>
        <v>0</v>
      </c>
      <c r="Q204" s="70"/>
      <c r="S204" s="81"/>
      <c r="T204" s="30"/>
      <c r="U204" s="30"/>
      <c r="W204" s="30"/>
      <c r="X204" s="30"/>
      <c r="Y204" s="30"/>
      <c r="Z204" s="30"/>
      <c r="AA204" s="30"/>
      <c r="AB204" s="30"/>
      <c r="AC204" s="30"/>
      <c r="AD204" s="85"/>
      <c r="AE204" s="85"/>
      <c r="AF204" s="70"/>
      <c r="AH204" s="81"/>
      <c r="AI204" s="30"/>
      <c r="AJ204" s="30"/>
      <c r="AL204" s="30"/>
      <c r="AM204" s="30"/>
      <c r="AN204" s="30"/>
      <c r="AO204" s="30"/>
      <c r="AP204" s="30"/>
      <c r="AQ204" s="30"/>
      <c r="AR204" s="30"/>
      <c r="AS204" s="85"/>
      <c r="AT204" s="85"/>
      <c r="AU204" s="70"/>
      <c r="AW204" s="81"/>
      <c r="AX204" s="30"/>
      <c r="AY204" s="30"/>
      <c r="BA204" s="30"/>
      <c r="BB204" s="30"/>
      <c r="BC204" s="30"/>
      <c r="BD204" s="30"/>
      <c r="BE204" s="30"/>
      <c r="BF204" s="30"/>
      <c r="BG204" s="30"/>
      <c r="BH204" s="85"/>
      <c r="BI204" s="85"/>
      <c r="BJ204" s="70"/>
      <c r="BL204" s="81"/>
      <c r="BM204" s="30"/>
      <c r="BN204" s="30"/>
      <c r="BP204" s="30"/>
      <c r="BQ204" s="30"/>
      <c r="BR204" s="30"/>
      <c r="BS204" s="30"/>
      <c r="BT204" s="30"/>
      <c r="BU204" s="30"/>
      <c r="BV204" s="30"/>
      <c r="BW204" s="85"/>
      <c r="BX204" s="85"/>
      <c r="BY204" s="70"/>
      <c r="CA204" s="81"/>
      <c r="CB204" s="30"/>
      <c r="CC204" s="30"/>
      <c r="CE204" s="30"/>
      <c r="CF204" s="30"/>
      <c r="CG204" s="30"/>
      <c r="CH204" s="30"/>
      <c r="CI204" s="30"/>
      <c r="CJ204" s="30"/>
      <c r="CK204" s="30"/>
      <c r="CL204" s="85"/>
      <c r="CM204" s="85"/>
      <c r="CN204" s="70"/>
      <c r="CP204" s="81"/>
      <c r="CQ204" s="30"/>
      <c r="CR204" s="30"/>
      <c r="CT204" s="30"/>
      <c r="CU204" s="30"/>
      <c r="CV204" s="30"/>
      <c r="CW204" s="30"/>
      <c r="CX204" s="30"/>
      <c r="CY204" s="30"/>
      <c r="CZ204" s="30"/>
      <c r="DA204" s="85"/>
      <c r="DB204" s="85"/>
      <c r="DC204" s="70"/>
      <c r="DE204" s="81"/>
      <c r="DF204" s="30"/>
      <c r="DG204" s="30"/>
      <c r="DI204" s="30"/>
      <c r="DJ204" s="30"/>
      <c r="DK204" s="30"/>
      <c r="DL204" s="30"/>
      <c r="DM204" s="30"/>
      <c r="DN204" s="30"/>
      <c r="DO204" s="30"/>
      <c r="DP204" s="85"/>
      <c r="DQ204" s="85"/>
      <c r="DR204" s="70"/>
      <c r="DT204" s="81"/>
      <c r="DU204" s="30"/>
      <c r="DV204" s="30"/>
      <c r="DX204" s="30"/>
      <c r="DY204" s="30"/>
      <c r="DZ204" s="30"/>
      <c r="EA204" s="30"/>
      <c r="EB204" s="30"/>
      <c r="EC204" s="30"/>
      <c r="ED204" s="30"/>
      <c r="EE204" s="85"/>
      <c r="EF204" s="85"/>
      <c r="EG204" s="70"/>
      <c r="EI204" s="81"/>
      <c r="EJ204" s="30"/>
      <c r="EK204" s="30"/>
      <c r="EM204" s="30"/>
      <c r="EN204" s="30"/>
      <c r="EO204" s="30"/>
      <c r="EP204" s="30"/>
      <c r="EQ204" s="30"/>
      <c r="ER204" s="30"/>
      <c r="ES204" s="30"/>
      <c r="ET204" s="85"/>
      <c r="EU204" s="85"/>
      <c r="EV204" s="70"/>
    </row>
    <row r="205" spans="2:152">
      <c r="B205" s="11">
        <v>0.83</v>
      </c>
      <c r="C205" s="28">
        <f t="shared" si="37"/>
        <v>2.2799999999999998</v>
      </c>
      <c r="D205" s="16"/>
      <c r="E205" s="8"/>
      <c r="F205" s="27">
        <f t="shared" si="38"/>
        <v>1.5805852299117513</v>
      </c>
      <c r="G205" s="27">
        <f t="shared" si="39"/>
        <v>-1934.6099299999992</v>
      </c>
      <c r="H205" s="27">
        <f t="shared" si="40"/>
        <v>1028.3626976207092</v>
      </c>
      <c r="I205" s="27">
        <f t="shared" si="41"/>
        <v>-1.881252533251202</v>
      </c>
      <c r="J205" s="27">
        <f t="shared" si="42"/>
        <v>0.46271235297451985</v>
      </c>
      <c r="K205" s="27" t="e">
        <f t="shared" si="43"/>
        <v>#NUM!</v>
      </c>
      <c r="L205" s="27" t="e">
        <f t="shared" si="44"/>
        <v>#NUM!</v>
      </c>
      <c r="M205" s="17" t="e">
        <f t="shared" si="45"/>
        <v>#NUM!</v>
      </c>
      <c r="N205" s="17" t="e">
        <f t="shared" si="46"/>
        <v>#N/A</v>
      </c>
      <c r="O205" s="57" t="e">
        <f t="shared" si="47"/>
        <v>#N/A</v>
      </c>
      <c r="P205" s="17">
        <f>IF(ISERROR(O205),0,IF('R-AFC ISOTOPE'!$G$7=B205,O205,0))</f>
        <v>0</v>
      </c>
      <c r="Q205" s="70"/>
      <c r="S205" s="81"/>
      <c r="T205" s="30"/>
      <c r="U205" s="30"/>
      <c r="W205" s="30"/>
      <c r="X205" s="30"/>
      <c r="Y205" s="30"/>
      <c r="Z205" s="30"/>
      <c r="AA205" s="30"/>
      <c r="AB205" s="30"/>
      <c r="AC205" s="30"/>
      <c r="AD205" s="85"/>
      <c r="AE205" s="85"/>
      <c r="AF205" s="70"/>
      <c r="AH205" s="81"/>
      <c r="AI205" s="30"/>
      <c r="AJ205" s="30"/>
      <c r="AL205" s="30"/>
      <c r="AM205" s="30"/>
      <c r="AN205" s="30"/>
      <c r="AO205" s="30"/>
      <c r="AP205" s="30"/>
      <c r="AQ205" s="30"/>
      <c r="AR205" s="30"/>
      <c r="AS205" s="85"/>
      <c r="AT205" s="85"/>
      <c r="AU205" s="70"/>
      <c r="AW205" s="81"/>
      <c r="AX205" s="30"/>
      <c r="AY205" s="30"/>
      <c r="BA205" s="30"/>
      <c r="BB205" s="30"/>
      <c r="BC205" s="30"/>
      <c r="BD205" s="30"/>
      <c r="BE205" s="30"/>
      <c r="BF205" s="30"/>
      <c r="BG205" s="30"/>
      <c r="BH205" s="85"/>
      <c r="BI205" s="85"/>
      <c r="BJ205" s="70"/>
      <c r="BL205" s="81"/>
      <c r="BM205" s="30"/>
      <c r="BN205" s="30"/>
      <c r="BP205" s="30"/>
      <c r="BQ205" s="30"/>
      <c r="BR205" s="30"/>
      <c r="BS205" s="30"/>
      <c r="BT205" s="30"/>
      <c r="BU205" s="30"/>
      <c r="BV205" s="30"/>
      <c r="BW205" s="85"/>
      <c r="BX205" s="85"/>
      <c r="BY205" s="70"/>
      <c r="CA205" s="81"/>
      <c r="CB205" s="30"/>
      <c r="CC205" s="30"/>
      <c r="CE205" s="30"/>
      <c r="CF205" s="30"/>
      <c r="CG205" s="30"/>
      <c r="CH205" s="30"/>
      <c r="CI205" s="30"/>
      <c r="CJ205" s="30"/>
      <c r="CK205" s="30"/>
      <c r="CL205" s="85"/>
      <c r="CM205" s="85"/>
      <c r="CN205" s="70"/>
      <c r="CP205" s="81"/>
      <c r="CQ205" s="30"/>
      <c r="CR205" s="30"/>
      <c r="CT205" s="30"/>
      <c r="CU205" s="30"/>
      <c r="CV205" s="30"/>
      <c r="CW205" s="30"/>
      <c r="CX205" s="30"/>
      <c r="CY205" s="30"/>
      <c r="CZ205" s="30"/>
      <c r="DA205" s="85"/>
      <c r="DB205" s="85"/>
      <c r="DC205" s="70"/>
      <c r="DE205" s="81"/>
      <c r="DF205" s="30"/>
      <c r="DG205" s="30"/>
      <c r="DI205" s="30"/>
      <c r="DJ205" s="30"/>
      <c r="DK205" s="30"/>
      <c r="DL205" s="30"/>
      <c r="DM205" s="30"/>
      <c r="DN205" s="30"/>
      <c r="DO205" s="30"/>
      <c r="DP205" s="85"/>
      <c r="DQ205" s="85"/>
      <c r="DR205" s="70"/>
      <c r="DT205" s="81"/>
      <c r="DU205" s="30"/>
      <c r="DV205" s="30"/>
      <c r="DX205" s="30"/>
      <c r="DY205" s="30"/>
      <c r="DZ205" s="30"/>
      <c r="EA205" s="30"/>
      <c r="EB205" s="30"/>
      <c r="EC205" s="30"/>
      <c r="ED205" s="30"/>
      <c r="EE205" s="85"/>
      <c r="EF205" s="85"/>
      <c r="EG205" s="70"/>
      <c r="EI205" s="81"/>
      <c r="EJ205" s="30"/>
      <c r="EK205" s="30"/>
      <c r="EM205" s="30"/>
      <c r="EN205" s="30"/>
      <c r="EO205" s="30"/>
      <c r="EP205" s="30"/>
      <c r="EQ205" s="30"/>
      <c r="ER205" s="30"/>
      <c r="ES205" s="30"/>
      <c r="ET205" s="85"/>
      <c r="EU205" s="85"/>
      <c r="EV205" s="70"/>
    </row>
    <row r="206" spans="2:152">
      <c r="B206" s="11">
        <v>0.84</v>
      </c>
      <c r="C206" s="28">
        <f t="shared" si="37"/>
        <v>2.2799999999999998</v>
      </c>
      <c r="D206" s="16"/>
      <c r="E206" s="8"/>
      <c r="F206" s="27">
        <f t="shared" si="38"/>
        <v>1.569735642661805</v>
      </c>
      <c r="G206" s="27">
        <f t="shared" si="39"/>
        <v>-1945.02693</v>
      </c>
      <c r="H206" s="27">
        <f t="shared" si="40"/>
        <v>1044.0539955720999</v>
      </c>
      <c r="I206" s="27">
        <f t="shared" si="41"/>
        <v>-1.8629562630371459</v>
      </c>
      <c r="J206" s="27">
        <f t="shared" si="42"/>
        <v>0.46740532259408885</v>
      </c>
      <c r="K206" s="27" t="e">
        <f t="shared" si="43"/>
        <v>#NUM!</v>
      </c>
      <c r="L206" s="27" t="e">
        <f t="shared" si="44"/>
        <v>#NUM!</v>
      </c>
      <c r="M206" s="17" t="e">
        <f t="shared" si="45"/>
        <v>#NUM!</v>
      </c>
      <c r="N206" s="17" t="e">
        <f t="shared" si="46"/>
        <v>#N/A</v>
      </c>
      <c r="O206" s="57" t="e">
        <f t="shared" si="47"/>
        <v>#N/A</v>
      </c>
      <c r="P206" s="17">
        <f>IF(ISERROR(O206),0,IF('R-AFC ISOTOPE'!$G$7=B206,O206,0))</f>
        <v>0</v>
      </c>
      <c r="Q206" s="70"/>
      <c r="S206" s="81"/>
      <c r="T206" s="30"/>
      <c r="U206" s="30"/>
      <c r="W206" s="30"/>
      <c r="X206" s="30"/>
      <c r="Y206" s="30"/>
      <c r="Z206" s="30"/>
      <c r="AA206" s="30"/>
      <c r="AB206" s="30"/>
      <c r="AC206" s="30"/>
      <c r="AD206" s="85"/>
      <c r="AE206" s="85"/>
      <c r="AF206" s="70"/>
      <c r="AH206" s="81"/>
      <c r="AI206" s="30"/>
      <c r="AJ206" s="30"/>
      <c r="AL206" s="30"/>
      <c r="AM206" s="30"/>
      <c r="AN206" s="30"/>
      <c r="AO206" s="30"/>
      <c r="AP206" s="30"/>
      <c r="AQ206" s="30"/>
      <c r="AR206" s="30"/>
      <c r="AS206" s="85"/>
      <c r="AT206" s="85"/>
      <c r="AU206" s="70"/>
      <c r="AW206" s="81"/>
      <c r="AX206" s="30"/>
      <c r="AY206" s="30"/>
      <c r="BA206" s="30"/>
      <c r="BB206" s="30"/>
      <c r="BC206" s="30"/>
      <c r="BD206" s="30"/>
      <c r="BE206" s="30"/>
      <c r="BF206" s="30"/>
      <c r="BG206" s="30"/>
      <c r="BH206" s="85"/>
      <c r="BI206" s="85"/>
      <c r="BJ206" s="70"/>
      <c r="BL206" s="81"/>
      <c r="BM206" s="30"/>
      <c r="BN206" s="30"/>
      <c r="BP206" s="30"/>
      <c r="BQ206" s="30"/>
      <c r="BR206" s="30"/>
      <c r="BS206" s="30"/>
      <c r="BT206" s="30"/>
      <c r="BU206" s="30"/>
      <c r="BV206" s="30"/>
      <c r="BW206" s="85"/>
      <c r="BX206" s="85"/>
      <c r="BY206" s="70"/>
      <c r="CA206" s="81"/>
      <c r="CB206" s="30"/>
      <c r="CC206" s="30"/>
      <c r="CE206" s="30"/>
      <c r="CF206" s="30"/>
      <c r="CG206" s="30"/>
      <c r="CH206" s="30"/>
      <c r="CI206" s="30"/>
      <c r="CJ206" s="30"/>
      <c r="CK206" s="30"/>
      <c r="CL206" s="85"/>
      <c r="CM206" s="85"/>
      <c r="CN206" s="70"/>
      <c r="CP206" s="81"/>
      <c r="CQ206" s="30"/>
      <c r="CR206" s="30"/>
      <c r="CT206" s="30"/>
      <c r="CU206" s="30"/>
      <c r="CV206" s="30"/>
      <c r="CW206" s="30"/>
      <c r="CX206" s="30"/>
      <c r="CY206" s="30"/>
      <c r="CZ206" s="30"/>
      <c r="DA206" s="85"/>
      <c r="DB206" s="85"/>
      <c r="DC206" s="70"/>
      <c r="DE206" s="81"/>
      <c r="DF206" s="30"/>
      <c r="DG206" s="30"/>
      <c r="DI206" s="30"/>
      <c r="DJ206" s="30"/>
      <c r="DK206" s="30"/>
      <c r="DL206" s="30"/>
      <c r="DM206" s="30"/>
      <c r="DN206" s="30"/>
      <c r="DO206" s="30"/>
      <c r="DP206" s="85"/>
      <c r="DQ206" s="85"/>
      <c r="DR206" s="70"/>
      <c r="DT206" s="81"/>
      <c r="DU206" s="30"/>
      <c r="DV206" s="30"/>
      <c r="DX206" s="30"/>
      <c r="DY206" s="30"/>
      <c r="DZ206" s="30"/>
      <c r="EA206" s="30"/>
      <c r="EB206" s="30"/>
      <c r="EC206" s="30"/>
      <c r="ED206" s="30"/>
      <c r="EE206" s="85"/>
      <c r="EF206" s="85"/>
      <c r="EG206" s="70"/>
      <c r="EI206" s="81"/>
      <c r="EJ206" s="30"/>
      <c r="EK206" s="30"/>
      <c r="EM206" s="30"/>
      <c r="EN206" s="30"/>
      <c r="EO206" s="30"/>
      <c r="EP206" s="30"/>
      <c r="EQ206" s="30"/>
      <c r="ER206" s="30"/>
      <c r="ES206" s="30"/>
      <c r="ET206" s="85"/>
      <c r="EU206" s="85"/>
      <c r="EV206" s="70"/>
    </row>
    <row r="207" spans="2:152">
      <c r="B207" s="11">
        <v>0.85</v>
      </c>
      <c r="C207" s="28">
        <f t="shared" si="37"/>
        <v>2.2799999999999998</v>
      </c>
      <c r="D207" s="16"/>
      <c r="E207" s="8"/>
      <c r="F207" s="27">
        <f t="shared" si="38"/>
        <v>1.5592841163310962</v>
      </c>
      <c r="G207" s="27">
        <f t="shared" si="39"/>
        <v>-1955.4439299999999</v>
      </c>
      <c r="H207" s="27">
        <f t="shared" si="40"/>
        <v>1059.7452935234908</v>
      </c>
      <c r="I207" s="27">
        <f t="shared" si="41"/>
        <v>-1.8452018064628042</v>
      </c>
      <c r="J207" s="27">
        <f t="shared" si="42"/>
        <v>0.47201702006785107</v>
      </c>
      <c r="K207" s="27" t="e">
        <f t="shared" si="43"/>
        <v>#NUM!</v>
      </c>
      <c r="L207" s="27" t="e">
        <f t="shared" si="44"/>
        <v>#NUM!</v>
      </c>
      <c r="M207" s="17" t="e">
        <f t="shared" si="45"/>
        <v>#NUM!</v>
      </c>
      <c r="N207" s="17" t="e">
        <f t="shared" si="46"/>
        <v>#N/A</v>
      </c>
      <c r="O207" s="57" t="e">
        <f t="shared" si="47"/>
        <v>#N/A</v>
      </c>
      <c r="P207" s="17">
        <f>IF(ISERROR(O207),0,IF('R-AFC ISOTOPE'!$G$7=B207,O207,0))</f>
        <v>0</v>
      </c>
      <c r="Q207" s="70"/>
      <c r="S207" s="81"/>
      <c r="T207" s="30"/>
      <c r="U207" s="30"/>
      <c r="W207" s="30"/>
      <c r="X207" s="30"/>
      <c r="Y207" s="30"/>
      <c r="Z207" s="30"/>
      <c r="AA207" s="30"/>
      <c r="AB207" s="30"/>
      <c r="AC207" s="30"/>
      <c r="AD207" s="85"/>
      <c r="AE207" s="85"/>
      <c r="AF207" s="70"/>
      <c r="AH207" s="81"/>
      <c r="AI207" s="30"/>
      <c r="AJ207" s="30"/>
      <c r="AL207" s="30"/>
      <c r="AM207" s="30"/>
      <c r="AN207" s="30"/>
      <c r="AO207" s="30"/>
      <c r="AP207" s="30"/>
      <c r="AQ207" s="30"/>
      <c r="AR207" s="30"/>
      <c r="AS207" s="85"/>
      <c r="AT207" s="85"/>
      <c r="AU207" s="70"/>
      <c r="AW207" s="81"/>
      <c r="AX207" s="30"/>
      <c r="AY207" s="30"/>
      <c r="BA207" s="30"/>
      <c r="BB207" s="30"/>
      <c r="BC207" s="30"/>
      <c r="BD207" s="30"/>
      <c r="BE207" s="30"/>
      <c r="BF207" s="30"/>
      <c r="BG207" s="30"/>
      <c r="BH207" s="85"/>
      <c r="BI207" s="85"/>
      <c r="BJ207" s="70"/>
      <c r="BL207" s="81"/>
      <c r="BM207" s="30"/>
      <c r="BN207" s="30"/>
      <c r="BP207" s="30"/>
      <c r="BQ207" s="30"/>
      <c r="BR207" s="30"/>
      <c r="BS207" s="30"/>
      <c r="BT207" s="30"/>
      <c r="BU207" s="30"/>
      <c r="BV207" s="30"/>
      <c r="BW207" s="85"/>
      <c r="BX207" s="85"/>
      <c r="BY207" s="70"/>
      <c r="CA207" s="81"/>
      <c r="CB207" s="30"/>
      <c r="CC207" s="30"/>
      <c r="CE207" s="30"/>
      <c r="CF207" s="30"/>
      <c r="CG207" s="30"/>
      <c r="CH207" s="30"/>
      <c r="CI207" s="30"/>
      <c r="CJ207" s="30"/>
      <c r="CK207" s="30"/>
      <c r="CL207" s="85"/>
      <c r="CM207" s="85"/>
      <c r="CN207" s="70"/>
      <c r="CP207" s="81"/>
      <c r="CQ207" s="30"/>
      <c r="CR207" s="30"/>
      <c r="CT207" s="30"/>
      <c r="CU207" s="30"/>
      <c r="CV207" s="30"/>
      <c r="CW207" s="30"/>
      <c r="CX207" s="30"/>
      <c r="CY207" s="30"/>
      <c r="CZ207" s="30"/>
      <c r="DA207" s="85"/>
      <c r="DB207" s="85"/>
      <c r="DC207" s="70"/>
      <c r="DE207" s="81"/>
      <c r="DF207" s="30"/>
      <c r="DG207" s="30"/>
      <c r="DI207" s="30"/>
      <c r="DJ207" s="30"/>
      <c r="DK207" s="30"/>
      <c r="DL207" s="30"/>
      <c r="DM207" s="30"/>
      <c r="DN207" s="30"/>
      <c r="DO207" s="30"/>
      <c r="DP207" s="85"/>
      <c r="DQ207" s="85"/>
      <c r="DR207" s="70"/>
      <c r="DT207" s="81"/>
      <c r="DU207" s="30"/>
      <c r="DV207" s="30"/>
      <c r="DX207" s="30"/>
      <c r="DY207" s="30"/>
      <c r="DZ207" s="30"/>
      <c r="EA207" s="30"/>
      <c r="EB207" s="30"/>
      <c r="EC207" s="30"/>
      <c r="ED207" s="30"/>
      <c r="EE207" s="85"/>
      <c r="EF207" s="85"/>
      <c r="EG207" s="70"/>
      <c r="EI207" s="81"/>
      <c r="EJ207" s="30"/>
      <c r="EK207" s="30"/>
      <c r="EM207" s="30"/>
      <c r="EN207" s="30"/>
      <c r="EO207" s="30"/>
      <c r="EP207" s="30"/>
      <c r="EQ207" s="30"/>
      <c r="ER207" s="30"/>
      <c r="ES207" s="30"/>
      <c r="ET207" s="85"/>
      <c r="EU207" s="85"/>
      <c r="EV207" s="70"/>
    </row>
    <row r="208" spans="2:152">
      <c r="B208" s="11">
        <v>0.86</v>
      </c>
      <c r="C208" s="28">
        <f t="shared" si="37"/>
        <v>2.2799999999999998</v>
      </c>
      <c r="D208" s="16"/>
      <c r="E208" s="8"/>
      <c r="F208" s="27">
        <f t="shared" si="38"/>
        <v>1.5492091388400704</v>
      </c>
      <c r="G208" s="27">
        <f t="shared" si="39"/>
        <v>-1965.8609299999998</v>
      </c>
      <c r="H208" s="27">
        <f t="shared" si="40"/>
        <v>1075.4365914748817</v>
      </c>
      <c r="I208" s="27">
        <f t="shared" si="41"/>
        <v>-1.8279654473202991</v>
      </c>
      <c r="J208" s="27">
        <f t="shared" si="42"/>
        <v>0.47654953846041098</v>
      </c>
      <c r="K208" s="27" t="e">
        <f t="shared" si="43"/>
        <v>#NUM!</v>
      </c>
      <c r="L208" s="27" t="e">
        <f t="shared" si="44"/>
        <v>#NUM!</v>
      </c>
      <c r="M208" s="17" t="e">
        <f t="shared" si="45"/>
        <v>#NUM!</v>
      </c>
      <c r="N208" s="17" t="e">
        <f t="shared" si="46"/>
        <v>#N/A</v>
      </c>
      <c r="O208" s="57" t="e">
        <f t="shared" si="47"/>
        <v>#N/A</v>
      </c>
      <c r="P208" s="17">
        <f>IF(ISERROR(O208),0,IF('R-AFC ISOTOPE'!$G$7=B208,O208,0))</f>
        <v>0</v>
      </c>
      <c r="Q208" s="70"/>
      <c r="S208" s="81"/>
      <c r="T208" s="30"/>
      <c r="U208" s="30"/>
      <c r="W208" s="30"/>
      <c r="X208" s="30"/>
      <c r="Y208" s="30"/>
      <c r="Z208" s="30"/>
      <c r="AA208" s="30"/>
      <c r="AB208" s="30"/>
      <c r="AC208" s="30"/>
      <c r="AD208" s="85"/>
      <c r="AE208" s="85"/>
      <c r="AF208" s="70"/>
      <c r="AH208" s="81"/>
      <c r="AI208" s="30"/>
      <c r="AJ208" s="30"/>
      <c r="AL208" s="30"/>
      <c r="AM208" s="30"/>
      <c r="AN208" s="30"/>
      <c r="AO208" s="30"/>
      <c r="AP208" s="30"/>
      <c r="AQ208" s="30"/>
      <c r="AR208" s="30"/>
      <c r="AS208" s="85"/>
      <c r="AT208" s="85"/>
      <c r="AU208" s="70"/>
      <c r="AW208" s="81"/>
      <c r="AX208" s="30"/>
      <c r="AY208" s="30"/>
      <c r="BA208" s="30"/>
      <c r="BB208" s="30"/>
      <c r="BC208" s="30"/>
      <c r="BD208" s="30"/>
      <c r="BE208" s="30"/>
      <c r="BF208" s="30"/>
      <c r="BG208" s="30"/>
      <c r="BH208" s="85"/>
      <c r="BI208" s="85"/>
      <c r="BJ208" s="70"/>
      <c r="BL208" s="81"/>
      <c r="BM208" s="30"/>
      <c r="BN208" s="30"/>
      <c r="BP208" s="30"/>
      <c r="BQ208" s="30"/>
      <c r="BR208" s="30"/>
      <c r="BS208" s="30"/>
      <c r="BT208" s="30"/>
      <c r="BU208" s="30"/>
      <c r="BV208" s="30"/>
      <c r="BW208" s="85"/>
      <c r="BX208" s="85"/>
      <c r="BY208" s="70"/>
      <c r="CA208" s="81"/>
      <c r="CB208" s="30"/>
      <c r="CC208" s="30"/>
      <c r="CE208" s="30"/>
      <c r="CF208" s="30"/>
      <c r="CG208" s="30"/>
      <c r="CH208" s="30"/>
      <c r="CI208" s="30"/>
      <c r="CJ208" s="30"/>
      <c r="CK208" s="30"/>
      <c r="CL208" s="85"/>
      <c r="CM208" s="85"/>
      <c r="CN208" s="70"/>
      <c r="CP208" s="81"/>
      <c r="CQ208" s="30"/>
      <c r="CR208" s="30"/>
      <c r="CT208" s="30"/>
      <c r="CU208" s="30"/>
      <c r="CV208" s="30"/>
      <c r="CW208" s="30"/>
      <c r="CX208" s="30"/>
      <c r="CY208" s="30"/>
      <c r="CZ208" s="30"/>
      <c r="DA208" s="85"/>
      <c r="DB208" s="85"/>
      <c r="DC208" s="70"/>
      <c r="DE208" s="81"/>
      <c r="DF208" s="30"/>
      <c r="DG208" s="30"/>
      <c r="DI208" s="30"/>
      <c r="DJ208" s="30"/>
      <c r="DK208" s="30"/>
      <c r="DL208" s="30"/>
      <c r="DM208" s="30"/>
      <c r="DN208" s="30"/>
      <c r="DO208" s="30"/>
      <c r="DP208" s="85"/>
      <c r="DQ208" s="85"/>
      <c r="DR208" s="70"/>
      <c r="DT208" s="81"/>
      <c r="DU208" s="30"/>
      <c r="DV208" s="30"/>
      <c r="DX208" s="30"/>
      <c r="DY208" s="30"/>
      <c r="DZ208" s="30"/>
      <c r="EA208" s="30"/>
      <c r="EB208" s="30"/>
      <c r="EC208" s="30"/>
      <c r="ED208" s="30"/>
      <c r="EE208" s="85"/>
      <c r="EF208" s="85"/>
      <c r="EG208" s="70"/>
      <c r="EI208" s="81"/>
      <c r="EJ208" s="30"/>
      <c r="EK208" s="30"/>
      <c r="EM208" s="30"/>
      <c r="EN208" s="30"/>
      <c r="EO208" s="30"/>
      <c r="EP208" s="30"/>
      <c r="EQ208" s="30"/>
      <c r="ER208" s="30"/>
      <c r="ES208" s="30"/>
      <c r="ET208" s="85"/>
      <c r="EU208" s="85"/>
      <c r="EV208" s="70"/>
    </row>
    <row r="209" spans="2:152">
      <c r="B209" s="11">
        <v>0.87</v>
      </c>
      <c r="C209" s="28">
        <f t="shared" si="37"/>
        <v>2.2799999999999998</v>
      </c>
      <c r="D209" s="16"/>
      <c r="E209" s="8"/>
      <c r="F209" s="27">
        <f t="shared" si="38"/>
        <v>1.5394907207596029</v>
      </c>
      <c r="G209" s="27">
        <f t="shared" si="39"/>
        <v>-1976.2779299999997</v>
      </c>
      <c r="H209" s="27">
        <f t="shared" si="40"/>
        <v>1091.1278894262721</v>
      </c>
      <c r="I209" s="27">
        <f t="shared" si="41"/>
        <v>-1.8112248336344423</v>
      </c>
      <c r="J209" s="27">
        <f t="shared" si="42"/>
        <v>0.48100489957569526</v>
      </c>
      <c r="K209" s="27" t="e">
        <f t="shared" si="43"/>
        <v>#NUM!</v>
      </c>
      <c r="L209" s="27" t="e">
        <f t="shared" si="44"/>
        <v>#NUM!</v>
      </c>
      <c r="M209" s="17" t="e">
        <f t="shared" si="45"/>
        <v>#NUM!</v>
      </c>
      <c r="N209" s="17" t="e">
        <f t="shared" si="46"/>
        <v>#N/A</v>
      </c>
      <c r="O209" s="57" t="e">
        <f t="shared" si="47"/>
        <v>#N/A</v>
      </c>
      <c r="P209" s="17">
        <f>IF(ISERROR(O209),0,IF('R-AFC ISOTOPE'!$G$7=B209,O209,0))</f>
        <v>0</v>
      </c>
      <c r="Q209" s="70"/>
      <c r="S209" s="81"/>
      <c r="T209" s="30"/>
      <c r="U209" s="30"/>
      <c r="W209" s="30"/>
      <c r="X209" s="30"/>
      <c r="Y209" s="30"/>
      <c r="Z209" s="30"/>
      <c r="AA209" s="30"/>
      <c r="AB209" s="30"/>
      <c r="AC209" s="30"/>
      <c r="AD209" s="85"/>
      <c r="AE209" s="85"/>
      <c r="AF209" s="70"/>
      <c r="AH209" s="81"/>
      <c r="AI209" s="30"/>
      <c r="AJ209" s="30"/>
      <c r="AL209" s="30"/>
      <c r="AM209" s="30"/>
      <c r="AN209" s="30"/>
      <c r="AO209" s="30"/>
      <c r="AP209" s="30"/>
      <c r="AQ209" s="30"/>
      <c r="AR209" s="30"/>
      <c r="AS209" s="85"/>
      <c r="AT209" s="85"/>
      <c r="AU209" s="70"/>
      <c r="AW209" s="81"/>
      <c r="AX209" s="30"/>
      <c r="AY209" s="30"/>
      <c r="BA209" s="30"/>
      <c r="BB209" s="30"/>
      <c r="BC209" s="30"/>
      <c r="BD209" s="30"/>
      <c r="BE209" s="30"/>
      <c r="BF209" s="30"/>
      <c r="BG209" s="30"/>
      <c r="BH209" s="85"/>
      <c r="BI209" s="85"/>
      <c r="BJ209" s="70"/>
      <c r="BL209" s="81"/>
      <c r="BM209" s="30"/>
      <c r="BN209" s="30"/>
      <c r="BP209" s="30"/>
      <c r="BQ209" s="30"/>
      <c r="BR209" s="30"/>
      <c r="BS209" s="30"/>
      <c r="BT209" s="30"/>
      <c r="BU209" s="30"/>
      <c r="BV209" s="30"/>
      <c r="BW209" s="85"/>
      <c r="BX209" s="85"/>
      <c r="BY209" s="70"/>
      <c r="CA209" s="81"/>
      <c r="CB209" s="30"/>
      <c r="CC209" s="30"/>
      <c r="CE209" s="30"/>
      <c r="CF209" s="30"/>
      <c r="CG209" s="30"/>
      <c r="CH209" s="30"/>
      <c r="CI209" s="30"/>
      <c r="CJ209" s="30"/>
      <c r="CK209" s="30"/>
      <c r="CL209" s="85"/>
      <c r="CM209" s="85"/>
      <c r="CN209" s="70"/>
      <c r="CP209" s="81"/>
      <c r="CQ209" s="30"/>
      <c r="CR209" s="30"/>
      <c r="CT209" s="30"/>
      <c r="CU209" s="30"/>
      <c r="CV209" s="30"/>
      <c r="CW209" s="30"/>
      <c r="CX209" s="30"/>
      <c r="CY209" s="30"/>
      <c r="CZ209" s="30"/>
      <c r="DA209" s="85"/>
      <c r="DB209" s="85"/>
      <c r="DC209" s="70"/>
      <c r="DE209" s="81"/>
      <c r="DF209" s="30"/>
      <c r="DG209" s="30"/>
      <c r="DI209" s="30"/>
      <c r="DJ209" s="30"/>
      <c r="DK209" s="30"/>
      <c r="DL209" s="30"/>
      <c r="DM209" s="30"/>
      <c r="DN209" s="30"/>
      <c r="DO209" s="30"/>
      <c r="DP209" s="85"/>
      <c r="DQ209" s="85"/>
      <c r="DR209" s="70"/>
      <c r="DT209" s="81"/>
      <c r="DU209" s="30"/>
      <c r="DV209" s="30"/>
      <c r="DX209" s="30"/>
      <c r="DY209" s="30"/>
      <c r="DZ209" s="30"/>
      <c r="EA209" s="30"/>
      <c r="EB209" s="30"/>
      <c r="EC209" s="30"/>
      <c r="ED209" s="30"/>
      <c r="EE209" s="85"/>
      <c r="EF209" s="85"/>
      <c r="EG209" s="70"/>
      <c r="EI209" s="81"/>
      <c r="EJ209" s="30"/>
      <c r="EK209" s="30"/>
      <c r="EM209" s="30"/>
      <c r="EN209" s="30"/>
      <c r="EO209" s="30"/>
      <c r="EP209" s="30"/>
      <c r="EQ209" s="30"/>
      <c r="ER209" s="30"/>
      <c r="ES209" s="30"/>
      <c r="ET209" s="85"/>
      <c r="EU209" s="85"/>
      <c r="EV209" s="70"/>
    </row>
    <row r="210" spans="2:152">
      <c r="B210" s="11">
        <v>0.88</v>
      </c>
      <c r="C210" s="28">
        <f t="shared" si="37"/>
        <v>2.2799999999999998</v>
      </c>
      <c r="D210" s="16"/>
      <c r="E210" s="8"/>
      <c r="F210" s="27">
        <f t="shared" si="38"/>
        <v>1.5301102629346905</v>
      </c>
      <c r="G210" s="27">
        <f t="shared" si="39"/>
        <v>-1986.6949300000001</v>
      </c>
      <c r="H210" s="27">
        <f t="shared" si="40"/>
        <v>1106.8191873776632</v>
      </c>
      <c r="I210" s="27">
        <f t="shared" si="41"/>
        <v>-1.7949588809595782</v>
      </c>
      <c r="J210" s="27">
        <f t="shared" si="42"/>
        <v>0.48538505696404299</v>
      </c>
      <c r="K210" s="27" t="e">
        <f t="shared" si="43"/>
        <v>#NUM!</v>
      </c>
      <c r="L210" s="27" t="e">
        <f t="shared" si="44"/>
        <v>#NUM!</v>
      </c>
      <c r="M210" s="17" t="e">
        <f t="shared" si="45"/>
        <v>#NUM!</v>
      </c>
      <c r="N210" s="17" t="e">
        <f t="shared" si="46"/>
        <v>#N/A</v>
      </c>
      <c r="O210" s="57" t="e">
        <f t="shared" si="47"/>
        <v>#N/A</v>
      </c>
      <c r="P210" s="17">
        <f>IF(ISERROR(O210),0,IF('R-AFC ISOTOPE'!$G$7=B210,O210,0))</f>
        <v>0</v>
      </c>
      <c r="Q210" s="70"/>
      <c r="S210" s="81"/>
      <c r="T210" s="30"/>
      <c r="U210" s="30"/>
      <c r="W210" s="30"/>
      <c r="X210" s="30"/>
      <c r="Y210" s="30"/>
      <c r="Z210" s="30"/>
      <c r="AA210" s="30"/>
      <c r="AB210" s="30"/>
      <c r="AC210" s="30"/>
      <c r="AD210" s="85"/>
      <c r="AE210" s="85"/>
      <c r="AF210" s="70"/>
      <c r="AH210" s="81"/>
      <c r="AI210" s="30"/>
      <c r="AJ210" s="30"/>
      <c r="AL210" s="30"/>
      <c r="AM210" s="30"/>
      <c r="AN210" s="30"/>
      <c r="AO210" s="30"/>
      <c r="AP210" s="30"/>
      <c r="AQ210" s="30"/>
      <c r="AR210" s="30"/>
      <c r="AS210" s="85"/>
      <c r="AT210" s="85"/>
      <c r="AU210" s="70"/>
      <c r="AW210" s="81"/>
      <c r="AX210" s="30"/>
      <c r="AY210" s="30"/>
      <c r="BA210" s="30"/>
      <c r="BB210" s="30"/>
      <c r="BC210" s="30"/>
      <c r="BD210" s="30"/>
      <c r="BE210" s="30"/>
      <c r="BF210" s="30"/>
      <c r="BG210" s="30"/>
      <c r="BH210" s="85"/>
      <c r="BI210" s="85"/>
      <c r="BJ210" s="70"/>
      <c r="BL210" s="81"/>
      <c r="BM210" s="30"/>
      <c r="BN210" s="30"/>
      <c r="BP210" s="30"/>
      <c r="BQ210" s="30"/>
      <c r="BR210" s="30"/>
      <c r="BS210" s="30"/>
      <c r="BT210" s="30"/>
      <c r="BU210" s="30"/>
      <c r="BV210" s="30"/>
      <c r="BW210" s="85"/>
      <c r="BX210" s="85"/>
      <c r="BY210" s="70"/>
      <c r="CA210" s="81"/>
      <c r="CB210" s="30"/>
      <c r="CC210" s="30"/>
      <c r="CE210" s="30"/>
      <c r="CF210" s="30"/>
      <c r="CG210" s="30"/>
      <c r="CH210" s="30"/>
      <c r="CI210" s="30"/>
      <c r="CJ210" s="30"/>
      <c r="CK210" s="30"/>
      <c r="CL210" s="85"/>
      <c r="CM210" s="85"/>
      <c r="CN210" s="70"/>
      <c r="CP210" s="81"/>
      <c r="CQ210" s="30"/>
      <c r="CR210" s="30"/>
      <c r="CT210" s="30"/>
      <c r="CU210" s="30"/>
      <c r="CV210" s="30"/>
      <c r="CW210" s="30"/>
      <c r="CX210" s="30"/>
      <c r="CY210" s="30"/>
      <c r="CZ210" s="30"/>
      <c r="DA210" s="85"/>
      <c r="DB210" s="85"/>
      <c r="DC210" s="70"/>
      <c r="DE210" s="81"/>
      <c r="DF210" s="30"/>
      <c r="DG210" s="30"/>
      <c r="DI210" s="30"/>
      <c r="DJ210" s="30"/>
      <c r="DK210" s="30"/>
      <c r="DL210" s="30"/>
      <c r="DM210" s="30"/>
      <c r="DN210" s="30"/>
      <c r="DO210" s="30"/>
      <c r="DP210" s="85"/>
      <c r="DQ210" s="85"/>
      <c r="DR210" s="70"/>
      <c r="DT210" s="81"/>
      <c r="DU210" s="30"/>
      <c r="DV210" s="30"/>
      <c r="DX210" s="30"/>
      <c r="DY210" s="30"/>
      <c r="DZ210" s="30"/>
      <c r="EA210" s="30"/>
      <c r="EB210" s="30"/>
      <c r="EC210" s="30"/>
      <c r="ED210" s="30"/>
      <c r="EE210" s="85"/>
      <c r="EF210" s="85"/>
      <c r="EG210" s="70"/>
      <c r="EI210" s="81"/>
      <c r="EJ210" s="30"/>
      <c r="EK210" s="30"/>
      <c r="EM210" s="30"/>
      <c r="EN210" s="30"/>
      <c r="EO210" s="30"/>
      <c r="EP210" s="30"/>
      <c r="EQ210" s="30"/>
      <c r="ER210" s="30"/>
      <c r="ES210" s="30"/>
      <c r="ET210" s="85"/>
      <c r="EU210" s="85"/>
      <c r="EV210" s="70"/>
    </row>
    <row r="211" spans="2:152">
      <c r="B211" s="11">
        <v>0.89</v>
      </c>
      <c r="C211" s="28">
        <f t="shared" si="37"/>
        <v>2.2799999999999998</v>
      </c>
      <c r="D211" s="16"/>
      <c r="E211" s="8"/>
      <c r="F211" s="27">
        <f t="shared" si="38"/>
        <v>1.5210504376823677</v>
      </c>
      <c r="G211" s="27">
        <f t="shared" si="39"/>
        <v>-1997.1119299999996</v>
      </c>
      <c r="H211" s="27">
        <f t="shared" si="40"/>
        <v>1122.5104853290541</v>
      </c>
      <c r="I211" s="27">
        <f t="shared" si="41"/>
        <v>-1.7791476837871709</v>
      </c>
      <c r="J211" s="27">
        <f t="shared" si="42"/>
        <v>0.48969189877829628</v>
      </c>
      <c r="K211" s="27" t="e">
        <f t="shared" si="43"/>
        <v>#NUM!</v>
      </c>
      <c r="L211" s="27" t="e">
        <f t="shared" si="44"/>
        <v>#NUM!</v>
      </c>
      <c r="M211" s="17" t="e">
        <f t="shared" si="45"/>
        <v>#NUM!</v>
      </c>
      <c r="N211" s="17" t="e">
        <f t="shared" si="46"/>
        <v>#N/A</v>
      </c>
      <c r="O211" s="57" t="e">
        <f t="shared" si="47"/>
        <v>#N/A</v>
      </c>
      <c r="P211" s="17">
        <f>IF(ISERROR(O211),0,IF('R-AFC ISOTOPE'!$G$7=B211,O211,0))</f>
        <v>0</v>
      </c>
      <c r="Q211" s="70"/>
      <c r="S211" s="81"/>
      <c r="T211" s="30"/>
      <c r="U211" s="30"/>
      <c r="W211" s="30"/>
      <c r="X211" s="30"/>
      <c r="Y211" s="30"/>
      <c r="Z211" s="30"/>
      <c r="AA211" s="30"/>
      <c r="AB211" s="30"/>
      <c r="AC211" s="30"/>
      <c r="AD211" s="85"/>
      <c r="AE211" s="85"/>
      <c r="AF211" s="70"/>
      <c r="AH211" s="81"/>
      <c r="AI211" s="30"/>
      <c r="AJ211" s="30"/>
      <c r="AL211" s="30"/>
      <c r="AM211" s="30"/>
      <c r="AN211" s="30"/>
      <c r="AO211" s="30"/>
      <c r="AP211" s="30"/>
      <c r="AQ211" s="30"/>
      <c r="AR211" s="30"/>
      <c r="AS211" s="85"/>
      <c r="AT211" s="85"/>
      <c r="AU211" s="70"/>
      <c r="AW211" s="81"/>
      <c r="AX211" s="30"/>
      <c r="AY211" s="30"/>
      <c r="BA211" s="30"/>
      <c r="BB211" s="30"/>
      <c r="BC211" s="30"/>
      <c r="BD211" s="30"/>
      <c r="BE211" s="30"/>
      <c r="BF211" s="30"/>
      <c r="BG211" s="30"/>
      <c r="BH211" s="85"/>
      <c r="BI211" s="85"/>
      <c r="BJ211" s="70"/>
      <c r="BL211" s="81"/>
      <c r="BM211" s="30"/>
      <c r="BN211" s="30"/>
      <c r="BP211" s="30"/>
      <c r="BQ211" s="30"/>
      <c r="BR211" s="30"/>
      <c r="BS211" s="30"/>
      <c r="BT211" s="30"/>
      <c r="BU211" s="30"/>
      <c r="BV211" s="30"/>
      <c r="BW211" s="85"/>
      <c r="BX211" s="85"/>
      <c r="BY211" s="70"/>
      <c r="CA211" s="81"/>
      <c r="CB211" s="30"/>
      <c r="CC211" s="30"/>
      <c r="CE211" s="30"/>
      <c r="CF211" s="30"/>
      <c r="CG211" s="30"/>
      <c r="CH211" s="30"/>
      <c r="CI211" s="30"/>
      <c r="CJ211" s="30"/>
      <c r="CK211" s="30"/>
      <c r="CL211" s="85"/>
      <c r="CM211" s="85"/>
      <c r="CN211" s="70"/>
      <c r="CP211" s="81"/>
      <c r="CQ211" s="30"/>
      <c r="CR211" s="30"/>
      <c r="CT211" s="30"/>
      <c r="CU211" s="30"/>
      <c r="CV211" s="30"/>
      <c r="CW211" s="30"/>
      <c r="CX211" s="30"/>
      <c r="CY211" s="30"/>
      <c r="CZ211" s="30"/>
      <c r="DA211" s="85"/>
      <c r="DB211" s="85"/>
      <c r="DC211" s="70"/>
      <c r="DE211" s="81"/>
      <c r="DF211" s="30"/>
      <c r="DG211" s="30"/>
      <c r="DI211" s="30"/>
      <c r="DJ211" s="30"/>
      <c r="DK211" s="30"/>
      <c r="DL211" s="30"/>
      <c r="DM211" s="30"/>
      <c r="DN211" s="30"/>
      <c r="DO211" s="30"/>
      <c r="DP211" s="85"/>
      <c r="DQ211" s="85"/>
      <c r="DR211" s="70"/>
      <c r="DT211" s="81"/>
      <c r="DU211" s="30"/>
      <c r="DV211" s="30"/>
      <c r="DX211" s="30"/>
      <c r="DY211" s="30"/>
      <c r="DZ211" s="30"/>
      <c r="EA211" s="30"/>
      <c r="EB211" s="30"/>
      <c r="EC211" s="30"/>
      <c r="ED211" s="30"/>
      <c r="EE211" s="85"/>
      <c r="EF211" s="85"/>
      <c r="EG211" s="70"/>
      <c r="EI211" s="81"/>
      <c r="EJ211" s="30"/>
      <c r="EK211" s="30"/>
      <c r="EM211" s="30"/>
      <c r="EN211" s="30"/>
      <c r="EO211" s="30"/>
      <c r="EP211" s="30"/>
      <c r="EQ211" s="30"/>
      <c r="ER211" s="30"/>
      <c r="ES211" s="30"/>
      <c r="ET211" s="85"/>
      <c r="EU211" s="85"/>
      <c r="EV211" s="70"/>
    </row>
    <row r="212" spans="2:152">
      <c r="B212" s="11">
        <v>0.9</v>
      </c>
      <c r="C212" s="28">
        <f t="shared" si="37"/>
        <v>2.2799999999999998</v>
      </c>
      <c r="D212" s="16"/>
      <c r="E212" s="8"/>
      <c r="F212" s="27">
        <f t="shared" si="38"/>
        <v>1.5122950819672132</v>
      </c>
      <c r="G212" s="27">
        <f t="shared" si="39"/>
        <v>-2007.5289299999999</v>
      </c>
      <c r="H212" s="27">
        <f t="shared" si="40"/>
        <v>1138.2017832804449</v>
      </c>
      <c r="I212" s="27">
        <f t="shared" si="41"/>
        <v>-1.7637724342814167</v>
      </c>
      <c r="J212" s="27">
        <f t="shared" si="42"/>
        <v>0.49392725048766462</v>
      </c>
      <c r="K212" s="27" t="e">
        <f t="shared" si="43"/>
        <v>#NUM!</v>
      </c>
      <c r="L212" s="27" t="e">
        <f t="shared" si="44"/>
        <v>#NUM!</v>
      </c>
      <c r="M212" s="17" t="e">
        <f t="shared" si="45"/>
        <v>#NUM!</v>
      </c>
      <c r="N212" s="17" t="e">
        <f t="shared" si="46"/>
        <v>#N/A</v>
      </c>
      <c r="O212" s="57" t="e">
        <f t="shared" si="47"/>
        <v>#N/A</v>
      </c>
      <c r="P212" s="17">
        <f>IF(ISERROR(O212),0,IF('R-AFC ISOTOPE'!$G$7=B212,O212,0))</f>
        <v>0</v>
      </c>
      <c r="Q212" s="70"/>
      <c r="S212" s="81"/>
      <c r="T212" s="30"/>
      <c r="U212" s="30"/>
      <c r="W212" s="30"/>
      <c r="X212" s="30"/>
      <c r="Y212" s="30"/>
      <c r="Z212" s="30"/>
      <c r="AA212" s="30"/>
      <c r="AB212" s="30"/>
      <c r="AC212" s="30"/>
      <c r="AD212" s="85"/>
      <c r="AE212" s="85"/>
      <c r="AF212" s="70"/>
      <c r="AH212" s="81"/>
      <c r="AI212" s="30"/>
      <c r="AJ212" s="30"/>
      <c r="AL212" s="30"/>
      <c r="AM212" s="30"/>
      <c r="AN212" s="30"/>
      <c r="AO212" s="30"/>
      <c r="AP212" s="30"/>
      <c r="AQ212" s="30"/>
      <c r="AR212" s="30"/>
      <c r="AS212" s="85"/>
      <c r="AT212" s="85"/>
      <c r="AU212" s="70"/>
      <c r="AW212" s="81"/>
      <c r="AX212" s="30"/>
      <c r="AY212" s="30"/>
      <c r="BA212" s="30"/>
      <c r="BB212" s="30"/>
      <c r="BC212" s="30"/>
      <c r="BD212" s="30"/>
      <c r="BE212" s="30"/>
      <c r="BF212" s="30"/>
      <c r="BG212" s="30"/>
      <c r="BH212" s="85"/>
      <c r="BI212" s="85"/>
      <c r="BJ212" s="70"/>
      <c r="BL212" s="81"/>
      <c r="BM212" s="30"/>
      <c r="BN212" s="30"/>
      <c r="BP212" s="30"/>
      <c r="BQ212" s="30"/>
      <c r="BR212" s="30"/>
      <c r="BS212" s="30"/>
      <c r="BT212" s="30"/>
      <c r="BU212" s="30"/>
      <c r="BV212" s="30"/>
      <c r="BW212" s="85"/>
      <c r="BX212" s="85"/>
      <c r="BY212" s="70"/>
      <c r="CA212" s="81"/>
      <c r="CB212" s="30"/>
      <c r="CC212" s="30"/>
      <c r="CE212" s="30"/>
      <c r="CF212" s="30"/>
      <c r="CG212" s="30"/>
      <c r="CH212" s="30"/>
      <c r="CI212" s="30"/>
      <c r="CJ212" s="30"/>
      <c r="CK212" s="30"/>
      <c r="CL212" s="85"/>
      <c r="CM212" s="85"/>
      <c r="CN212" s="70"/>
      <c r="CP212" s="81"/>
      <c r="CQ212" s="30"/>
      <c r="CR212" s="30"/>
      <c r="CT212" s="30"/>
      <c r="CU212" s="30"/>
      <c r="CV212" s="30"/>
      <c r="CW212" s="30"/>
      <c r="CX212" s="30"/>
      <c r="CY212" s="30"/>
      <c r="CZ212" s="30"/>
      <c r="DA212" s="85"/>
      <c r="DB212" s="85"/>
      <c r="DC212" s="70"/>
      <c r="DE212" s="81"/>
      <c r="DF212" s="30"/>
      <c r="DG212" s="30"/>
      <c r="DI212" s="30"/>
      <c r="DJ212" s="30"/>
      <c r="DK212" s="30"/>
      <c r="DL212" s="30"/>
      <c r="DM212" s="30"/>
      <c r="DN212" s="30"/>
      <c r="DO212" s="30"/>
      <c r="DP212" s="85"/>
      <c r="DQ212" s="85"/>
      <c r="DR212" s="70"/>
      <c r="DT212" s="81"/>
      <c r="DU212" s="30"/>
      <c r="DV212" s="30"/>
      <c r="DX212" s="30"/>
      <c r="DY212" s="30"/>
      <c r="DZ212" s="30"/>
      <c r="EA212" s="30"/>
      <c r="EB212" s="30"/>
      <c r="EC212" s="30"/>
      <c r="ED212" s="30"/>
      <c r="EE212" s="85"/>
      <c r="EF212" s="85"/>
      <c r="EG212" s="70"/>
      <c r="EI212" s="81"/>
      <c r="EJ212" s="30"/>
      <c r="EK212" s="30"/>
      <c r="EM212" s="30"/>
      <c r="EN212" s="30"/>
      <c r="EO212" s="30"/>
      <c r="EP212" s="30"/>
      <c r="EQ212" s="30"/>
      <c r="ER212" s="30"/>
      <c r="ES212" s="30"/>
      <c r="ET212" s="85"/>
      <c r="EU212" s="85"/>
      <c r="EV212" s="70"/>
    </row>
    <row r="213" spans="2:152">
      <c r="B213" s="11">
        <v>0.91</v>
      </c>
      <c r="C213" s="28">
        <f t="shared" si="37"/>
        <v>2.2799999999999998</v>
      </c>
      <c r="D213" s="16"/>
      <c r="E213" s="8"/>
      <c r="F213" s="27">
        <f t="shared" si="38"/>
        <v>1.5038291011688836</v>
      </c>
      <c r="G213" s="27">
        <f t="shared" si="39"/>
        <v>-2017.9459299999994</v>
      </c>
      <c r="H213" s="27">
        <f t="shared" si="40"/>
        <v>1153.8930812318358</v>
      </c>
      <c r="I213" s="27">
        <f t="shared" si="41"/>
        <v>-1.7488153476453348</v>
      </c>
      <c r="J213" s="27">
        <f t="shared" si="42"/>
        <v>0.49809287745755809</v>
      </c>
      <c r="K213" s="27" t="e">
        <f t="shared" si="43"/>
        <v>#NUM!</v>
      </c>
      <c r="L213" s="27" t="e">
        <f t="shared" si="44"/>
        <v>#NUM!</v>
      </c>
      <c r="M213" s="17" t="e">
        <f t="shared" si="45"/>
        <v>#NUM!</v>
      </c>
      <c r="N213" s="17" t="e">
        <f t="shared" si="46"/>
        <v>#N/A</v>
      </c>
      <c r="O213" s="57" t="e">
        <f t="shared" si="47"/>
        <v>#N/A</v>
      </c>
      <c r="P213" s="17">
        <f>IF(ISERROR(O213),0,IF('R-AFC ISOTOPE'!$G$7=B213,O213,0))</f>
        <v>0</v>
      </c>
      <c r="Q213" s="70"/>
      <c r="S213" s="81"/>
      <c r="T213" s="30"/>
      <c r="U213" s="30"/>
      <c r="W213" s="30"/>
      <c r="X213" s="30"/>
      <c r="Y213" s="30"/>
      <c r="Z213" s="30"/>
      <c r="AA213" s="30"/>
      <c r="AB213" s="30"/>
      <c r="AC213" s="30"/>
      <c r="AD213" s="85"/>
      <c r="AE213" s="85"/>
      <c r="AF213" s="70"/>
      <c r="AH213" s="81"/>
      <c r="AI213" s="30"/>
      <c r="AJ213" s="30"/>
      <c r="AL213" s="30"/>
      <c r="AM213" s="30"/>
      <c r="AN213" s="30"/>
      <c r="AO213" s="30"/>
      <c r="AP213" s="30"/>
      <c r="AQ213" s="30"/>
      <c r="AR213" s="30"/>
      <c r="AS213" s="85"/>
      <c r="AT213" s="85"/>
      <c r="AU213" s="70"/>
      <c r="AW213" s="81"/>
      <c r="AX213" s="30"/>
      <c r="AY213" s="30"/>
      <c r="BA213" s="30"/>
      <c r="BB213" s="30"/>
      <c r="BC213" s="30"/>
      <c r="BD213" s="30"/>
      <c r="BE213" s="30"/>
      <c r="BF213" s="30"/>
      <c r="BG213" s="30"/>
      <c r="BH213" s="85"/>
      <c r="BI213" s="85"/>
      <c r="BJ213" s="70"/>
      <c r="BL213" s="81"/>
      <c r="BM213" s="30"/>
      <c r="BN213" s="30"/>
      <c r="BP213" s="30"/>
      <c r="BQ213" s="30"/>
      <c r="BR213" s="30"/>
      <c r="BS213" s="30"/>
      <c r="BT213" s="30"/>
      <c r="BU213" s="30"/>
      <c r="BV213" s="30"/>
      <c r="BW213" s="85"/>
      <c r="BX213" s="85"/>
      <c r="BY213" s="70"/>
      <c r="CA213" s="81"/>
      <c r="CB213" s="30"/>
      <c r="CC213" s="30"/>
      <c r="CE213" s="30"/>
      <c r="CF213" s="30"/>
      <c r="CG213" s="30"/>
      <c r="CH213" s="30"/>
      <c r="CI213" s="30"/>
      <c r="CJ213" s="30"/>
      <c r="CK213" s="30"/>
      <c r="CL213" s="85"/>
      <c r="CM213" s="85"/>
      <c r="CN213" s="70"/>
      <c r="CP213" s="81"/>
      <c r="CQ213" s="30"/>
      <c r="CR213" s="30"/>
      <c r="CT213" s="30"/>
      <c r="CU213" s="30"/>
      <c r="CV213" s="30"/>
      <c r="CW213" s="30"/>
      <c r="CX213" s="30"/>
      <c r="CY213" s="30"/>
      <c r="CZ213" s="30"/>
      <c r="DA213" s="85"/>
      <c r="DB213" s="85"/>
      <c r="DC213" s="70"/>
      <c r="DE213" s="81"/>
      <c r="DF213" s="30"/>
      <c r="DG213" s="30"/>
      <c r="DI213" s="30"/>
      <c r="DJ213" s="30"/>
      <c r="DK213" s="30"/>
      <c r="DL213" s="30"/>
      <c r="DM213" s="30"/>
      <c r="DN213" s="30"/>
      <c r="DO213" s="30"/>
      <c r="DP213" s="85"/>
      <c r="DQ213" s="85"/>
      <c r="DR213" s="70"/>
      <c r="DT213" s="81"/>
      <c r="DU213" s="30"/>
      <c r="DV213" s="30"/>
      <c r="DX213" s="30"/>
      <c r="DY213" s="30"/>
      <c r="DZ213" s="30"/>
      <c r="EA213" s="30"/>
      <c r="EB213" s="30"/>
      <c r="EC213" s="30"/>
      <c r="ED213" s="30"/>
      <c r="EE213" s="85"/>
      <c r="EF213" s="85"/>
      <c r="EG213" s="70"/>
      <c r="EI213" s="81"/>
      <c r="EJ213" s="30"/>
      <c r="EK213" s="30"/>
      <c r="EM213" s="30"/>
      <c r="EN213" s="30"/>
      <c r="EO213" s="30"/>
      <c r="EP213" s="30"/>
      <c r="EQ213" s="30"/>
      <c r="ER213" s="30"/>
      <c r="ES213" s="30"/>
      <c r="ET213" s="85"/>
      <c r="EU213" s="85"/>
      <c r="EV213" s="70"/>
    </row>
    <row r="214" spans="2:152">
      <c r="B214" s="11">
        <v>0.92</v>
      </c>
      <c r="C214" s="28">
        <f t="shared" si="37"/>
        <v>2.2799999999999998</v>
      </c>
      <c r="D214" s="16"/>
      <c r="E214" s="8"/>
      <c r="F214" s="27">
        <f t="shared" si="38"/>
        <v>1.4956383822363204</v>
      </c>
      <c r="G214" s="27">
        <f t="shared" si="39"/>
        <v>-2028.3629299999998</v>
      </c>
      <c r="H214" s="27">
        <f t="shared" si="40"/>
        <v>1169.5843791832269</v>
      </c>
      <c r="I214" s="27">
        <f t="shared" si="41"/>
        <v>-1.7342595934946534</v>
      </c>
      <c r="J214" s="27">
        <f t="shared" si="42"/>
        <v>0.50219048740304839</v>
      </c>
      <c r="K214" s="27" t="e">
        <f t="shared" si="43"/>
        <v>#NUM!</v>
      </c>
      <c r="L214" s="27" t="e">
        <f t="shared" si="44"/>
        <v>#NUM!</v>
      </c>
      <c r="M214" s="17" t="e">
        <f t="shared" si="45"/>
        <v>#NUM!</v>
      </c>
      <c r="N214" s="17" t="e">
        <f t="shared" si="46"/>
        <v>#N/A</v>
      </c>
      <c r="O214" s="57" t="e">
        <f t="shared" si="47"/>
        <v>#N/A</v>
      </c>
      <c r="P214" s="17">
        <f>IF(ISERROR(O214),0,IF('R-AFC ISOTOPE'!$G$7=B214,O214,0))</f>
        <v>0</v>
      </c>
      <c r="Q214" s="70"/>
      <c r="S214" s="81"/>
      <c r="T214" s="30"/>
      <c r="U214" s="30"/>
      <c r="W214" s="30"/>
      <c r="X214" s="30"/>
      <c r="Y214" s="30"/>
      <c r="Z214" s="30"/>
      <c r="AA214" s="30"/>
      <c r="AB214" s="30"/>
      <c r="AC214" s="30"/>
      <c r="AD214" s="85"/>
      <c r="AE214" s="85"/>
      <c r="AF214" s="70"/>
      <c r="AH214" s="81"/>
      <c r="AI214" s="30"/>
      <c r="AJ214" s="30"/>
      <c r="AL214" s="30"/>
      <c r="AM214" s="30"/>
      <c r="AN214" s="30"/>
      <c r="AO214" s="30"/>
      <c r="AP214" s="30"/>
      <c r="AQ214" s="30"/>
      <c r="AR214" s="30"/>
      <c r="AS214" s="85"/>
      <c r="AT214" s="85"/>
      <c r="AU214" s="70"/>
      <c r="AW214" s="81"/>
      <c r="AX214" s="30"/>
      <c r="AY214" s="30"/>
      <c r="BA214" s="30"/>
      <c r="BB214" s="30"/>
      <c r="BC214" s="30"/>
      <c r="BD214" s="30"/>
      <c r="BE214" s="30"/>
      <c r="BF214" s="30"/>
      <c r="BG214" s="30"/>
      <c r="BH214" s="85"/>
      <c r="BI214" s="85"/>
      <c r="BJ214" s="70"/>
      <c r="BL214" s="81"/>
      <c r="BM214" s="30"/>
      <c r="BN214" s="30"/>
      <c r="BP214" s="30"/>
      <c r="BQ214" s="30"/>
      <c r="BR214" s="30"/>
      <c r="BS214" s="30"/>
      <c r="BT214" s="30"/>
      <c r="BU214" s="30"/>
      <c r="BV214" s="30"/>
      <c r="BW214" s="85"/>
      <c r="BX214" s="85"/>
      <c r="BY214" s="70"/>
      <c r="CA214" s="81"/>
      <c r="CB214" s="30"/>
      <c r="CC214" s="30"/>
      <c r="CE214" s="30"/>
      <c r="CF214" s="30"/>
      <c r="CG214" s="30"/>
      <c r="CH214" s="30"/>
      <c r="CI214" s="30"/>
      <c r="CJ214" s="30"/>
      <c r="CK214" s="30"/>
      <c r="CL214" s="85"/>
      <c r="CM214" s="85"/>
      <c r="CN214" s="70"/>
      <c r="CP214" s="81"/>
      <c r="CQ214" s="30"/>
      <c r="CR214" s="30"/>
      <c r="CT214" s="30"/>
      <c r="CU214" s="30"/>
      <c r="CV214" s="30"/>
      <c r="CW214" s="30"/>
      <c r="CX214" s="30"/>
      <c r="CY214" s="30"/>
      <c r="CZ214" s="30"/>
      <c r="DA214" s="85"/>
      <c r="DB214" s="85"/>
      <c r="DC214" s="70"/>
      <c r="DE214" s="81"/>
      <c r="DF214" s="30"/>
      <c r="DG214" s="30"/>
      <c r="DI214" s="30"/>
      <c r="DJ214" s="30"/>
      <c r="DK214" s="30"/>
      <c r="DL214" s="30"/>
      <c r="DM214" s="30"/>
      <c r="DN214" s="30"/>
      <c r="DO214" s="30"/>
      <c r="DP214" s="85"/>
      <c r="DQ214" s="85"/>
      <c r="DR214" s="70"/>
      <c r="DT214" s="81"/>
      <c r="DU214" s="30"/>
      <c r="DV214" s="30"/>
      <c r="DX214" s="30"/>
      <c r="DY214" s="30"/>
      <c r="DZ214" s="30"/>
      <c r="EA214" s="30"/>
      <c r="EB214" s="30"/>
      <c r="EC214" s="30"/>
      <c r="ED214" s="30"/>
      <c r="EE214" s="85"/>
      <c r="EF214" s="85"/>
      <c r="EG214" s="70"/>
      <c r="EI214" s="81"/>
      <c r="EJ214" s="30"/>
      <c r="EK214" s="30"/>
      <c r="EM214" s="30"/>
      <c r="EN214" s="30"/>
      <c r="EO214" s="30"/>
      <c r="EP214" s="30"/>
      <c r="EQ214" s="30"/>
      <c r="ER214" s="30"/>
      <c r="ES214" s="30"/>
      <c r="ET214" s="85"/>
      <c r="EU214" s="85"/>
      <c r="EV214" s="70"/>
    </row>
    <row r="215" spans="2:152">
      <c r="B215" s="11">
        <v>0.93</v>
      </c>
      <c r="C215" s="28">
        <f t="shared" si="37"/>
        <v>2.2799999999999998</v>
      </c>
      <c r="D215" s="16"/>
      <c r="E215" s="8"/>
      <c r="F215" s="27">
        <f t="shared" si="38"/>
        <v>1.4877097151775265</v>
      </c>
      <c r="G215" s="27">
        <f t="shared" si="39"/>
        <v>-2038.7799299999992</v>
      </c>
      <c r="H215" s="27">
        <f t="shared" si="40"/>
        <v>1185.2756771346178</v>
      </c>
      <c r="I215" s="27">
        <f t="shared" si="41"/>
        <v>-1.7200892326827395</v>
      </c>
      <c r="J215" s="27">
        <f t="shared" si="42"/>
        <v>0.50622173272312188</v>
      </c>
      <c r="K215" s="27" t="e">
        <f t="shared" si="43"/>
        <v>#NUM!</v>
      </c>
      <c r="L215" s="27" t="e">
        <f t="shared" si="44"/>
        <v>#NUM!</v>
      </c>
      <c r="M215" s="17" t="e">
        <f t="shared" si="45"/>
        <v>#NUM!</v>
      </c>
      <c r="N215" s="17" t="e">
        <f t="shared" si="46"/>
        <v>#N/A</v>
      </c>
      <c r="O215" s="57" t="e">
        <f t="shared" si="47"/>
        <v>#N/A</v>
      </c>
      <c r="P215" s="17">
        <f>IF(ISERROR(O215),0,IF('R-AFC ISOTOPE'!$G$7=B215,O215,0))</f>
        <v>0</v>
      </c>
      <c r="Q215" s="70"/>
      <c r="S215" s="81"/>
      <c r="T215" s="30"/>
      <c r="U215" s="30"/>
      <c r="W215" s="30"/>
      <c r="X215" s="30"/>
      <c r="Y215" s="30"/>
      <c r="Z215" s="30"/>
      <c r="AA215" s="30"/>
      <c r="AB215" s="30"/>
      <c r="AC215" s="30"/>
      <c r="AD215" s="85"/>
      <c r="AE215" s="85"/>
      <c r="AF215" s="70"/>
      <c r="AH215" s="81"/>
      <c r="AI215" s="30"/>
      <c r="AJ215" s="30"/>
      <c r="AL215" s="30"/>
      <c r="AM215" s="30"/>
      <c r="AN215" s="30"/>
      <c r="AO215" s="30"/>
      <c r="AP215" s="30"/>
      <c r="AQ215" s="30"/>
      <c r="AR215" s="30"/>
      <c r="AS215" s="85"/>
      <c r="AT215" s="85"/>
      <c r="AU215" s="70"/>
      <c r="AW215" s="81"/>
      <c r="AX215" s="30"/>
      <c r="AY215" s="30"/>
      <c r="BA215" s="30"/>
      <c r="BB215" s="30"/>
      <c r="BC215" s="30"/>
      <c r="BD215" s="30"/>
      <c r="BE215" s="30"/>
      <c r="BF215" s="30"/>
      <c r="BG215" s="30"/>
      <c r="BH215" s="85"/>
      <c r="BI215" s="85"/>
      <c r="BJ215" s="70"/>
      <c r="BL215" s="81"/>
      <c r="BM215" s="30"/>
      <c r="BN215" s="30"/>
      <c r="BP215" s="30"/>
      <c r="BQ215" s="30"/>
      <c r="BR215" s="30"/>
      <c r="BS215" s="30"/>
      <c r="BT215" s="30"/>
      <c r="BU215" s="30"/>
      <c r="BV215" s="30"/>
      <c r="BW215" s="85"/>
      <c r="BX215" s="85"/>
      <c r="BY215" s="70"/>
      <c r="CA215" s="81"/>
      <c r="CB215" s="30"/>
      <c r="CC215" s="30"/>
      <c r="CE215" s="30"/>
      <c r="CF215" s="30"/>
      <c r="CG215" s="30"/>
      <c r="CH215" s="30"/>
      <c r="CI215" s="30"/>
      <c r="CJ215" s="30"/>
      <c r="CK215" s="30"/>
      <c r="CL215" s="85"/>
      <c r="CM215" s="85"/>
      <c r="CN215" s="70"/>
      <c r="CP215" s="81"/>
      <c r="CQ215" s="30"/>
      <c r="CR215" s="30"/>
      <c r="CT215" s="30"/>
      <c r="CU215" s="30"/>
      <c r="CV215" s="30"/>
      <c r="CW215" s="30"/>
      <c r="CX215" s="30"/>
      <c r="CY215" s="30"/>
      <c r="CZ215" s="30"/>
      <c r="DA215" s="85"/>
      <c r="DB215" s="85"/>
      <c r="DC215" s="70"/>
      <c r="DE215" s="81"/>
      <c r="DF215" s="30"/>
      <c r="DG215" s="30"/>
      <c r="DI215" s="30"/>
      <c r="DJ215" s="30"/>
      <c r="DK215" s="30"/>
      <c r="DL215" s="30"/>
      <c r="DM215" s="30"/>
      <c r="DN215" s="30"/>
      <c r="DO215" s="30"/>
      <c r="DP215" s="85"/>
      <c r="DQ215" s="85"/>
      <c r="DR215" s="70"/>
      <c r="DT215" s="81"/>
      <c r="DU215" s="30"/>
      <c r="DV215" s="30"/>
      <c r="DX215" s="30"/>
      <c r="DY215" s="30"/>
      <c r="DZ215" s="30"/>
      <c r="EA215" s="30"/>
      <c r="EB215" s="30"/>
      <c r="EC215" s="30"/>
      <c r="ED215" s="30"/>
      <c r="EE215" s="85"/>
      <c r="EF215" s="85"/>
      <c r="EG215" s="70"/>
      <c r="EI215" s="81"/>
      <c r="EJ215" s="30"/>
      <c r="EK215" s="30"/>
      <c r="EM215" s="30"/>
      <c r="EN215" s="30"/>
      <c r="EO215" s="30"/>
      <c r="EP215" s="30"/>
      <c r="EQ215" s="30"/>
      <c r="ER215" s="30"/>
      <c r="ES215" s="30"/>
      <c r="ET215" s="85"/>
      <c r="EU215" s="85"/>
      <c r="EV215" s="70"/>
    </row>
    <row r="216" spans="2:152">
      <c r="B216" s="11">
        <v>0.94</v>
      </c>
      <c r="C216" s="28">
        <f t="shared" si="37"/>
        <v>2.2799999999999998</v>
      </c>
      <c r="D216" s="16"/>
      <c r="E216" s="8"/>
      <c r="F216" s="27">
        <f t="shared" si="38"/>
        <v>1.4800307219662059</v>
      </c>
      <c r="G216" s="27">
        <f t="shared" si="39"/>
        <v>-2049.1969299999992</v>
      </c>
      <c r="H216" s="27">
        <f t="shared" si="40"/>
        <v>1200.9669750860082</v>
      </c>
      <c r="I216" s="27">
        <f t="shared" si="41"/>
        <v>-1.7062891590780374</v>
      </c>
      <c r="J216" s="27">
        <f t="shared" si="42"/>
        <v>0.51018821272242665</v>
      </c>
      <c r="K216" s="27" t="e">
        <f t="shared" si="43"/>
        <v>#NUM!</v>
      </c>
      <c r="L216" s="27" t="e">
        <f t="shared" si="44"/>
        <v>#NUM!</v>
      </c>
      <c r="M216" s="17" t="e">
        <f t="shared" si="45"/>
        <v>#NUM!</v>
      </c>
      <c r="N216" s="17" t="e">
        <f t="shared" si="46"/>
        <v>#N/A</v>
      </c>
      <c r="O216" s="57" t="e">
        <f t="shared" si="47"/>
        <v>#N/A</v>
      </c>
      <c r="P216" s="17">
        <f>IF(ISERROR(O216),0,IF('R-AFC ISOTOPE'!$G$7=B216,O216,0))</f>
        <v>0</v>
      </c>
      <c r="Q216" s="70"/>
      <c r="S216" s="81"/>
      <c r="T216" s="30"/>
      <c r="U216" s="30"/>
      <c r="W216" s="30"/>
      <c r="X216" s="30"/>
      <c r="Y216" s="30"/>
      <c r="Z216" s="30"/>
      <c r="AA216" s="30"/>
      <c r="AB216" s="30"/>
      <c r="AC216" s="30"/>
      <c r="AD216" s="85"/>
      <c r="AE216" s="85"/>
      <c r="AF216" s="70"/>
      <c r="AH216" s="81"/>
      <c r="AI216" s="30"/>
      <c r="AJ216" s="30"/>
      <c r="AL216" s="30"/>
      <c r="AM216" s="30"/>
      <c r="AN216" s="30"/>
      <c r="AO216" s="30"/>
      <c r="AP216" s="30"/>
      <c r="AQ216" s="30"/>
      <c r="AR216" s="30"/>
      <c r="AS216" s="85"/>
      <c r="AT216" s="85"/>
      <c r="AU216" s="70"/>
      <c r="AW216" s="81"/>
      <c r="AX216" s="30"/>
      <c r="AY216" s="30"/>
      <c r="BA216" s="30"/>
      <c r="BB216" s="30"/>
      <c r="BC216" s="30"/>
      <c r="BD216" s="30"/>
      <c r="BE216" s="30"/>
      <c r="BF216" s="30"/>
      <c r="BG216" s="30"/>
      <c r="BH216" s="85"/>
      <c r="BI216" s="85"/>
      <c r="BJ216" s="70"/>
      <c r="BL216" s="81"/>
      <c r="BM216" s="30"/>
      <c r="BN216" s="30"/>
      <c r="BP216" s="30"/>
      <c r="BQ216" s="30"/>
      <c r="BR216" s="30"/>
      <c r="BS216" s="30"/>
      <c r="BT216" s="30"/>
      <c r="BU216" s="30"/>
      <c r="BV216" s="30"/>
      <c r="BW216" s="85"/>
      <c r="BX216" s="85"/>
      <c r="BY216" s="70"/>
      <c r="CA216" s="81"/>
      <c r="CB216" s="30"/>
      <c r="CC216" s="30"/>
      <c r="CE216" s="30"/>
      <c r="CF216" s="30"/>
      <c r="CG216" s="30"/>
      <c r="CH216" s="30"/>
      <c r="CI216" s="30"/>
      <c r="CJ216" s="30"/>
      <c r="CK216" s="30"/>
      <c r="CL216" s="85"/>
      <c r="CM216" s="85"/>
      <c r="CN216" s="70"/>
      <c r="CP216" s="81"/>
      <c r="CQ216" s="30"/>
      <c r="CR216" s="30"/>
      <c r="CT216" s="30"/>
      <c r="CU216" s="30"/>
      <c r="CV216" s="30"/>
      <c r="CW216" s="30"/>
      <c r="CX216" s="30"/>
      <c r="CY216" s="30"/>
      <c r="CZ216" s="30"/>
      <c r="DA216" s="85"/>
      <c r="DB216" s="85"/>
      <c r="DC216" s="70"/>
      <c r="DE216" s="81"/>
      <c r="DF216" s="30"/>
      <c r="DG216" s="30"/>
      <c r="DI216" s="30"/>
      <c r="DJ216" s="30"/>
      <c r="DK216" s="30"/>
      <c r="DL216" s="30"/>
      <c r="DM216" s="30"/>
      <c r="DN216" s="30"/>
      <c r="DO216" s="30"/>
      <c r="DP216" s="85"/>
      <c r="DQ216" s="85"/>
      <c r="DR216" s="70"/>
      <c r="DT216" s="81"/>
      <c r="DU216" s="30"/>
      <c r="DV216" s="30"/>
      <c r="DX216" s="30"/>
      <c r="DY216" s="30"/>
      <c r="DZ216" s="30"/>
      <c r="EA216" s="30"/>
      <c r="EB216" s="30"/>
      <c r="EC216" s="30"/>
      <c r="ED216" s="30"/>
      <c r="EE216" s="85"/>
      <c r="EF216" s="85"/>
      <c r="EG216" s="70"/>
      <c r="EI216" s="81"/>
      <c r="EJ216" s="30"/>
      <c r="EK216" s="30"/>
      <c r="EM216" s="30"/>
      <c r="EN216" s="30"/>
      <c r="EO216" s="30"/>
      <c r="EP216" s="30"/>
      <c r="EQ216" s="30"/>
      <c r="ER216" s="30"/>
      <c r="ES216" s="30"/>
      <c r="ET216" s="85"/>
      <c r="EU216" s="85"/>
      <c r="EV216" s="70"/>
    </row>
    <row r="217" spans="2:152">
      <c r="B217" s="11">
        <v>0.95</v>
      </c>
      <c r="C217" s="28">
        <f t="shared" si="37"/>
        <v>2.2799999999999998</v>
      </c>
      <c r="D217" s="16"/>
      <c r="E217" s="8"/>
      <c r="F217" s="27">
        <f t="shared" si="38"/>
        <v>1.4725897920604916</v>
      </c>
      <c r="G217" s="27">
        <f t="shared" si="39"/>
        <v>-2059.6139299999995</v>
      </c>
      <c r="H217" s="27">
        <f t="shared" si="40"/>
        <v>1216.6582730373991</v>
      </c>
      <c r="I217" s="27">
        <f t="shared" si="41"/>
        <v>-1.6928450458468947</v>
      </c>
      <c r="J217" s="27">
        <f t="shared" si="42"/>
        <v>0.51409147572679192</v>
      </c>
      <c r="K217" s="27" t="e">
        <f t="shared" si="43"/>
        <v>#NUM!</v>
      </c>
      <c r="L217" s="27" t="e">
        <f t="shared" si="44"/>
        <v>#NUM!</v>
      </c>
      <c r="M217" s="17" t="e">
        <f t="shared" si="45"/>
        <v>#NUM!</v>
      </c>
      <c r="N217" s="17" t="e">
        <f t="shared" si="46"/>
        <v>#N/A</v>
      </c>
      <c r="O217" s="57" t="e">
        <f t="shared" si="47"/>
        <v>#N/A</v>
      </c>
      <c r="P217" s="17">
        <f>IF(ISERROR(O217),0,IF('R-AFC ISOTOPE'!$G$7=B217,O217,0))</f>
        <v>0</v>
      </c>
      <c r="Q217" s="70"/>
      <c r="S217" s="81"/>
      <c r="T217" s="30"/>
      <c r="U217" s="30"/>
      <c r="W217" s="30"/>
      <c r="X217" s="30"/>
      <c r="Y217" s="30"/>
      <c r="Z217" s="30"/>
      <c r="AA217" s="30"/>
      <c r="AB217" s="30"/>
      <c r="AC217" s="30"/>
      <c r="AD217" s="85"/>
      <c r="AE217" s="85"/>
      <c r="AF217" s="70"/>
      <c r="AH217" s="81"/>
      <c r="AI217" s="30"/>
      <c r="AJ217" s="30"/>
      <c r="AL217" s="30"/>
      <c r="AM217" s="30"/>
      <c r="AN217" s="30"/>
      <c r="AO217" s="30"/>
      <c r="AP217" s="30"/>
      <c r="AQ217" s="30"/>
      <c r="AR217" s="30"/>
      <c r="AS217" s="85"/>
      <c r="AT217" s="85"/>
      <c r="AU217" s="70"/>
      <c r="AW217" s="81"/>
      <c r="AX217" s="30"/>
      <c r="AY217" s="30"/>
      <c r="BA217" s="30"/>
      <c r="BB217" s="30"/>
      <c r="BC217" s="30"/>
      <c r="BD217" s="30"/>
      <c r="BE217" s="30"/>
      <c r="BF217" s="30"/>
      <c r="BG217" s="30"/>
      <c r="BH217" s="85"/>
      <c r="BI217" s="85"/>
      <c r="BJ217" s="70"/>
      <c r="BL217" s="81"/>
      <c r="BM217" s="30"/>
      <c r="BN217" s="30"/>
      <c r="BP217" s="30"/>
      <c r="BQ217" s="30"/>
      <c r="BR217" s="30"/>
      <c r="BS217" s="30"/>
      <c r="BT217" s="30"/>
      <c r="BU217" s="30"/>
      <c r="BV217" s="30"/>
      <c r="BW217" s="85"/>
      <c r="BX217" s="85"/>
      <c r="BY217" s="70"/>
      <c r="CA217" s="81"/>
      <c r="CB217" s="30"/>
      <c r="CC217" s="30"/>
      <c r="CE217" s="30"/>
      <c r="CF217" s="30"/>
      <c r="CG217" s="30"/>
      <c r="CH217" s="30"/>
      <c r="CI217" s="30"/>
      <c r="CJ217" s="30"/>
      <c r="CK217" s="30"/>
      <c r="CL217" s="85"/>
      <c r="CM217" s="85"/>
      <c r="CN217" s="70"/>
      <c r="CP217" s="81"/>
      <c r="CQ217" s="30"/>
      <c r="CR217" s="30"/>
      <c r="CT217" s="30"/>
      <c r="CU217" s="30"/>
      <c r="CV217" s="30"/>
      <c r="CW217" s="30"/>
      <c r="CX217" s="30"/>
      <c r="CY217" s="30"/>
      <c r="CZ217" s="30"/>
      <c r="DA217" s="85"/>
      <c r="DB217" s="85"/>
      <c r="DC217" s="70"/>
      <c r="DE217" s="81"/>
      <c r="DF217" s="30"/>
      <c r="DG217" s="30"/>
      <c r="DI217" s="30"/>
      <c r="DJ217" s="30"/>
      <c r="DK217" s="30"/>
      <c r="DL217" s="30"/>
      <c r="DM217" s="30"/>
      <c r="DN217" s="30"/>
      <c r="DO217" s="30"/>
      <c r="DP217" s="85"/>
      <c r="DQ217" s="85"/>
      <c r="DR217" s="70"/>
      <c r="DT217" s="81"/>
      <c r="DU217" s="30"/>
      <c r="DV217" s="30"/>
      <c r="DX217" s="30"/>
      <c r="DY217" s="30"/>
      <c r="DZ217" s="30"/>
      <c r="EA217" s="30"/>
      <c r="EB217" s="30"/>
      <c r="EC217" s="30"/>
      <c r="ED217" s="30"/>
      <c r="EE217" s="85"/>
      <c r="EF217" s="85"/>
      <c r="EG217" s="70"/>
      <c r="EI217" s="81"/>
      <c r="EJ217" s="30"/>
      <c r="EK217" s="30"/>
      <c r="EM217" s="30"/>
      <c r="EN217" s="30"/>
      <c r="EO217" s="30"/>
      <c r="EP217" s="30"/>
      <c r="EQ217" s="30"/>
      <c r="ER217" s="30"/>
      <c r="ES217" s="30"/>
      <c r="ET217" s="85"/>
      <c r="EU217" s="85"/>
      <c r="EV217" s="70"/>
    </row>
    <row r="218" spans="2:152">
      <c r="B218" s="11">
        <v>0.96</v>
      </c>
      <c r="C218" s="28">
        <f t="shared" si="37"/>
        <v>2.2799999999999998</v>
      </c>
      <c r="D218" s="16"/>
      <c r="E218" s="8"/>
      <c r="F218" s="27">
        <f t="shared" si="38"/>
        <v>1.4653760238272524</v>
      </c>
      <c r="G218" s="27">
        <f t="shared" si="39"/>
        <v>-2070.030929999999</v>
      </c>
      <c r="H218" s="27">
        <f t="shared" si="40"/>
        <v>1232.34957098879</v>
      </c>
      <c r="I218" s="27">
        <f t="shared" si="41"/>
        <v>-1.6797432958402263</v>
      </c>
      <c r="J218" s="27">
        <f t="shared" si="42"/>
        <v>0.5179330210983949</v>
      </c>
      <c r="K218" s="27" t="e">
        <f t="shared" si="43"/>
        <v>#NUM!</v>
      </c>
      <c r="L218" s="27" t="e">
        <f t="shared" si="44"/>
        <v>#NUM!</v>
      </c>
      <c r="M218" s="17" t="e">
        <f t="shared" si="45"/>
        <v>#NUM!</v>
      </c>
      <c r="N218" s="17" t="e">
        <f t="shared" si="46"/>
        <v>#N/A</v>
      </c>
      <c r="O218" s="57" t="e">
        <f t="shared" si="47"/>
        <v>#N/A</v>
      </c>
      <c r="P218" s="17">
        <f>IF(ISERROR(O218),0,IF('R-AFC ISOTOPE'!$G$7=B218,O218,0))</f>
        <v>0</v>
      </c>
      <c r="Q218" s="70"/>
      <c r="S218" s="81"/>
      <c r="T218" s="30"/>
      <c r="U218" s="30"/>
      <c r="W218" s="30"/>
      <c r="X218" s="30"/>
      <c r="Y218" s="30"/>
      <c r="Z218" s="30"/>
      <c r="AA218" s="30"/>
      <c r="AB218" s="30"/>
      <c r="AC218" s="30"/>
      <c r="AD218" s="85"/>
      <c r="AE218" s="85"/>
      <c r="AF218" s="70"/>
      <c r="AH218" s="81"/>
      <c r="AI218" s="30"/>
      <c r="AJ218" s="30"/>
      <c r="AL218" s="30"/>
      <c r="AM218" s="30"/>
      <c r="AN218" s="30"/>
      <c r="AO218" s="30"/>
      <c r="AP218" s="30"/>
      <c r="AQ218" s="30"/>
      <c r="AR218" s="30"/>
      <c r="AS218" s="85"/>
      <c r="AT218" s="85"/>
      <c r="AU218" s="70"/>
      <c r="AW218" s="81"/>
      <c r="AX218" s="30"/>
      <c r="AY218" s="30"/>
      <c r="BA218" s="30"/>
      <c r="BB218" s="30"/>
      <c r="BC218" s="30"/>
      <c r="BD218" s="30"/>
      <c r="BE218" s="30"/>
      <c r="BF218" s="30"/>
      <c r="BG218" s="30"/>
      <c r="BH218" s="85"/>
      <c r="BI218" s="85"/>
      <c r="BJ218" s="70"/>
      <c r="BL218" s="81"/>
      <c r="BM218" s="30"/>
      <c r="BN218" s="30"/>
      <c r="BP218" s="30"/>
      <c r="BQ218" s="30"/>
      <c r="BR218" s="30"/>
      <c r="BS218" s="30"/>
      <c r="BT218" s="30"/>
      <c r="BU218" s="30"/>
      <c r="BV218" s="30"/>
      <c r="BW218" s="85"/>
      <c r="BX218" s="85"/>
      <c r="BY218" s="70"/>
      <c r="CA218" s="81"/>
      <c r="CB218" s="30"/>
      <c r="CC218" s="30"/>
      <c r="CE218" s="30"/>
      <c r="CF218" s="30"/>
      <c r="CG218" s="30"/>
      <c r="CH218" s="30"/>
      <c r="CI218" s="30"/>
      <c r="CJ218" s="30"/>
      <c r="CK218" s="30"/>
      <c r="CL218" s="85"/>
      <c r="CM218" s="85"/>
      <c r="CN218" s="70"/>
      <c r="CP218" s="81"/>
      <c r="CQ218" s="30"/>
      <c r="CR218" s="30"/>
      <c r="CT218" s="30"/>
      <c r="CU218" s="30"/>
      <c r="CV218" s="30"/>
      <c r="CW218" s="30"/>
      <c r="CX218" s="30"/>
      <c r="CY218" s="30"/>
      <c r="CZ218" s="30"/>
      <c r="DA218" s="85"/>
      <c r="DB218" s="85"/>
      <c r="DC218" s="70"/>
      <c r="DE218" s="81"/>
      <c r="DF218" s="30"/>
      <c r="DG218" s="30"/>
      <c r="DI218" s="30"/>
      <c r="DJ218" s="30"/>
      <c r="DK218" s="30"/>
      <c r="DL218" s="30"/>
      <c r="DM218" s="30"/>
      <c r="DN218" s="30"/>
      <c r="DO218" s="30"/>
      <c r="DP218" s="85"/>
      <c r="DQ218" s="85"/>
      <c r="DR218" s="70"/>
      <c r="DT218" s="81"/>
      <c r="DU218" s="30"/>
      <c r="DV218" s="30"/>
      <c r="DX218" s="30"/>
      <c r="DY218" s="30"/>
      <c r="DZ218" s="30"/>
      <c r="EA218" s="30"/>
      <c r="EB218" s="30"/>
      <c r="EC218" s="30"/>
      <c r="ED218" s="30"/>
      <c r="EE218" s="85"/>
      <c r="EF218" s="85"/>
      <c r="EG218" s="70"/>
      <c r="EI218" s="81"/>
      <c r="EJ218" s="30"/>
      <c r="EK218" s="30"/>
      <c r="EM218" s="30"/>
      <c r="EN218" s="30"/>
      <c r="EO218" s="30"/>
      <c r="EP218" s="30"/>
      <c r="EQ218" s="30"/>
      <c r="ER218" s="30"/>
      <c r="ES218" s="30"/>
      <c r="ET218" s="85"/>
      <c r="EU218" s="85"/>
      <c r="EV218" s="70"/>
    </row>
    <row r="219" spans="2:152">
      <c r="B219" s="11">
        <v>0.97</v>
      </c>
      <c r="C219" s="28">
        <f t="shared" si="37"/>
        <v>2.2799999999999998</v>
      </c>
      <c r="D219" s="16"/>
      <c r="E219" s="8"/>
      <c r="F219" s="27">
        <f t="shared" si="38"/>
        <v>1.4583791712504586</v>
      </c>
      <c r="G219" s="27">
        <f t="shared" si="39"/>
        <v>-2080.4479299999998</v>
      </c>
      <c r="H219" s="27">
        <f t="shared" si="40"/>
        <v>1248.0408689401806</v>
      </c>
      <c r="I219" s="27">
        <f t="shared" si="41"/>
        <v>-1.6669709957228307</v>
      </c>
      <c r="J219" s="27">
        <f t="shared" si="42"/>
        <v>0.52171430115608886</v>
      </c>
      <c r="K219" s="27" t="e">
        <f t="shared" si="43"/>
        <v>#NUM!</v>
      </c>
      <c r="L219" s="27" t="e">
        <f t="shared" si="44"/>
        <v>#NUM!</v>
      </c>
      <c r="M219" s="17" t="e">
        <f t="shared" si="45"/>
        <v>#NUM!</v>
      </c>
      <c r="N219" s="17" t="e">
        <f t="shared" si="46"/>
        <v>#N/A</v>
      </c>
      <c r="O219" s="57" t="e">
        <f t="shared" si="47"/>
        <v>#N/A</v>
      </c>
      <c r="P219" s="17">
        <f>IF(ISERROR(O219),0,IF('R-AFC ISOTOPE'!$G$7=B219,O219,0))</f>
        <v>0</v>
      </c>
      <c r="Q219" s="70"/>
      <c r="S219" s="81"/>
      <c r="T219" s="30"/>
      <c r="U219" s="30"/>
      <c r="W219" s="30"/>
      <c r="X219" s="30"/>
      <c r="Y219" s="30"/>
      <c r="Z219" s="30"/>
      <c r="AA219" s="30"/>
      <c r="AB219" s="30"/>
      <c r="AC219" s="30"/>
      <c r="AD219" s="85"/>
      <c r="AE219" s="85"/>
      <c r="AF219" s="70"/>
      <c r="AH219" s="81"/>
      <c r="AI219" s="30"/>
      <c r="AJ219" s="30"/>
      <c r="AL219" s="30"/>
      <c r="AM219" s="30"/>
      <c r="AN219" s="30"/>
      <c r="AO219" s="30"/>
      <c r="AP219" s="30"/>
      <c r="AQ219" s="30"/>
      <c r="AR219" s="30"/>
      <c r="AS219" s="85"/>
      <c r="AT219" s="85"/>
      <c r="AU219" s="70"/>
      <c r="AW219" s="81"/>
      <c r="AX219" s="30"/>
      <c r="AY219" s="30"/>
      <c r="BA219" s="30"/>
      <c r="BB219" s="30"/>
      <c r="BC219" s="30"/>
      <c r="BD219" s="30"/>
      <c r="BE219" s="30"/>
      <c r="BF219" s="30"/>
      <c r="BG219" s="30"/>
      <c r="BH219" s="85"/>
      <c r="BI219" s="85"/>
      <c r="BJ219" s="70"/>
      <c r="BL219" s="81"/>
      <c r="BM219" s="30"/>
      <c r="BN219" s="30"/>
      <c r="BP219" s="30"/>
      <c r="BQ219" s="30"/>
      <c r="BR219" s="30"/>
      <c r="BS219" s="30"/>
      <c r="BT219" s="30"/>
      <c r="BU219" s="30"/>
      <c r="BV219" s="30"/>
      <c r="BW219" s="85"/>
      <c r="BX219" s="85"/>
      <c r="BY219" s="70"/>
      <c r="CA219" s="81"/>
      <c r="CB219" s="30"/>
      <c r="CC219" s="30"/>
      <c r="CE219" s="30"/>
      <c r="CF219" s="30"/>
      <c r="CG219" s="30"/>
      <c r="CH219" s="30"/>
      <c r="CI219" s="30"/>
      <c r="CJ219" s="30"/>
      <c r="CK219" s="30"/>
      <c r="CL219" s="85"/>
      <c r="CM219" s="85"/>
      <c r="CN219" s="70"/>
      <c r="CP219" s="81"/>
      <c r="CQ219" s="30"/>
      <c r="CR219" s="30"/>
      <c r="CT219" s="30"/>
      <c r="CU219" s="30"/>
      <c r="CV219" s="30"/>
      <c r="CW219" s="30"/>
      <c r="CX219" s="30"/>
      <c r="CY219" s="30"/>
      <c r="CZ219" s="30"/>
      <c r="DA219" s="85"/>
      <c r="DB219" s="85"/>
      <c r="DC219" s="70"/>
      <c r="DE219" s="81"/>
      <c r="DF219" s="30"/>
      <c r="DG219" s="30"/>
      <c r="DI219" s="30"/>
      <c r="DJ219" s="30"/>
      <c r="DK219" s="30"/>
      <c r="DL219" s="30"/>
      <c r="DM219" s="30"/>
      <c r="DN219" s="30"/>
      <c r="DO219" s="30"/>
      <c r="DP219" s="85"/>
      <c r="DQ219" s="85"/>
      <c r="DR219" s="70"/>
      <c r="DT219" s="81"/>
      <c r="DU219" s="30"/>
      <c r="DV219" s="30"/>
      <c r="DX219" s="30"/>
      <c r="DY219" s="30"/>
      <c r="DZ219" s="30"/>
      <c r="EA219" s="30"/>
      <c r="EB219" s="30"/>
      <c r="EC219" s="30"/>
      <c r="ED219" s="30"/>
      <c r="EE219" s="85"/>
      <c r="EF219" s="85"/>
      <c r="EG219" s="70"/>
      <c r="EI219" s="81"/>
      <c r="EJ219" s="30"/>
      <c r="EK219" s="30"/>
      <c r="EM219" s="30"/>
      <c r="EN219" s="30"/>
      <c r="EO219" s="30"/>
      <c r="EP219" s="30"/>
      <c r="EQ219" s="30"/>
      <c r="ER219" s="30"/>
      <c r="ES219" s="30"/>
      <c r="ET219" s="85"/>
      <c r="EU219" s="85"/>
      <c r="EV219" s="70"/>
    </row>
    <row r="220" spans="2:152">
      <c r="B220" s="11">
        <v>0.98</v>
      </c>
      <c r="C220" s="28">
        <f t="shared" si="37"/>
        <v>2.2799999999999998</v>
      </c>
      <c r="D220" s="16"/>
      <c r="E220" s="8"/>
      <c r="F220" s="27">
        <f t="shared" si="38"/>
        <v>1.4515895953757225</v>
      </c>
      <c r="G220" s="27">
        <f t="shared" si="39"/>
        <v>-2090.8649300000002</v>
      </c>
      <c r="H220" s="27">
        <f t="shared" si="40"/>
        <v>1263.7321668915713</v>
      </c>
      <c r="I220" s="27">
        <f t="shared" si="41"/>
        <v>-1.6545158735200551</v>
      </c>
      <c r="J220" s="27">
        <f t="shared" si="42"/>
        <v>0.52543672300605615</v>
      </c>
      <c r="K220" s="27" t="e">
        <f t="shared" si="43"/>
        <v>#NUM!</v>
      </c>
      <c r="L220" s="27" t="e">
        <f t="shared" si="44"/>
        <v>#NUM!</v>
      </c>
      <c r="M220" s="17" t="e">
        <f t="shared" si="45"/>
        <v>#NUM!</v>
      </c>
      <c r="N220" s="17" t="e">
        <f t="shared" si="46"/>
        <v>#N/A</v>
      </c>
      <c r="O220" s="57" t="e">
        <f t="shared" si="47"/>
        <v>#N/A</v>
      </c>
      <c r="P220" s="17">
        <f>IF(ISERROR(O220),0,IF('R-AFC ISOTOPE'!$G$7=B220,O220,0))</f>
        <v>0</v>
      </c>
      <c r="Q220" s="70"/>
      <c r="S220" s="81"/>
      <c r="T220" s="30"/>
      <c r="U220" s="30"/>
      <c r="W220" s="30"/>
      <c r="X220" s="30"/>
      <c r="Y220" s="30"/>
      <c r="Z220" s="30"/>
      <c r="AA220" s="30"/>
      <c r="AB220" s="30"/>
      <c r="AC220" s="30"/>
      <c r="AD220" s="85"/>
      <c r="AE220" s="85"/>
      <c r="AF220" s="70"/>
      <c r="AH220" s="81"/>
      <c r="AI220" s="30"/>
      <c r="AJ220" s="30"/>
      <c r="AL220" s="30"/>
      <c r="AM220" s="30"/>
      <c r="AN220" s="30"/>
      <c r="AO220" s="30"/>
      <c r="AP220" s="30"/>
      <c r="AQ220" s="30"/>
      <c r="AR220" s="30"/>
      <c r="AS220" s="85"/>
      <c r="AT220" s="85"/>
      <c r="AU220" s="70"/>
      <c r="AW220" s="81"/>
      <c r="AX220" s="30"/>
      <c r="AY220" s="30"/>
      <c r="BA220" s="30"/>
      <c r="BB220" s="30"/>
      <c r="BC220" s="30"/>
      <c r="BD220" s="30"/>
      <c r="BE220" s="30"/>
      <c r="BF220" s="30"/>
      <c r="BG220" s="30"/>
      <c r="BH220" s="85"/>
      <c r="BI220" s="85"/>
      <c r="BJ220" s="70"/>
      <c r="BL220" s="81"/>
      <c r="BM220" s="30"/>
      <c r="BN220" s="30"/>
      <c r="BP220" s="30"/>
      <c r="BQ220" s="30"/>
      <c r="BR220" s="30"/>
      <c r="BS220" s="30"/>
      <c r="BT220" s="30"/>
      <c r="BU220" s="30"/>
      <c r="BV220" s="30"/>
      <c r="BW220" s="85"/>
      <c r="BX220" s="85"/>
      <c r="BY220" s="70"/>
      <c r="CA220" s="81"/>
      <c r="CB220" s="30"/>
      <c r="CC220" s="30"/>
      <c r="CE220" s="30"/>
      <c r="CF220" s="30"/>
      <c r="CG220" s="30"/>
      <c r="CH220" s="30"/>
      <c r="CI220" s="30"/>
      <c r="CJ220" s="30"/>
      <c r="CK220" s="30"/>
      <c r="CL220" s="85"/>
      <c r="CM220" s="85"/>
      <c r="CN220" s="70"/>
      <c r="CP220" s="81"/>
      <c r="CQ220" s="30"/>
      <c r="CR220" s="30"/>
      <c r="CT220" s="30"/>
      <c r="CU220" s="30"/>
      <c r="CV220" s="30"/>
      <c r="CW220" s="30"/>
      <c r="CX220" s="30"/>
      <c r="CY220" s="30"/>
      <c r="CZ220" s="30"/>
      <c r="DA220" s="85"/>
      <c r="DB220" s="85"/>
      <c r="DC220" s="70"/>
      <c r="DE220" s="81"/>
      <c r="DF220" s="30"/>
      <c r="DG220" s="30"/>
      <c r="DI220" s="30"/>
      <c r="DJ220" s="30"/>
      <c r="DK220" s="30"/>
      <c r="DL220" s="30"/>
      <c r="DM220" s="30"/>
      <c r="DN220" s="30"/>
      <c r="DO220" s="30"/>
      <c r="DP220" s="85"/>
      <c r="DQ220" s="85"/>
      <c r="DR220" s="70"/>
      <c r="DT220" s="81"/>
      <c r="DU220" s="30"/>
      <c r="DV220" s="30"/>
      <c r="DX220" s="30"/>
      <c r="DY220" s="30"/>
      <c r="DZ220" s="30"/>
      <c r="EA220" s="30"/>
      <c r="EB220" s="30"/>
      <c r="EC220" s="30"/>
      <c r="ED220" s="30"/>
      <c r="EE220" s="85"/>
      <c r="EF220" s="85"/>
      <c r="EG220" s="70"/>
      <c r="EI220" s="81"/>
      <c r="EJ220" s="30"/>
      <c r="EK220" s="30"/>
      <c r="EM220" s="30"/>
      <c r="EN220" s="30"/>
      <c r="EO220" s="30"/>
      <c r="EP220" s="30"/>
      <c r="EQ220" s="30"/>
      <c r="ER220" s="30"/>
      <c r="ES220" s="30"/>
      <c r="ET220" s="85"/>
      <c r="EU220" s="85"/>
      <c r="EV220" s="70"/>
    </row>
    <row r="221" spans="2:152">
      <c r="B221" s="11">
        <v>0.99</v>
      </c>
      <c r="C221" s="28">
        <f t="shared" si="37"/>
        <v>2.2799999999999998</v>
      </c>
      <c r="D221" s="16"/>
      <c r="E221" s="8"/>
      <c r="F221" s="27">
        <f t="shared" si="38"/>
        <v>1.4449982200071201</v>
      </c>
      <c r="G221" s="27">
        <f t="shared" si="39"/>
        <v>-2101.2819300000006</v>
      </c>
      <c r="H221" s="27">
        <f t="shared" si="40"/>
        <v>1279.4234648429622</v>
      </c>
      <c r="I221" s="27">
        <f t="shared" si="41"/>
        <v>-1.6423662592884476</v>
      </c>
      <c r="J221" s="27">
        <f t="shared" si="42"/>
        <v>0.52910165028763656</v>
      </c>
      <c r="K221" s="27" t="e">
        <f t="shared" si="43"/>
        <v>#NUM!</v>
      </c>
      <c r="L221" s="27" t="e">
        <f t="shared" si="44"/>
        <v>#NUM!</v>
      </c>
      <c r="M221" s="17" t="e">
        <f t="shared" si="45"/>
        <v>#NUM!</v>
      </c>
      <c r="N221" s="17" t="e">
        <f t="shared" si="46"/>
        <v>#N/A</v>
      </c>
      <c r="O221" s="57" t="e">
        <f t="shared" si="47"/>
        <v>#N/A</v>
      </c>
      <c r="P221" s="17">
        <f>IF(ISERROR(O221),0,IF('R-AFC ISOTOPE'!$G$7=B221,O221,0))</f>
        <v>0</v>
      </c>
      <c r="Q221" s="70"/>
      <c r="S221" s="81"/>
      <c r="T221" s="30"/>
      <c r="U221" s="30"/>
      <c r="W221" s="30"/>
      <c r="X221" s="30"/>
      <c r="Y221" s="30"/>
      <c r="Z221" s="30"/>
      <c r="AA221" s="30"/>
      <c r="AB221" s="30"/>
      <c r="AC221" s="30"/>
      <c r="AD221" s="85"/>
      <c r="AE221" s="85"/>
      <c r="AF221" s="70"/>
      <c r="AH221" s="81"/>
      <c r="AI221" s="30"/>
      <c r="AJ221" s="30"/>
      <c r="AL221" s="30"/>
      <c r="AM221" s="30"/>
      <c r="AN221" s="30"/>
      <c r="AO221" s="30"/>
      <c r="AP221" s="30"/>
      <c r="AQ221" s="30"/>
      <c r="AR221" s="30"/>
      <c r="AS221" s="85"/>
      <c r="AT221" s="85"/>
      <c r="AU221" s="70"/>
      <c r="AW221" s="81"/>
      <c r="AX221" s="30"/>
      <c r="AY221" s="30"/>
      <c r="BA221" s="30"/>
      <c r="BB221" s="30"/>
      <c r="BC221" s="30"/>
      <c r="BD221" s="30"/>
      <c r="BE221" s="30"/>
      <c r="BF221" s="30"/>
      <c r="BG221" s="30"/>
      <c r="BH221" s="85"/>
      <c r="BI221" s="85"/>
      <c r="BJ221" s="70"/>
      <c r="BL221" s="81"/>
      <c r="BM221" s="30"/>
      <c r="BN221" s="30"/>
      <c r="BP221" s="30"/>
      <c r="BQ221" s="30"/>
      <c r="BR221" s="30"/>
      <c r="BS221" s="30"/>
      <c r="BT221" s="30"/>
      <c r="BU221" s="30"/>
      <c r="BV221" s="30"/>
      <c r="BW221" s="85"/>
      <c r="BX221" s="85"/>
      <c r="BY221" s="70"/>
      <c r="CA221" s="81"/>
      <c r="CB221" s="30"/>
      <c r="CC221" s="30"/>
      <c r="CE221" s="30"/>
      <c r="CF221" s="30"/>
      <c r="CG221" s="30"/>
      <c r="CH221" s="30"/>
      <c r="CI221" s="30"/>
      <c r="CJ221" s="30"/>
      <c r="CK221" s="30"/>
      <c r="CL221" s="85"/>
      <c r="CM221" s="85"/>
      <c r="CN221" s="70"/>
      <c r="CP221" s="81"/>
      <c r="CQ221" s="30"/>
      <c r="CR221" s="30"/>
      <c r="CT221" s="30"/>
      <c r="CU221" s="30"/>
      <c r="CV221" s="30"/>
      <c r="CW221" s="30"/>
      <c r="CX221" s="30"/>
      <c r="CY221" s="30"/>
      <c r="CZ221" s="30"/>
      <c r="DA221" s="85"/>
      <c r="DB221" s="85"/>
      <c r="DC221" s="70"/>
      <c r="DE221" s="81"/>
      <c r="DF221" s="30"/>
      <c r="DG221" s="30"/>
      <c r="DI221" s="30"/>
      <c r="DJ221" s="30"/>
      <c r="DK221" s="30"/>
      <c r="DL221" s="30"/>
      <c r="DM221" s="30"/>
      <c r="DN221" s="30"/>
      <c r="DO221" s="30"/>
      <c r="DP221" s="85"/>
      <c r="DQ221" s="85"/>
      <c r="DR221" s="70"/>
      <c r="DT221" s="81"/>
      <c r="DU221" s="30"/>
      <c r="DV221" s="30"/>
      <c r="DX221" s="30"/>
      <c r="DY221" s="30"/>
      <c r="DZ221" s="30"/>
      <c r="EA221" s="30"/>
      <c r="EB221" s="30"/>
      <c r="EC221" s="30"/>
      <c r="ED221" s="30"/>
      <c r="EE221" s="85"/>
      <c r="EF221" s="85"/>
      <c r="EG221" s="70"/>
      <c r="EI221" s="81"/>
      <c r="EJ221" s="30"/>
      <c r="EK221" s="30"/>
      <c r="EM221" s="30"/>
      <c r="EN221" s="30"/>
      <c r="EO221" s="30"/>
      <c r="EP221" s="30"/>
      <c r="EQ221" s="30"/>
      <c r="ER221" s="30"/>
      <c r="ES221" s="30"/>
      <c r="ET221" s="85"/>
      <c r="EU221" s="85"/>
      <c r="EV221" s="70"/>
    </row>
    <row r="222" spans="2:152">
      <c r="B222" s="11">
        <v>1</v>
      </c>
      <c r="C222" s="28">
        <f t="shared" si="37"/>
        <v>2.2799999999999998</v>
      </c>
      <c r="D222" s="18"/>
      <c r="E222" s="10"/>
      <c r="F222" s="27">
        <f t="shared" si="38"/>
        <v>1.4385964912280702</v>
      </c>
      <c r="G222" s="27">
        <f t="shared" si="39"/>
        <v>-2111.69893</v>
      </c>
      <c r="H222" s="27">
        <f t="shared" si="40"/>
        <v>1295.1147627943531</v>
      </c>
      <c r="I222" s="27">
        <f t="shared" si="41"/>
        <v>-1.6305110486454315</v>
      </c>
      <c r="J222" s="27">
        <f t="shared" si="42"/>
        <v>0.53271040483887955</v>
      </c>
      <c r="K222" s="27" t="e">
        <f t="shared" si="43"/>
        <v>#NUM!</v>
      </c>
      <c r="L222" s="27" t="e">
        <f t="shared" si="44"/>
        <v>#NUM!</v>
      </c>
      <c r="M222" s="17" t="e">
        <f t="shared" si="45"/>
        <v>#NUM!</v>
      </c>
      <c r="N222" s="17" t="e">
        <f t="shared" si="46"/>
        <v>#N/A</v>
      </c>
      <c r="O222" s="57" t="e">
        <f t="shared" si="47"/>
        <v>#N/A</v>
      </c>
      <c r="P222" s="17">
        <f>IF(ISERROR(O222),0,IF('R-AFC ISOTOPE'!$G$7=B222,O222,0))</f>
        <v>0</v>
      </c>
      <c r="Q222" s="70"/>
      <c r="S222" s="81"/>
      <c r="T222" s="30"/>
      <c r="U222" s="30"/>
      <c r="W222" s="30"/>
      <c r="X222" s="30"/>
      <c r="Y222" s="30"/>
      <c r="Z222" s="30"/>
      <c r="AA222" s="30"/>
      <c r="AB222" s="30"/>
      <c r="AC222" s="30"/>
      <c r="AD222" s="85"/>
      <c r="AE222" s="85"/>
      <c r="AF222" s="70"/>
      <c r="AH222" s="81"/>
      <c r="AI222" s="30"/>
      <c r="AJ222" s="30"/>
      <c r="AL222" s="30"/>
      <c r="AM222" s="30"/>
      <c r="AN222" s="30"/>
      <c r="AO222" s="30"/>
      <c r="AP222" s="30"/>
      <c r="AQ222" s="30"/>
      <c r="AR222" s="30"/>
      <c r="AS222" s="85"/>
      <c r="AT222" s="85"/>
      <c r="AU222" s="70"/>
      <c r="AW222" s="81"/>
      <c r="AX222" s="30"/>
      <c r="AY222" s="30"/>
      <c r="BA222" s="30"/>
      <c r="BB222" s="30"/>
      <c r="BC222" s="30"/>
      <c r="BD222" s="30"/>
      <c r="BE222" s="30"/>
      <c r="BF222" s="30"/>
      <c r="BG222" s="30"/>
      <c r="BH222" s="85"/>
      <c r="BI222" s="85"/>
      <c r="BJ222" s="70"/>
      <c r="BL222" s="81"/>
      <c r="BM222" s="30"/>
      <c r="BN222" s="30"/>
      <c r="BP222" s="30"/>
      <c r="BQ222" s="30"/>
      <c r="BR222" s="30"/>
      <c r="BS222" s="30"/>
      <c r="BT222" s="30"/>
      <c r="BU222" s="30"/>
      <c r="BV222" s="30"/>
      <c r="BW222" s="85"/>
      <c r="BX222" s="85"/>
      <c r="BY222" s="70"/>
      <c r="CA222" s="81"/>
      <c r="CB222" s="30"/>
      <c r="CC222" s="30"/>
      <c r="CE222" s="30"/>
      <c r="CF222" s="30"/>
      <c r="CG222" s="30"/>
      <c r="CH222" s="30"/>
      <c r="CI222" s="30"/>
      <c r="CJ222" s="30"/>
      <c r="CK222" s="30"/>
      <c r="CL222" s="85"/>
      <c r="CM222" s="85"/>
      <c r="CN222" s="70"/>
      <c r="CP222" s="81"/>
      <c r="CQ222" s="30"/>
      <c r="CR222" s="30"/>
      <c r="CT222" s="30"/>
      <c r="CU222" s="30"/>
      <c r="CV222" s="30"/>
      <c r="CW222" s="30"/>
      <c r="CX222" s="30"/>
      <c r="CY222" s="30"/>
      <c r="CZ222" s="30"/>
      <c r="DA222" s="85"/>
      <c r="DB222" s="85"/>
      <c r="DC222" s="70"/>
      <c r="DE222" s="81"/>
      <c r="DF222" s="30"/>
      <c r="DG222" s="30"/>
      <c r="DI222" s="30"/>
      <c r="DJ222" s="30"/>
      <c r="DK222" s="30"/>
      <c r="DL222" s="30"/>
      <c r="DM222" s="30"/>
      <c r="DN222" s="30"/>
      <c r="DO222" s="30"/>
      <c r="DP222" s="85"/>
      <c r="DQ222" s="85"/>
      <c r="DR222" s="70"/>
      <c r="DT222" s="81"/>
      <c r="DU222" s="30"/>
      <c r="DV222" s="30"/>
      <c r="DX222" s="30"/>
      <c r="DY222" s="30"/>
      <c r="DZ222" s="30"/>
      <c r="EA222" s="30"/>
      <c r="EB222" s="30"/>
      <c r="EC222" s="30"/>
      <c r="ED222" s="30"/>
      <c r="EE222" s="85"/>
      <c r="EF222" s="85"/>
      <c r="EG222" s="70"/>
      <c r="EI222" s="81"/>
      <c r="EJ222" s="30"/>
      <c r="EK222" s="30"/>
      <c r="EM222" s="30"/>
      <c r="EN222" s="30"/>
      <c r="EO222" s="30"/>
      <c r="EP222" s="30"/>
      <c r="EQ222" s="30"/>
      <c r="ER222" s="30"/>
      <c r="ES222" s="30"/>
      <c r="ET222" s="85"/>
      <c r="EU222" s="85"/>
      <c r="EV222" s="7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46A4F-7B19-496E-B8AE-BC328B7A372A}">
  <sheetPr codeName="Sayfa7">
    <tabColor rgb="FF002060"/>
  </sheetPr>
  <dimension ref="B1:AG131"/>
  <sheetViews>
    <sheetView showRowColHeaders="0" tabSelected="1" workbookViewId="0">
      <selection activeCell="L3" sqref="L3"/>
    </sheetView>
  </sheetViews>
  <sheetFormatPr defaultRowHeight="15"/>
  <cols>
    <col min="1" max="2" width="3.42578125" style="8" customWidth="1"/>
    <col min="3" max="3" width="11.7109375" style="8" customWidth="1"/>
    <col min="4" max="4" width="1.85546875" style="8" customWidth="1"/>
    <col min="5" max="5" width="6.42578125" style="8" customWidth="1"/>
    <col min="6" max="6" width="2.140625" style="8" customWidth="1"/>
    <col min="7" max="7" width="9" style="8" customWidth="1"/>
    <col min="8" max="8" width="3.42578125" style="8" customWidth="1"/>
    <col min="9" max="9" width="3.28515625" style="8" customWidth="1"/>
    <col min="10" max="10" width="3.42578125" style="8" customWidth="1"/>
    <col min="11" max="11" width="9.140625" style="8"/>
    <col min="12" max="12" width="9.7109375" style="8" customWidth="1"/>
    <col min="13" max="13" width="3.42578125" style="8" customWidth="1"/>
    <col min="14" max="14" width="3.28515625" style="8" customWidth="1"/>
    <col min="15" max="15" width="3.42578125" style="8" customWidth="1"/>
    <col min="16" max="16" width="12" style="8" customWidth="1"/>
    <col min="17" max="22" width="9.140625" style="8"/>
    <col min="23" max="23" width="8.140625" style="8" customWidth="1"/>
    <col min="24" max="24" width="3.42578125" style="8" customWidth="1"/>
    <col min="25" max="32" width="9.140625" style="8"/>
    <col min="33" max="33" width="5.28515625" style="8" customWidth="1"/>
    <col min="34" max="16384" width="9.140625" style="8"/>
  </cols>
  <sheetData>
    <row r="1" spans="2:33" ht="15.75" thickBot="1"/>
    <row r="2" spans="2:33" ht="12" customHeight="1">
      <c r="B2" s="156" t="s">
        <v>30</v>
      </c>
      <c r="C2" s="157"/>
      <c r="D2" s="157"/>
      <c r="E2" s="157"/>
      <c r="F2" s="157"/>
      <c r="G2" s="157"/>
      <c r="H2" s="158"/>
      <c r="J2" s="60"/>
      <c r="K2" s="61"/>
      <c r="L2" s="61"/>
      <c r="M2" s="62"/>
      <c r="O2" s="37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9"/>
    </row>
    <row r="3" spans="2:33" ht="15" customHeight="1">
      <c r="B3" s="159"/>
      <c r="C3" s="160"/>
      <c r="D3" s="160"/>
      <c r="E3" s="160"/>
      <c r="F3" s="160"/>
      <c r="G3" s="160"/>
      <c r="H3" s="161"/>
      <c r="J3" s="66"/>
      <c r="K3" s="73" t="s">
        <v>34</v>
      </c>
      <c r="L3" s="75" t="s">
        <v>27</v>
      </c>
      <c r="M3" s="67"/>
      <c r="O3" s="40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50"/>
      <c r="AB3" s="50"/>
      <c r="AC3" s="41"/>
      <c r="AD3" s="41"/>
      <c r="AE3" s="41"/>
      <c r="AF3" s="41"/>
      <c r="AG3" s="42"/>
    </row>
    <row r="4" spans="2:33" ht="12" customHeight="1" thickBot="1">
      <c r="B4" s="162"/>
      <c r="C4" s="163"/>
      <c r="D4" s="163"/>
      <c r="E4" s="163"/>
      <c r="F4" s="163"/>
      <c r="G4" s="163"/>
      <c r="H4" s="164"/>
      <c r="J4" s="63"/>
      <c r="K4" s="64"/>
      <c r="L4" s="64"/>
      <c r="M4" s="65"/>
      <c r="O4" s="40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50"/>
      <c r="AB4" s="50"/>
      <c r="AC4" s="41"/>
      <c r="AD4" s="41"/>
      <c r="AE4" s="41"/>
      <c r="AF4" s="41"/>
      <c r="AG4" s="42"/>
    </row>
    <row r="5" spans="2:33" ht="9.9499999999999993" customHeight="1" thickBot="1">
      <c r="O5" s="40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50"/>
      <c r="AB5" s="50"/>
      <c r="AC5" s="41"/>
      <c r="AD5" s="41"/>
      <c r="AE5" s="41"/>
      <c r="AF5" s="41"/>
      <c r="AG5" s="42"/>
    </row>
    <row r="6" spans="2:33" ht="15.75" customHeight="1">
      <c r="B6" s="169"/>
      <c r="C6" s="170"/>
      <c r="D6" s="170"/>
      <c r="E6" s="170"/>
      <c r="F6" s="170"/>
      <c r="G6" s="170"/>
      <c r="H6" s="171"/>
      <c r="J6" s="37"/>
      <c r="K6" s="38"/>
      <c r="L6" s="38"/>
      <c r="M6" s="39"/>
      <c r="O6" s="40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50"/>
      <c r="AB6" s="50"/>
      <c r="AC6" s="41"/>
      <c r="AD6" s="41"/>
      <c r="AE6" s="41"/>
      <c r="AF6" s="41"/>
      <c r="AG6" s="42"/>
    </row>
    <row r="7" spans="2:33" ht="15.95" customHeight="1">
      <c r="B7" s="40"/>
      <c r="C7" s="165" t="s">
        <v>0</v>
      </c>
      <c r="D7" s="41"/>
      <c r="E7" s="41"/>
      <c r="F7" s="41"/>
      <c r="G7" s="167">
        <f>'R-AFC ISOTOPE_CONTROL'!E6</f>
        <v>0.17</v>
      </c>
      <c r="H7" s="42"/>
      <c r="J7" s="40"/>
      <c r="K7" s="54" t="s">
        <v>18</v>
      </c>
      <c r="L7" s="68">
        <v>1070</v>
      </c>
      <c r="M7" s="42"/>
      <c r="O7" s="40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50"/>
      <c r="AB7" s="50"/>
      <c r="AC7" s="41"/>
      <c r="AD7" s="41"/>
      <c r="AE7" s="41"/>
      <c r="AF7" s="41"/>
      <c r="AG7" s="42"/>
    </row>
    <row r="8" spans="2:33" ht="15.95" customHeight="1">
      <c r="B8" s="40"/>
      <c r="C8" s="166"/>
      <c r="D8" s="41"/>
      <c r="E8" s="41"/>
      <c r="F8" s="41"/>
      <c r="G8" s="168"/>
      <c r="H8" s="42"/>
      <c r="J8" s="40"/>
      <c r="K8" s="54" t="s">
        <v>19</v>
      </c>
      <c r="L8" s="68">
        <v>0.70573799999999998</v>
      </c>
      <c r="M8" s="42"/>
      <c r="O8" s="40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50"/>
      <c r="AB8" s="50"/>
      <c r="AC8" s="41"/>
      <c r="AD8" s="41"/>
      <c r="AE8" s="41"/>
      <c r="AF8" s="41"/>
      <c r="AG8" s="42"/>
    </row>
    <row r="9" spans="2:33" ht="15.95" customHeight="1">
      <c r="B9" s="40"/>
      <c r="C9" s="41"/>
      <c r="D9" s="41"/>
      <c r="E9" s="41"/>
      <c r="F9" s="41"/>
      <c r="G9" s="41"/>
      <c r="H9" s="42"/>
      <c r="J9" s="40"/>
      <c r="K9" s="55"/>
      <c r="L9" s="53"/>
      <c r="M9" s="42"/>
      <c r="O9" s="40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50"/>
      <c r="AB9" s="50"/>
      <c r="AC9" s="41"/>
      <c r="AD9" s="41"/>
      <c r="AE9" s="41"/>
      <c r="AF9" s="41"/>
      <c r="AG9" s="42"/>
    </row>
    <row r="10" spans="2:33" ht="15.95" customHeight="1">
      <c r="B10" s="40"/>
      <c r="C10" s="41"/>
      <c r="D10" s="41"/>
      <c r="E10" s="41"/>
      <c r="F10" s="41"/>
      <c r="G10" s="41"/>
      <c r="H10" s="42"/>
      <c r="J10" s="40"/>
      <c r="K10" s="56" t="s">
        <v>20</v>
      </c>
      <c r="L10" s="68">
        <v>28.3</v>
      </c>
      <c r="M10" s="42"/>
      <c r="O10" s="40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8"/>
      <c r="AB10" s="48"/>
      <c r="AC10" s="41"/>
      <c r="AD10" s="41"/>
      <c r="AE10" s="41"/>
      <c r="AF10" s="41"/>
      <c r="AG10" s="46"/>
    </row>
    <row r="11" spans="2:33" ht="15.95" customHeight="1">
      <c r="B11" s="40"/>
      <c r="C11" s="41"/>
      <c r="D11" s="41"/>
      <c r="E11" s="41"/>
      <c r="F11" s="41"/>
      <c r="G11" s="41"/>
      <c r="H11" s="42"/>
      <c r="J11" s="40"/>
      <c r="K11" s="56" t="s">
        <v>21</v>
      </c>
      <c r="L11" s="68">
        <v>0.73182000000000003</v>
      </c>
      <c r="M11" s="42"/>
      <c r="O11" s="40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51"/>
      <c r="AB11" s="51"/>
      <c r="AC11" s="41"/>
      <c r="AD11" s="41"/>
      <c r="AE11" s="41"/>
      <c r="AF11" s="41"/>
      <c r="AG11" s="47"/>
    </row>
    <row r="12" spans="2:33" ht="15.95" customHeight="1">
      <c r="B12" s="40"/>
      <c r="C12" s="41"/>
      <c r="D12" s="41"/>
      <c r="E12" s="41"/>
      <c r="F12" s="41"/>
      <c r="G12" s="41"/>
      <c r="H12" s="42"/>
      <c r="J12" s="40"/>
      <c r="K12" s="55"/>
      <c r="L12" s="53"/>
      <c r="M12" s="42"/>
      <c r="O12" s="40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52"/>
      <c r="AB12" s="52"/>
      <c r="AC12" s="41"/>
      <c r="AD12" s="41"/>
      <c r="AE12" s="41"/>
      <c r="AF12" s="41"/>
      <c r="AG12" s="47"/>
    </row>
    <row r="13" spans="2:33" ht="15.95" customHeight="1">
      <c r="B13" s="40"/>
      <c r="C13" s="172" t="s">
        <v>32</v>
      </c>
      <c r="D13" s="173"/>
      <c r="E13" s="173"/>
      <c r="F13" s="41"/>
      <c r="G13" s="153">
        <f>'R-AFC ISOTOPE_CONTROL'!I9</f>
        <v>0.17643023465472413</v>
      </c>
      <c r="H13" s="42"/>
      <c r="J13" s="40"/>
      <c r="K13" s="56" t="s">
        <v>23</v>
      </c>
      <c r="L13" s="68">
        <v>1070</v>
      </c>
      <c r="M13" s="42"/>
      <c r="O13" s="40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52"/>
      <c r="AB13" s="52"/>
      <c r="AC13" s="41"/>
      <c r="AD13" s="41"/>
      <c r="AE13" s="41"/>
      <c r="AF13" s="41"/>
      <c r="AG13" s="47"/>
    </row>
    <row r="14" spans="2:33" ht="15.95" customHeight="1">
      <c r="B14" s="40"/>
      <c r="C14" s="172"/>
      <c r="D14" s="173"/>
      <c r="E14" s="173"/>
      <c r="F14" s="41"/>
      <c r="G14" s="155"/>
      <c r="H14" s="42"/>
      <c r="J14" s="40"/>
      <c r="K14" s="56" t="s">
        <v>24</v>
      </c>
      <c r="L14" s="68">
        <v>0.70573799999999998</v>
      </c>
      <c r="M14" s="42"/>
      <c r="O14" s="40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52"/>
      <c r="AB14" s="52"/>
      <c r="AC14" s="41"/>
      <c r="AD14" s="41"/>
      <c r="AE14" s="41"/>
      <c r="AF14" s="41"/>
      <c r="AG14" s="47"/>
    </row>
    <row r="15" spans="2:33" ht="15.95" customHeight="1">
      <c r="B15" s="40"/>
      <c r="C15" s="41"/>
      <c r="D15" s="41"/>
      <c r="E15" s="41"/>
      <c r="F15" s="41"/>
      <c r="G15" s="41"/>
      <c r="H15" s="42"/>
      <c r="J15" s="40"/>
      <c r="K15" s="41"/>
      <c r="L15" s="41"/>
      <c r="M15" s="42"/>
      <c r="O15" s="40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52"/>
      <c r="AB15" s="52"/>
      <c r="AC15" s="41"/>
      <c r="AD15" s="41"/>
      <c r="AE15" s="41"/>
      <c r="AF15" s="41"/>
      <c r="AG15" s="47"/>
    </row>
    <row r="16" spans="2:33" ht="15.95" customHeight="1">
      <c r="B16" s="40"/>
      <c r="C16" s="174" t="s">
        <v>25</v>
      </c>
      <c r="D16" s="148"/>
      <c r="E16" s="149"/>
      <c r="F16" s="41"/>
      <c r="G16" s="153">
        <f>'R-AFC ISOTOPE_CONTROL'!E10</f>
        <v>0.3876</v>
      </c>
      <c r="H16" s="42"/>
      <c r="J16" s="40"/>
      <c r="K16" s="54" t="s">
        <v>31</v>
      </c>
      <c r="L16" s="68">
        <v>550.61</v>
      </c>
      <c r="M16" s="42"/>
      <c r="O16" s="40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52"/>
      <c r="AB16" s="52"/>
      <c r="AC16" s="41"/>
      <c r="AD16" s="41"/>
      <c r="AE16" s="41"/>
      <c r="AF16" s="41"/>
      <c r="AG16" s="47"/>
    </row>
    <row r="17" spans="2:33" ht="15.95" customHeight="1">
      <c r="B17" s="40"/>
      <c r="C17" s="177"/>
      <c r="D17" s="151"/>
      <c r="E17" s="152"/>
      <c r="F17" s="41"/>
      <c r="G17" s="154"/>
      <c r="H17" s="42"/>
      <c r="J17" s="40"/>
      <c r="K17" s="128" t="s">
        <v>29</v>
      </c>
      <c r="L17" s="129">
        <v>0.62256730321402309</v>
      </c>
      <c r="M17" s="42"/>
      <c r="O17" s="40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52"/>
      <c r="AB17" s="52"/>
      <c r="AC17" s="41"/>
      <c r="AD17" s="41"/>
      <c r="AE17" s="41"/>
      <c r="AF17" s="41"/>
      <c r="AG17" s="47"/>
    </row>
    <row r="18" spans="2:33" ht="15.75" customHeight="1">
      <c r="B18" s="40"/>
      <c r="C18" s="41"/>
      <c r="D18" s="41"/>
      <c r="E18" s="41"/>
      <c r="F18" s="41"/>
      <c r="G18" s="41"/>
      <c r="H18" s="42"/>
      <c r="J18" s="40"/>
      <c r="K18" s="56" t="s">
        <v>22</v>
      </c>
      <c r="L18" s="126">
        <f>'R-AFC ISOTOPE'!$C$30</f>
        <v>0.70603028645675137</v>
      </c>
      <c r="M18" s="42"/>
      <c r="O18" s="40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52"/>
      <c r="AB18" s="52"/>
      <c r="AC18" s="41"/>
      <c r="AD18" s="41"/>
      <c r="AE18" s="41"/>
      <c r="AF18" s="41"/>
      <c r="AG18" s="47"/>
    </row>
    <row r="19" spans="2:33">
      <c r="B19" s="40"/>
      <c r="C19" s="147" t="s">
        <v>33</v>
      </c>
      <c r="D19" s="148"/>
      <c r="E19" s="149"/>
      <c r="F19" s="41"/>
      <c r="G19" s="153">
        <f>1-G13-G16</f>
        <v>0.43596976534527582</v>
      </c>
      <c r="H19" s="42"/>
      <c r="J19" s="40"/>
      <c r="K19" s="41"/>
      <c r="L19" s="41"/>
      <c r="M19" s="42"/>
      <c r="O19" s="40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2"/>
    </row>
    <row r="20" spans="2:33">
      <c r="B20" s="40"/>
      <c r="C20" s="150"/>
      <c r="D20" s="151"/>
      <c r="E20" s="152"/>
      <c r="F20" s="41"/>
      <c r="G20" s="154"/>
      <c r="H20" s="42"/>
      <c r="J20" s="40"/>
      <c r="K20" s="69" t="s">
        <v>1</v>
      </c>
      <c r="L20" s="68">
        <v>2</v>
      </c>
      <c r="M20" s="42"/>
      <c r="O20" s="40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2"/>
    </row>
    <row r="21" spans="2:33" ht="15.75" thickBot="1">
      <c r="B21" s="43"/>
      <c r="C21" s="44"/>
      <c r="D21" s="44"/>
      <c r="E21" s="44"/>
      <c r="F21" s="44"/>
      <c r="G21" s="44"/>
      <c r="H21" s="45"/>
      <c r="J21" s="43"/>
      <c r="K21" s="44"/>
      <c r="L21" s="44"/>
      <c r="M21" s="45"/>
      <c r="O21" s="43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5"/>
    </row>
    <row r="23" spans="2:33">
      <c r="B23" s="74"/>
      <c r="C23" s="118" t="s">
        <v>0</v>
      </c>
      <c r="D23" s="119"/>
      <c r="E23" s="119">
        <v>5</v>
      </c>
      <c r="F23" s="119"/>
      <c r="G23" s="120">
        <f>C31</f>
        <v>0.17643023465472413</v>
      </c>
      <c r="H23" s="119"/>
      <c r="I23" s="130"/>
      <c r="J23" s="130"/>
      <c r="K23" s="130"/>
      <c r="L23" s="130"/>
    </row>
    <row r="24" spans="2:33">
      <c r="B24" s="74"/>
      <c r="C24" s="121">
        <f>G7</f>
        <v>0.17</v>
      </c>
      <c r="D24" s="119"/>
      <c r="E24" s="122">
        <f>'R-AFC ISOTOPE_CONTROL'!E9</f>
        <v>2.2799999999999998</v>
      </c>
      <c r="F24" s="119"/>
      <c r="G24" s="120">
        <f>G23-0.05</f>
        <v>0.12643023465472414</v>
      </c>
      <c r="H24" s="119"/>
      <c r="I24" s="130"/>
      <c r="J24" s="130"/>
      <c r="K24" s="130"/>
      <c r="L24" s="130"/>
    </row>
    <row r="25" spans="2:33">
      <c r="B25" s="74"/>
      <c r="C25" s="123" t="s">
        <v>2</v>
      </c>
      <c r="D25" s="119"/>
      <c r="E25" s="119"/>
      <c r="F25" s="119"/>
      <c r="G25" s="119"/>
      <c r="H25" s="119"/>
      <c r="I25" s="130"/>
      <c r="J25" s="130"/>
      <c r="K25" s="130"/>
      <c r="L25" s="130"/>
    </row>
    <row r="26" spans="2:33">
      <c r="B26" s="74"/>
      <c r="C26" s="123">
        <f>($C$24+$L$20-1)/($C$24-1)</f>
        <v>-1.4096385542168675</v>
      </c>
      <c r="D26" s="119"/>
      <c r="E26" s="119">
        <v>0.8</v>
      </c>
      <c r="F26" s="119"/>
      <c r="G26" s="120">
        <f>C31</f>
        <v>0.17643023465472413</v>
      </c>
      <c r="H26" s="119"/>
      <c r="I26" s="130"/>
      <c r="J26" s="130"/>
      <c r="K26" s="130"/>
      <c r="L26" s="130"/>
    </row>
    <row r="27" spans="2:33">
      <c r="B27" s="74"/>
      <c r="C27" s="123" t="s">
        <v>28</v>
      </c>
      <c r="D27" s="119"/>
      <c r="E27" s="122">
        <f>G7</f>
        <v>0.17</v>
      </c>
      <c r="F27" s="119"/>
      <c r="G27" s="120">
        <f>G24</f>
        <v>0.12643023465472414</v>
      </c>
      <c r="H27" s="119"/>
      <c r="I27" s="130"/>
      <c r="J27" s="130"/>
      <c r="K27" s="130"/>
      <c r="L27" s="130"/>
    </row>
    <row r="28" spans="2:33">
      <c r="B28" s="74"/>
      <c r="C28" s="124">
        <f>1-C33</f>
        <v>0.37743269678597691</v>
      </c>
      <c r="D28" s="119"/>
      <c r="E28" s="119"/>
      <c r="F28" s="119"/>
      <c r="G28" s="119"/>
      <c r="H28" s="119"/>
      <c r="I28" s="130"/>
      <c r="J28" s="130"/>
      <c r="K28" s="130"/>
      <c r="L28" s="130"/>
      <c r="N28" s="33"/>
    </row>
    <row r="29" spans="2:33">
      <c r="B29" s="74"/>
      <c r="C29" s="124">
        <f>C28</f>
        <v>0.37743269678597691</v>
      </c>
      <c r="D29" s="119"/>
      <c r="E29" s="119"/>
      <c r="F29" s="119"/>
      <c r="G29" s="119"/>
      <c r="H29" s="119"/>
      <c r="I29" s="130"/>
      <c r="J29" s="130"/>
      <c r="K29" s="130"/>
      <c r="L29" s="130"/>
      <c r="N29" s="16"/>
    </row>
    <row r="30" spans="2:33">
      <c r="B30" s="74"/>
      <c r="C30" s="123">
        <f>(($C$24/($C$24-1))*($L$10/$C$26)*(1-$C$29^(-C26))*$L$11+(($L$7*$C$29^(-C26))*$L$8))/(($C$24/($C$24-1))*($L$10/C26)*(1-$C$29^(-$C$26))+($L$7*$C$29^(-C26)))</f>
        <v>0.70603028645675137</v>
      </c>
      <c r="D30" s="119"/>
      <c r="E30" s="119"/>
      <c r="F30" s="119"/>
      <c r="G30" s="119"/>
      <c r="H30" s="119"/>
      <c r="I30" s="130"/>
      <c r="J30" s="130"/>
      <c r="K30" s="130"/>
      <c r="L30" s="130"/>
      <c r="N30" s="16"/>
      <c r="O30" s="35"/>
    </row>
    <row r="31" spans="2:33">
      <c r="B31" s="74"/>
      <c r="C31" s="124">
        <f>G13</f>
        <v>0.17643023465472413</v>
      </c>
      <c r="D31" s="119"/>
      <c r="E31" s="119"/>
      <c r="F31" s="119"/>
      <c r="G31" s="119"/>
      <c r="H31" s="119"/>
      <c r="I31" s="130"/>
      <c r="J31" s="130"/>
      <c r="K31" s="130"/>
      <c r="L31" s="130"/>
      <c r="N31" s="16"/>
      <c r="O31" s="35"/>
    </row>
    <row r="32" spans="2:33">
      <c r="B32" s="74"/>
      <c r="C32" s="123" t="s">
        <v>29</v>
      </c>
      <c r="D32" s="119"/>
      <c r="E32" s="119"/>
      <c r="F32" s="119"/>
      <c r="G32" s="119"/>
      <c r="H32" s="119"/>
      <c r="I32" s="130"/>
      <c r="J32" s="130"/>
      <c r="K32" s="130"/>
      <c r="L32" s="130"/>
      <c r="N32" s="16"/>
      <c r="O32" s="35"/>
    </row>
    <row r="33" spans="2:19">
      <c r="B33" s="74"/>
      <c r="C33" s="124">
        <f>L17</f>
        <v>0.62256730321402309</v>
      </c>
      <c r="D33" s="119"/>
      <c r="E33" s="119"/>
      <c r="F33" s="119"/>
      <c r="G33" s="119"/>
      <c r="H33" s="119"/>
      <c r="I33" s="130"/>
      <c r="J33" s="130"/>
      <c r="K33" s="130"/>
      <c r="L33" s="130"/>
      <c r="N33" s="16"/>
      <c r="O33" s="35"/>
    </row>
    <row r="34" spans="2:19">
      <c r="B34" s="74"/>
      <c r="C34" s="123">
        <f>L16</f>
        <v>550.61</v>
      </c>
      <c r="D34" s="119"/>
      <c r="E34" s="119"/>
      <c r="F34" s="119"/>
      <c r="G34" s="119"/>
      <c r="H34" s="119"/>
      <c r="I34" s="130"/>
      <c r="J34" s="130"/>
      <c r="K34" s="130"/>
      <c r="L34" s="130"/>
      <c r="N34" s="16"/>
      <c r="O34" s="35"/>
      <c r="R34" s="35"/>
      <c r="S34" s="35"/>
    </row>
    <row r="35" spans="2:19">
      <c r="B35" s="74"/>
      <c r="C35" s="121">
        <f>L7*((C33^-C26)+($C$24/($C$24+L20-1))*(L10/L7)*(1-C33^-C26))</f>
        <v>550.61008510131364</v>
      </c>
      <c r="D35" s="119"/>
      <c r="E35" s="119"/>
      <c r="F35" s="119"/>
      <c r="G35" s="119"/>
      <c r="H35" s="119"/>
      <c r="I35" s="130"/>
      <c r="J35" s="130"/>
      <c r="K35" s="130"/>
      <c r="L35" s="130"/>
      <c r="N35" s="16"/>
      <c r="O35" s="35"/>
      <c r="R35" s="35"/>
      <c r="S35" s="35"/>
    </row>
    <row r="36" spans="2:19">
      <c r="B36" s="74"/>
      <c r="C36" s="124">
        <f>(1+((((L8-L18)/(L18-L11))*($C$24+L20-1))/($C$24*(L10/L7))))^(($C$24-1)/($C$24+L20-1))</f>
        <v>0.37743269678591918</v>
      </c>
      <c r="D36" s="119"/>
      <c r="E36" s="119"/>
      <c r="F36" s="119"/>
      <c r="G36" s="119"/>
      <c r="H36" s="119"/>
      <c r="I36" s="130"/>
      <c r="J36" s="130"/>
      <c r="K36" s="130"/>
      <c r="L36" s="130"/>
      <c r="N36" s="16"/>
      <c r="O36" s="35"/>
      <c r="P36" s="36"/>
      <c r="Q36" s="35"/>
      <c r="R36" s="35"/>
      <c r="S36" s="35"/>
    </row>
    <row r="37" spans="2:19">
      <c r="B37" s="74"/>
      <c r="C37" s="121">
        <f>L7*((C36^-C26)+($C$24/($C$24+L20-1))*(L10/L7)*(1-C36^-C26))</f>
        <v>274.01530635187453</v>
      </c>
      <c r="D37" s="119"/>
      <c r="E37" s="119"/>
      <c r="F37" s="119"/>
      <c r="G37" s="119"/>
      <c r="H37" s="119"/>
      <c r="I37" s="130"/>
      <c r="J37" s="130"/>
      <c r="K37" s="130"/>
      <c r="L37" s="130"/>
      <c r="N37" s="16"/>
      <c r="O37" s="35"/>
      <c r="P37" s="36"/>
      <c r="Q37" s="35"/>
      <c r="R37" s="35"/>
      <c r="S37" s="35"/>
    </row>
    <row r="38" spans="2:19">
      <c r="B38" s="74"/>
      <c r="C38" s="121">
        <f>'R-AFC ISOTOPE_CONTROL'!E9</f>
        <v>2.2799999999999998</v>
      </c>
      <c r="D38" s="119"/>
      <c r="E38" s="119"/>
      <c r="F38" s="119"/>
      <c r="G38" s="119"/>
      <c r="H38" s="119"/>
      <c r="I38" s="130"/>
      <c r="J38" s="130"/>
      <c r="K38" s="130"/>
      <c r="L38" s="130"/>
      <c r="N38" s="16"/>
      <c r="O38" s="35"/>
      <c r="P38" s="36"/>
      <c r="Q38" s="35"/>
      <c r="R38" s="35"/>
      <c r="S38" s="35"/>
    </row>
    <row r="39" spans="2:19">
      <c r="B39" s="74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N39" s="16"/>
      <c r="O39" s="35"/>
      <c r="P39" s="36"/>
      <c r="Q39" s="35"/>
      <c r="R39" s="35"/>
      <c r="S39" s="35"/>
    </row>
    <row r="40" spans="2:19">
      <c r="B40" s="74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N40" s="16"/>
      <c r="O40" s="35"/>
      <c r="P40" s="36"/>
      <c r="Q40" s="35"/>
      <c r="R40" s="35"/>
      <c r="S40" s="35"/>
    </row>
    <row r="41" spans="2:19">
      <c r="B41" s="74"/>
      <c r="C41" s="74"/>
      <c r="D41" s="74"/>
      <c r="E41" s="74"/>
      <c r="F41" s="74"/>
      <c r="G41" s="74"/>
      <c r="H41" s="74"/>
      <c r="M41" s="16"/>
      <c r="N41" s="16"/>
      <c r="O41" s="35"/>
      <c r="P41" s="36"/>
      <c r="Q41" s="35"/>
      <c r="R41" s="35"/>
      <c r="S41" s="35"/>
    </row>
    <row r="42" spans="2:19">
      <c r="M42" s="16"/>
      <c r="N42" s="16"/>
      <c r="O42" s="35"/>
      <c r="P42" s="36"/>
      <c r="Q42" s="35"/>
      <c r="R42" s="35"/>
      <c r="S42" s="35"/>
    </row>
    <row r="43" spans="2:19">
      <c r="M43" s="16"/>
      <c r="N43" s="16"/>
      <c r="O43" s="35"/>
      <c r="P43" s="36"/>
      <c r="Q43" s="35"/>
      <c r="R43" s="35"/>
      <c r="S43" s="35"/>
    </row>
    <row r="44" spans="2:19">
      <c r="M44" s="16"/>
      <c r="N44" s="16"/>
      <c r="O44" s="35"/>
      <c r="P44" s="36"/>
      <c r="Q44" s="35"/>
      <c r="R44" s="35"/>
      <c r="S44" s="35"/>
    </row>
    <row r="45" spans="2:19">
      <c r="M45" s="16"/>
      <c r="N45" s="16"/>
      <c r="O45" s="35"/>
      <c r="P45" s="36"/>
      <c r="Q45" s="35"/>
      <c r="R45" s="35"/>
      <c r="S45" s="35"/>
    </row>
    <row r="46" spans="2:19">
      <c r="M46" s="16"/>
      <c r="N46" s="16"/>
      <c r="O46" s="35"/>
      <c r="P46" s="36"/>
      <c r="Q46" s="35"/>
      <c r="R46" s="35"/>
      <c r="S46" s="35"/>
    </row>
    <row r="47" spans="2:19">
      <c r="M47" s="16"/>
      <c r="N47" s="16"/>
      <c r="O47" s="35"/>
      <c r="P47" s="36"/>
      <c r="Q47" s="35"/>
      <c r="R47" s="35"/>
      <c r="S47" s="35"/>
    </row>
    <row r="48" spans="2:19">
      <c r="M48" s="16"/>
      <c r="N48" s="16"/>
      <c r="O48" s="35"/>
      <c r="P48" s="36"/>
      <c r="Q48" s="35"/>
      <c r="R48" s="35"/>
      <c r="S48" s="35"/>
    </row>
    <row r="49" spans="13:19">
      <c r="M49" s="16"/>
      <c r="N49" s="16"/>
      <c r="O49" s="35"/>
      <c r="P49" s="36"/>
      <c r="Q49" s="35"/>
      <c r="R49" s="35"/>
      <c r="S49" s="35"/>
    </row>
    <row r="50" spans="13:19">
      <c r="M50" s="16"/>
      <c r="N50" s="16"/>
      <c r="O50" s="35"/>
      <c r="P50" s="36"/>
      <c r="Q50" s="35"/>
      <c r="R50" s="35"/>
      <c r="S50" s="35"/>
    </row>
    <row r="51" spans="13:19">
      <c r="M51" s="16"/>
      <c r="N51" s="16"/>
      <c r="O51" s="35"/>
      <c r="P51" s="36"/>
      <c r="Q51" s="35"/>
      <c r="R51" s="35"/>
      <c r="S51" s="35"/>
    </row>
    <row r="52" spans="13:19">
      <c r="M52" s="16"/>
      <c r="N52" s="16"/>
      <c r="O52" s="35"/>
      <c r="P52" s="36"/>
      <c r="Q52" s="35"/>
      <c r="R52" s="35"/>
      <c r="S52" s="35"/>
    </row>
    <row r="53" spans="13:19">
      <c r="M53" s="16"/>
      <c r="N53" s="16"/>
      <c r="O53" s="35"/>
      <c r="P53" s="36"/>
      <c r="Q53" s="35"/>
      <c r="R53" s="35"/>
      <c r="S53" s="35"/>
    </row>
    <row r="54" spans="13:19">
      <c r="M54" s="16"/>
      <c r="N54" s="16"/>
      <c r="O54" s="35"/>
      <c r="P54" s="36"/>
      <c r="Q54" s="35"/>
      <c r="R54" s="35"/>
      <c r="S54" s="35"/>
    </row>
    <row r="55" spans="13:19">
      <c r="M55" s="16"/>
      <c r="N55" s="16"/>
      <c r="O55" s="35"/>
      <c r="P55" s="36"/>
      <c r="Q55" s="35"/>
      <c r="R55" s="35"/>
      <c r="S55" s="35"/>
    </row>
    <row r="56" spans="13:19">
      <c r="M56" s="16"/>
      <c r="N56" s="16"/>
      <c r="O56" s="35"/>
      <c r="P56" s="36"/>
      <c r="Q56" s="35"/>
      <c r="R56" s="35"/>
      <c r="S56" s="35"/>
    </row>
    <row r="57" spans="13:19">
      <c r="M57" s="16"/>
      <c r="N57" s="16"/>
      <c r="O57" s="35"/>
      <c r="P57" s="36"/>
      <c r="Q57" s="35"/>
      <c r="R57" s="35"/>
      <c r="S57" s="35"/>
    </row>
    <row r="58" spans="13:19">
      <c r="M58" s="16"/>
      <c r="N58" s="16"/>
      <c r="O58" s="35"/>
      <c r="P58" s="36"/>
      <c r="Q58" s="35"/>
      <c r="R58" s="35"/>
      <c r="S58" s="35"/>
    </row>
    <row r="59" spans="13:19">
      <c r="M59" s="16"/>
      <c r="N59" s="16"/>
      <c r="O59" s="35"/>
      <c r="P59" s="36"/>
      <c r="Q59" s="35"/>
      <c r="R59" s="35"/>
      <c r="S59" s="35"/>
    </row>
    <row r="60" spans="13:19">
      <c r="M60" s="16"/>
      <c r="N60" s="16"/>
      <c r="O60" s="35"/>
      <c r="P60" s="36"/>
      <c r="Q60" s="35"/>
      <c r="R60" s="35"/>
      <c r="S60" s="35"/>
    </row>
    <row r="61" spans="13:19">
      <c r="M61" s="16"/>
      <c r="N61" s="16"/>
      <c r="O61" s="35"/>
      <c r="P61" s="36"/>
      <c r="Q61" s="35"/>
      <c r="R61" s="35"/>
      <c r="S61" s="35"/>
    </row>
    <row r="62" spans="13:19">
      <c r="M62" s="16"/>
      <c r="N62" s="16"/>
      <c r="O62" s="35"/>
      <c r="P62" s="36"/>
      <c r="Q62" s="35"/>
      <c r="R62" s="35"/>
      <c r="S62" s="35"/>
    </row>
    <row r="63" spans="13:19">
      <c r="M63" s="16"/>
      <c r="N63" s="16"/>
      <c r="O63" s="35"/>
      <c r="P63" s="36"/>
      <c r="Q63" s="35"/>
      <c r="R63" s="35"/>
      <c r="S63" s="35"/>
    </row>
    <row r="64" spans="13:19">
      <c r="M64" s="16"/>
      <c r="N64" s="16"/>
      <c r="O64" s="35"/>
      <c r="P64" s="36"/>
      <c r="Q64" s="35"/>
      <c r="R64" s="35"/>
      <c r="S64" s="35"/>
    </row>
    <row r="65" spans="13:19">
      <c r="M65" s="16"/>
      <c r="N65" s="16"/>
      <c r="O65" s="35"/>
      <c r="P65" s="36"/>
      <c r="Q65" s="35"/>
      <c r="R65" s="35"/>
      <c r="S65" s="35"/>
    </row>
    <row r="66" spans="13:19">
      <c r="M66" s="16"/>
      <c r="N66" s="16"/>
      <c r="O66" s="35"/>
      <c r="P66" s="36"/>
      <c r="Q66" s="35"/>
      <c r="R66" s="35"/>
      <c r="S66" s="35"/>
    </row>
    <row r="67" spans="13:19">
      <c r="M67" s="16"/>
      <c r="N67" s="16"/>
      <c r="O67" s="35"/>
      <c r="P67" s="36"/>
      <c r="Q67" s="35"/>
      <c r="R67" s="35"/>
      <c r="S67" s="35"/>
    </row>
    <row r="68" spans="13:19">
      <c r="M68" s="16"/>
      <c r="N68" s="16"/>
      <c r="O68" s="35"/>
      <c r="P68" s="36"/>
      <c r="Q68" s="35"/>
      <c r="R68" s="35"/>
      <c r="S68" s="35"/>
    </row>
    <row r="69" spans="13:19">
      <c r="M69" s="16"/>
      <c r="N69" s="16"/>
      <c r="O69" s="35"/>
      <c r="P69" s="36"/>
      <c r="Q69" s="35"/>
      <c r="R69" s="35"/>
      <c r="S69" s="35"/>
    </row>
    <row r="70" spans="13:19">
      <c r="M70" s="16"/>
      <c r="N70" s="16"/>
      <c r="O70" s="35"/>
      <c r="P70" s="36"/>
      <c r="Q70" s="35"/>
      <c r="R70" s="35"/>
      <c r="S70" s="35"/>
    </row>
    <row r="71" spans="13:19">
      <c r="M71" s="16"/>
      <c r="N71" s="16"/>
      <c r="O71" s="35"/>
      <c r="P71" s="36"/>
      <c r="Q71" s="35"/>
      <c r="R71" s="35"/>
      <c r="S71" s="35"/>
    </row>
    <row r="72" spans="13:19">
      <c r="M72" s="16"/>
      <c r="N72" s="16"/>
      <c r="O72" s="35"/>
      <c r="P72" s="36"/>
      <c r="Q72" s="35"/>
      <c r="R72" s="35"/>
      <c r="S72" s="35"/>
    </row>
    <row r="73" spans="13:19">
      <c r="M73" s="16"/>
      <c r="N73" s="16"/>
      <c r="O73" s="35"/>
      <c r="P73" s="36"/>
      <c r="Q73" s="35"/>
      <c r="R73" s="35"/>
      <c r="S73" s="35"/>
    </row>
    <row r="74" spans="13:19">
      <c r="M74" s="16"/>
      <c r="N74" s="16"/>
      <c r="O74" s="35"/>
      <c r="P74" s="36"/>
      <c r="Q74" s="35"/>
      <c r="R74" s="35"/>
      <c r="S74" s="35"/>
    </row>
    <row r="75" spans="13:19">
      <c r="M75" s="16"/>
      <c r="N75" s="16"/>
      <c r="O75" s="35"/>
      <c r="P75" s="36"/>
      <c r="Q75" s="35"/>
      <c r="R75" s="35"/>
      <c r="S75" s="35"/>
    </row>
    <row r="76" spans="13:19">
      <c r="M76" s="16"/>
      <c r="N76" s="16"/>
      <c r="O76" s="35"/>
      <c r="P76" s="36"/>
      <c r="Q76" s="35"/>
      <c r="R76" s="35"/>
      <c r="S76" s="35"/>
    </row>
    <row r="77" spans="13:19">
      <c r="M77" s="16"/>
      <c r="N77" s="16"/>
      <c r="O77" s="35"/>
      <c r="P77" s="36"/>
      <c r="Q77" s="35"/>
      <c r="R77" s="35"/>
      <c r="S77" s="35"/>
    </row>
    <row r="78" spans="13:19">
      <c r="M78" s="16"/>
      <c r="N78" s="16"/>
      <c r="O78" s="35"/>
      <c r="P78" s="36"/>
      <c r="Q78" s="35"/>
      <c r="R78" s="35"/>
      <c r="S78" s="35"/>
    </row>
    <row r="79" spans="13:19">
      <c r="M79" s="16"/>
      <c r="N79" s="16"/>
      <c r="O79" s="35"/>
      <c r="P79" s="36"/>
      <c r="Q79" s="35"/>
      <c r="R79" s="35"/>
      <c r="S79" s="35"/>
    </row>
    <row r="80" spans="13:19">
      <c r="M80" s="16"/>
      <c r="N80" s="16"/>
      <c r="O80" s="35"/>
      <c r="P80" s="36"/>
      <c r="Q80" s="35"/>
      <c r="R80" s="35"/>
      <c r="S80" s="35"/>
    </row>
    <row r="81" spans="13:19">
      <c r="M81" s="16"/>
      <c r="N81" s="16"/>
      <c r="O81" s="35"/>
      <c r="P81" s="36"/>
      <c r="Q81" s="35"/>
      <c r="R81" s="35"/>
      <c r="S81" s="35"/>
    </row>
    <row r="82" spans="13:19">
      <c r="M82" s="16"/>
      <c r="N82" s="16"/>
      <c r="O82" s="35"/>
      <c r="P82" s="36"/>
      <c r="Q82" s="35"/>
      <c r="R82" s="35"/>
      <c r="S82" s="35"/>
    </row>
    <row r="83" spans="13:19">
      <c r="M83" s="16"/>
      <c r="N83" s="16"/>
      <c r="O83" s="35"/>
      <c r="P83" s="36"/>
      <c r="Q83" s="35"/>
      <c r="R83" s="35"/>
      <c r="S83" s="35"/>
    </row>
    <row r="84" spans="13:19">
      <c r="M84" s="16"/>
      <c r="N84" s="16"/>
      <c r="O84" s="35"/>
      <c r="P84" s="36"/>
      <c r="Q84" s="35"/>
      <c r="R84" s="35"/>
      <c r="S84" s="35"/>
    </row>
    <row r="85" spans="13:19">
      <c r="M85" s="16"/>
      <c r="N85" s="16"/>
      <c r="O85" s="35"/>
      <c r="P85" s="36"/>
      <c r="Q85" s="35"/>
      <c r="R85" s="35"/>
      <c r="S85" s="35"/>
    </row>
    <row r="86" spans="13:19">
      <c r="M86" s="16"/>
      <c r="N86" s="16"/>
      <c r="O86" s="35"/>
      <c r="P86" s="36"/>
      <c r="Q86" s="35"/>
      <c r="R86" s="35"/>
      <c r="S86" s="35"/>
    </row>
    <row r="87" spans="13:19">
      <c r="M87" s="16"/>
      <c r="N87" s="16"/>
      <c r="O87" s="35"/>
      <c r="P87" s="36"/>
      <c r="Q87" s="35"/>
      <c r="R87" s="35"/>
      <c r="S87" s="35"/>
    </row>
    <row r="88" spans="13:19">
      <c r="M88" s="16"/>
      <c r="N88" s="16"/>
      <c r="O88" s="35"/>
      <c r="P88" s="36"/>
      <c r="Q88" s="35"/>
      <c r="R88" s="35"/>
      <c r="S88" s="35"/>
    </row>
    <row r="89" spans="13:19">
      <c r="M89" s="16"/>
      <c r="N89" s="16"/>
      <c r="O89" s="35"/>
      <c r="P89" s="36"/>
      <c r="Q89" s="35"/>
      <c r="R89" s="35"/>
      <c r="S89" s="35"/>
    </row>
    <row r="90" spans="13:19">
      <c r="M90" s="16"/>
      <c r="N90" s="16"/>
      <c r="O90" s="35"/>
      <c r="P90" s="36"/>
      <c r="Q90" s="35"/>
      <c r="R90" s="35"/>
      <c r="S90" s="35"/>
    </row>
    <row r="91" spans="13:19">
      <c r="M91" s="16"/>
      <c r="N91" s="16"/>
      <c r="O91" s="35"/>
      <c r="P91" s="36"/>
      <c r="Q91" s="35"/>
      <c r="R91" s="35"/>
      <c r="S91" s="35"/>
    </row>
    <row r="92" spans="13:19">
      <c r="M92" s="16"/>
      <c r="N92" s="16"/>
      <c r="O92" s="35"/>
      <c r="P92" s="36"/>
      <c r="Q92" s="35"/>
      <c r="R92" s="35"/>
      <c r="S92" s="35"/>
    </row>
    <row r="93" spans="13:19">
      <c r="M93" s="16"/>
      <c r="N93" s="16"/>
      <c r="O93" s="35"/>
      <c r="P93" s="36"/>
      <c r="Q93" s="35"/>
      <c r="R93" s="35"/>
      <c r="S93" s="35"/>
    </row>
    <row r="94" spans="13:19">
      <c r="M94" s="16"/>
      <c r="N94" s="16"/>
      <c r="O94" s="35"/>
      <c r="P94" s="36"/>
      <c r="Q94" s="35"/>
      <c r="R94" s="35"/>
      <c r="S94" s="35"/>
    </row>
    <row r="95" spans="13:19">
      <c r="M95" s="16"/>
      <c r="N95" s="16"/>
      <c r="O95" s="35"/>
      <c r="P95" s="36"/>
      <c r="Q95" s="35"/>
      <c r="R95" s="35"/>
      <c r="S95" s="35"/>
    </row>
    <row r="96" spans="13:19">
      <c r="M96" s="16"/>
      <c r="N96" s="16"/>
      <c r="O96" s="35"/>
      <c r="P96" s="36"/>
      <c r="Q96" s="35"/>
      <c r="R96" s="35"/>
      <c r="S96" s="35"/>
    </row>
    <row r="97" spans="13:19">
      <c r="M97" s="16"/>
      <c r="N97" s="16"/>
      <c r="O97" s="35"/>
      <c r="P97" s="36"/>
      <c r="Q97" s="35"/>
      <c r="R97" s="35"/>
      <c r="S97" s="35"/>
    </row>
    <row r="98" spans="13:19">
      <c r="M98" s="16"/>
      <c r="N98" s="16"/>
      <c r="O98" s="35"/>
      <c r="P98" s="36"/>
      <c r="Q98" s="35"/>
      <c r="R98" s="35"/>
      <c r="S98" s="35"/>
    </row>
    <row r="99" spans="13:19">
      <c r="M99" s="16"/>
      <c r="N99" s="16"/>
      <c r="O99" s="35"/>
      <c r="P99" s="36"/>
      <c r="Q99" s="35"/>
      <c r="R99" s="35"/>
      <c r="S99" s="35"/>
    </row>
    <row r="100" spans="13:19">
      <c r="M100" s="16"/>
      <c r="N100" s="16"/>
      <c r="O100" s="35"/>
      <c r="P100" s="36"/>
      <c r="Q100" s="35"/>
      <c r="R100" s="35"/>
      <c r="S100" s="35"/>
    </row>
    <row r="101" spans="13:19">
      <c r="M101" s="16"/>
      <c r="N101" s="16"/>
      <c r="O101" s="35"/>
      <c r="P101" s="36"/>
      <c r="Q101" s="35"/>
      <c r="R101" s="35"/>
      <c r="S101" s="35"/>
    </row>
    <row r="102" spans="13:19">
      <c r="M102" s="16"/>
      <c r="N102" s="16"/>
      <c r="O102" s="35"/>
      <c r="P102" s="36"/>
      <c r="Q102" s="35"/>
      <c r="R102" s="35"/>
      <c r="S102" s="35"/>
    </row>
    <row r="103" spans="13:19">
      <c r="M103" s="16"/>
      <c r="N103" s="16"/>
      <c r="O103" s="35"/>
      <c r="P103" s="36"/>
      <c r="Q103" s="35"/>
      <c r="R103" s="35"/>
      <c r="S103" s="35"/>
    </row>
    <row r="104" spans="13:19">
      <c r="M104" s="16"/>
      <c r="N104" s="16"/>
      <c r="O104" s="35"/>
      <c r="P104" s="36"/>
      <c r="Q104" s="35"/>
      <c r="R104" s="35"/>
      <c r="S104" s="35"/>
    </row>
    <row r="105" spans="13:19">
      <c r="M105" s="16"/>
      <c r="N105" s="16"/>
      <c r="O105" s="35"/>
      <c r="P105" s="36"/>
      <c r="Q105" s="35"/>
      <c r="R105" s="35"/>
      <c r="S105" s="35"/>
    </row>
    <row r="106" spans="13:19">
      <c r="M106" s="16"/>
      <c r="N106" s="16"/>
      <c r="O106" s="35"/>
      <c r="P106" s="36"/>
      <c r="Q106" s="35"/>
      <c r="R106" s="35"/>
      <c r="S106" s="35"/>
    </row>
    <row r="107" spans="13:19">
      <c r="M107" s="16"/>
      <c r="N107" s="16"/>
      <c r="O107" s="35"/>
      <c r="P107" s="36"/>
      <c r="Q107" s="35"/>
      <c r="R107" s="35"/>
      <c r="S107" s="35"/>
    </row>
    <row r="108" spans="13:19">
      <c r="M108" s="16"/>
      <c r="N108" s="16"/>
      <c r="O108" s="35"/>
      <c r="P108" s="36"/>
      <c r="Q108" s="35"/>
      <c r="R108" s="35"/>
      <c r="S108" s="35"/>
    </row>
    <row r="109" spans="13:19">
      <c r="M109" s="16"/>
      <c r="N109" s="16"/>
      <c r="O109" s="35"/>
      <c r="P109" s="36"/>
      <c r="Q109" s="35"/>
      <c r="R109" s="35"/>
      <c r="S109" s="35"/>
    </row>
    <row r="110" spans="13:19">
      <c r="M110" s="16"/>
      <c r="N110" s="16"/>
      <c r="O110" s="35"/>
      <c r="P110" s="36"/>
      <c r="Q110" s="35"/>
      <c r="R110" s="35"/>
      <c r="S110" s="35"/>
    </row>
    <row r="111" spans="13:19">
      <c r="M111" s="16"/>
      <c r="N111" s="16"/>
      <c r="O111" s="35"/>
      <c r="P111" s="36"/>
      <c r="Q111" s="35"/>
      <c r="R111" s="35"/>
      <c r="S111" s="35"/>
    </row>
    <row r="112" spans="13:19">
      <c r="M112" s="16"/>
      <c r="N112" s="16"/>
      <c r="O112" s="35"/>
      <c r="P112" s="36"/>
      <c r="Q112" s="35"/>
      <c r="R112" s="35"/>
      <c r="S112" s="35"/>
    </row>
    <row r="113" spans="13:19">
      <c r="M113" s="16"/>
      <c r="N113" s="16"/>
      <c r="O113" s="35"/>
      <c r="P113" s="36"/>
      <c r="Q113" s="35"/>
      <c r="R113" s="35"/>
      <c r="S113" s="35"/>
    </row>
    <row r="114" spans="13:19">
      <c r="M114" s="16"/>
      <c r="N114" s="16"/>
      <c r="O114" s="35"/>
      <c r="P114" s="36"/>
      <c r="Q114" s="35"/>
      <c r="R114" s="35"/>
      <c r="S114" s="35"/>
    </row>
    <row r="115" spans="13:19">
      <c r="M115" s="16"/>
      <c r="N115" s="16"/>
      <c r="O115" s="35"/>
      <c r="P115" s="36"/>
      <c r="Q115" s="35"/>
      <c r="R115" s="35"/>
      <c r="S115" s="35"/>
    </row>
    <row r="116" spans="13:19">
      <c r="M116" s="16"/>
      <c r="N116" s="16"/>
      <c r="O116" s="35"/>
      <c r="P116" s="36"/>
      <c r="Q116" s="35"/>
      <c r="R116" s="35"/>
      <c r="S116" s="35"/>
    </row>
    <row r="117" spans="13:19">
      <c r="M117" s="16"/>
      <c r="N117" s="16"/>
      <c r="O117" s="35"/>
      <c r="P117" s="36"/>
      <c r="Q117" s="35"/>
      <c r="R117" s="35"/>
      <c r="S117" s="35"/>
    </row>
    <row r="118" spans="13:19">
      <c r="M118" s="16"/>
      <c r="N118" s="16"/>
      <c r="O118" s="35"/>
      <c r="P118" s="36"/>
      <c r="Q118" s="35"/>
      <c r="R118" s="35"/>
      <c r="S118" s="35"/>
    </row>
    <row r="119" spans="13:19">
      <c r="M119" s="16"/>
      <c r="N119" s="16"/>
      <c r="O119" s="35"/>
      <c r="P119" s="36"/>
      <c r="Q119" s="35"/>
      <c r="R119" s="35"/>
      <c r="S119" s="35"/>
    </row>
    <row r="120" spans="13:19">
      <c r="M120" s="16"/>
      <c r="N120" s="16"/>
      <c r="O120" s="35"/>
      <c r="P120" s="36"/>
      <c r="Q120" s="35"/>
      <c r="R120" s="35"/>
      <c r="S120" s="35"/>
    </row>
    <row r="121" spans="13:19">
      <c r="M121" s="16"/>
      <c r="N121" s="16"/>
      <c r="O121" s="35"/>
      <c r="P121" s="36"/>
      <c r="Q121" s="35"/>
      <c r="R121" s="35"/>
      <c r="S121" s="35"/>
    </row>
    <row r="122" spans="13:19">
      <c r="M122" s="16"/>
      <c r="N122" s="16"/>
      <c r="O122" s="35"/>
      <c r="P122" s="36"/>
      <c r="Q122" s="35"/>
      <c r="R122" s="35"/>
      <c r="S122" s="35"/>
    </row>
    <row r="123" spans="13:19">
      <c r="M123" s="16"/>
      <c r="N123" s="16"/>
      <c r="O123" s="35"/>
      <c r="P123" s="36"/>
      <c r="Q123" s="35"/>
      <c r="R123" s="35"/>
      <c r="S123" s="35"/>
    </row>
    <row r="124" spans="13:19">
      <c r="M124" s="16"/>
      <c r="N124" s="16"/>
      <c r="O124" s="35"/>
      <c r="P124" s="36"/>
      <c r="Q124" s="35"/>
      <c r="R124" s="35"/>
      <c r="S124" s="35"/>
    </row>
    <row r="125" spans="13:19">
      <c r="M125" s="16"/>
      <c r="N125" s="16"/>
      <c r="O125" s="35"/>
      <c r="P125" s="36"/>
      <c r="Q125" s="35"/>
      <c r="R125" s="35"/>
      <c r="S125" s="35"/>
    </row>
    <row r="126" spans="13:19">
      <c r="M126" s="16"/>
      <c r="N126" s="16"/>
      <c r="O126" s="35"/>
      <c r="P126" s="36"/>
      <c r="Q126" s="35"/>
      <c r="R126" s="35"/>
      <c r="S126" s="35"/>
    </row>
    <row r="127" spans="13:19">
      <c r="M127" s="16"/>
      <c r="N127" s="16"/>
      <c r="O127" s="35"/>
      <c r="P127" s="36"/>
      <c r="Q127" s="35"/>
      <c r="R127" s="35"/>
      <c r="S127" s="35"/>
    </row>
    <row r="128" spans="13:19">
      <c r="M128" s="16"/>
      <c r="N128" s="16"/>
      <c r="O128" s="35"/>
      <c r="Q128" s="35"/>
      <c r="R128" s="35"/>
      <c r="S128" s="35"/>
    </row>
    <row r="129" spans="13:13">
      <c r="M129" s="16"/>
    </row>
    <row r="130" spans="13:13">
      <c r="M130" s="16"/>
    </row>
    <row r="131" spans="13:13">
      <c r="M131" s="16"/>
    </row>
  </sheetData>
  <sheetProtection algorithmName="SHA-512" hashValue="KIaH4FhRkvzGbiEFRZKuW7SUZUT4OgH7/WfwLKUObNECygjHSRVkiAFn1Q9nQ2IX90hDV5gH8Hp07uD1cs3TdA==" saltValue="IrSWY18CcPEf0JUeOyxyBQ==" spinCount="100000" sheet="1" selectLockedCells="1"/>
  <mergeCells count="10">
    <mergeCell ref="C19:E20"/>
    <mergeCell ref="G19:G20"/>
    <mergeCell ref="B2:H4"/>
    <mergeCell ref="G13:G14"/>
    <mergeCell ref="G16:G17"/>
    <mergeCell ref="C16:E17"/>
    <mergeCell ref="C7:C8"/>
    <mergeCell ref="G7:G8"/>
    <mergeCell ref="B6:H6"/>
    <mergeCell ref="C13:E14"/>
  </mergeCells>
  <pageMargins left="0.7" right="0.7" top="0.75" bottom="0.75" header="0.3" footer="0.3"/>
  <pageSetup paperSize="9" orientation="portrait" r:id="rId1"/>
  <ignoredErrors>
    <ignoredError sqref="L18" unlockedFormula="1"/>
  </ignoredErrors>
  <drawing r:id="rId2"/>
  <legacyDrawing r:id="rId3"/>
  <controls>
    <mc:AlternateContent xmlns:mc="http://schemas.openxmlformats.org/markup-compatibility/2006">
      <mc:Choice Requires="x14">
        <control shapeId="3091" r:id="rId4" name="CommandButton1">
          <controlPr defaultSize="0" autoFill="0" autoLine="0" altText="" r:id="rId5">
            <anchor moveWithCells="1">
              <from>
                <xdr:col>1</xdr:col>
                <xdr:colOff>219075</xdr:colOff>
                <xdr:row>8</xdr:row>
                <xdr:rowOff>161925</xdr:rowOff>
              </from>
              <to>
                <xdr:col>7</xdr:col>
                <xdr:colOff>19050</xdr:colOff>
                <xdr:row>11</xdr:row>
                <xdr:rowOff>47625</xdr:rowOff>
              </to>
            </anchor>
          </controlPr>
        </control>
      </mc:Choice>
      <mc:Fallback>
        <control shapeId="3091" r:id="rId4" name="CommandButton1"/>
      </mc:Fallback>
    </mc:AlternateContent>
    <mc:AlternateContent xmlns:mc="http://schemas.openxmlformats.org/markup-compatibility/2006">
      <mc:Choice Requires="x14">
        <control shapeId="3073" r:id="rId6" name="Spinner 1">
          <controlPr defaultSize="0" autoPict="0">
            <anchor moveWithCells="1" siz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419100</xdr:colOff>
                <xdr:row>8</xdr:row>
                <xdr:rowOff>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39057-76C7-43EC-B331-D24635248610}">
  <sheetPr codeName="Sayfa1">
    <tabColor rgb="FF002060"/>
  </sheetPr>
  <dimension ref="B1:AF504"/>
  <sheetViews>
    <sheetView showRowColHeaders="0" workbookViewId="0">
      <selection activeCell="D99" sqref="D99"/>
    </sheetView>
  </sheetViews>
  <sheetFormatPr defaultRowHeight="15"/>
  <cols>
    <col min="1" max="2" width="3.42578125" style="86" customWidth="1"/>
    <col min="3" max="4" width="9.140625" style="86"/>
    <col min="5" max="5" width="3.42578125" style="86" customWidth="1"/>
    <col min="6" max="6" width="3.28515625" style="86" customWidth="1"/>
    <col min="7" max="7" width="3.42578125" style="86" customWidth="1"/>
    <col min="8" max="9" width="9.85546875" style="86" customWidth="1"/>
    <col min="10" max="10" width="9.140625" style="86"/>
    <col min="11" max="11" width="3.42578125" style="86" customWidth="1"/>
    <col min="12" max="16384" width="9.140625" style="86"/>
  </cols>
  <sheetData>
    <row r="1" spans="2:32" ht="15.75" thickBot="1"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</row>
    <row r="2" spans="2:32">
      <c r="B2" s="100"/>
      <c r="C2" s="103"/>
      <c r="D2" s="103"/>
      <c r="E2" s="104"/>
      <c r="G2" s="100"/>
      <c r="H2" s="103"/>
      <c r="I2" s="103"/>
      <c r="J2" s="103"/>
      <c r="K2" s="10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</row>
    <row r="3" spans="2:32">
      <c r="B3" s="101"/>
      <c r="C3" s="133" t="s">
        <v>65</v>
      </c>
      <c r="D3" s="98" t="s">
        <v>27</v>
      </c>
      <c r="E3" s="131"/>
      <c r="G3" s="101"/>
      <c r="H3" s="180" t="s">
        <v>64</v>
      </c>
      <c r="I3" s="191"/>
      <c r="J3" s="97" t="str">
        <f>Element_Control!M2</f>
        <v>Sr</v>
      </c>
      <c r="K3" s="105"/>
      <c r="L3" s="135"/>
      <c r="AC3" s="134"/>
      <c r="AD3" s="134"/>
      <c r="AE3" s="134"/>
      <c r="AF3" s="134"/>
    </row>
    <row r="4" spans="2:32">
      <c r="B4" s="101"/>
      <c r="C4" s="87" t="s">
        <v>63</v>
      </c>
      <c r="D4" s="68">
        <v>488</v>
      </c>
      <c r="E4" s="132"/>
      <c r="G4" s="101"/>
      <c r="H4" s="180" t="s">
        <v>62</v>
      </c>
      <c r="I4" s="180"/>
      <c r="J4" s="89">
        <f>Element_Control!M3</f>
        <v>7</v>
      </c>
      <c r="K4" s="105"/>
      <c r="L4" s="135"/>
      <c r="AC4" s="134"/>
      <c r="AD4" s="134"/>
      <c r="AE4" s="134"/>
      <c r="AF4" s="134"/>
    </row>
    <row r="5" spans="2:32">
      <c r="B5" s="101"/>
      <c r="C5" s="87" t="s">
        <v>61</v>
      </c>
      <c r="D5" s="68">
        <v>488</v>
      </c>
      <c r="E5" s="132"/>
      <c r="G5" s="101"/>
      <c r="H5" s="180" t="s">
        <v>60</v>
      </c>
      <c r="I5" s="181"/>
      <c r="J5" s="89">
        <f>Element_Control!M4</f>
        <v>652</v>
      </c>
      <c r="K5" s="105"/>
      <c r="L5" s="135"/>
      <c r="AC5" s="134"/>
      <c r="AD5" s="134"/>
      <c r="AE5" s="134"/>
      <c r="AF5" s="134"/>
    </row>
    <row r="6" spans="2:32">
      <c r="B6" s="101"/>
      <c r="C6" s="87" t="s">
        <v>59</v>
      </c>
      <c r="D6" s="68">
        <v>652</v>
      </c>
      <c r="E6" s="132"/>
      <c r="G6" s="101"/>
      <c r="H6" s="180" t="s">
        <v>58</v>
      </c>
      <c r="I6" s="181"/>
      <c r="J6" s="89">
        <f>Element_Control!M5</f>
        <v>488</v>
      </c>
      <c r="K6" s="105"/>
      <c r="L6" s="135"/>
      <c r="AC6" s="134"/>
      <c r="AD6" s="134"/>
      <c r="AE6" s="134"/>
      <c r="AF6" s="134"/>
    </row>
    <row r="7" spans="2:32">
      <c r="B7" s="101"/>
      <c r="C7" s="87" t="s">
        <v>57</v>
      </c>
      <c r="D7" s="68">
        <v>558</v>
      </c>
      <c r="E7" s="132"/>
      <c r="G7" s="101"/>
      <c r="H7" s="34"/>
      <c r="I7" s="34"/>
      <c r="J7" s="107"/>
      <c r="K7" s="105"/>
      <c r="L7" s="135"/>
      <c r="AC7" s="134"/>
      <c r="AD7" s="134"/>
      <c r="AE7" s="134"/>
      <c r="AF7" s="134"/>
    </row>
    <row r="8" spans="2:32">
      <c r="B8" s="101"/>
      <c r="C8" s="87" t="s">
        <v>56</v>
      </c>
      <c r="D8" s="68">
        <v>547</v>
      </c>
      <c r="E8" s="132"/>
      <c r="G8" s="101"/>
      <c r="H8" s="180" t="s">
        <v>55</v>
      </c>
      <c r="I8" s="181"/>
      <c r="J8" s="89">
        <f>Element_Control!M6</f>
        <v>164</v>
      </c>
      <c r="K8" s="105"/>
      <c r="L8" s="135"/>
      <c r="AC8" s="134"/>
      <c r="AD8" s="134"/>
      <c r="AE8" s="134"/>
      <c r="AF8" s="134"/>
    </row>
    <row r="9" spans="2:32">
      <c r="B9" s="101"/>
      <c r="C9" s="87" t="s">
        <v>54</v>
      </c>
      <c r="D9" s="68">
        <v>542</v>
      </c>
      <c r="E9" s="132"/>
      <c r="G9" s="101"/>
      <c r="H9" s="180" t="s">
        <v>53</v>
      </c>
      <c r="I9" s="181"/>
      <c r="J9" s="89">
        <f>Element_Control!M7</f>
        <v>1.3360655737704918</v>
      </c>
      <c r="K9" s="105"/>
      <c r="L9" s="135"/>
      <c r="AC9" s="134"/>
      <c r="AD9" s="134"/>
      <c r="AE9" s="134"/>
      <c r="AF9" s="134"/>
    </row>
    <row r="10" spans="2:32">
      <c r="B10" s="101"/>
      <c r="C10" s="87" t="s">
        <v>51</v>
      </c>
      <c r="D10" s="68">
        <v>597.29999999999995</v>
      </c>
      <c r="E10" s="132"/>
      <c r="G10" s="101"/>
      <c r="H10" s="34"/>
      <c r="I10" s="34"/>
      <c r="J10" s="107"/>
      <c r="K10" s="105"/>
      <c r="L10" s="135"/>
      <c r="AC10" s="134"/>
      <c r="AD10" s="134"/>
      <c r="AE10" s="134"/>
      <c r="AF10" s="134"/>
    </row>
    <row r="11" spans="2:32">
      <c r="B11" s="101"/>
      <c r="C11" s="87"/>
      <c r="D11" s="68"/>
      <c r="E11" s="132"/>
      <c r="G11" s="101"/>
      <c r="H11" s="180" t="s">
        <v>48</v>
      </c>
      <c r="I11" s="181"/>
      <c r="J11" s="89">
        <f>Element_Control!M11</f>
        <v>42.212244897959181</v>
      </c>
      <c r="K11" s="105"/>
      <c r="L11" s="135"/>
      <c r="AC11" s="134"/>
      <c r="AD11" s="134"/>
      <c r="AE11" s="134"/>
      <c r="AF11" s="134"/>
    </row>
    <row r="12" spans="2:32">
      <c r="B12" s="101"/>
      <c r="C12" s="87"/>
      <c r="D12" s="68"/>
      <c r="E12" s="132"/>
      <c r="G12" s="101"/>
      <c r="H12" s="180" t="s">
        <v>47</v>
      </c>
      <c r="I12" s="181"/>
      <c r="J12" s="89">
        <f>Element_Control!M12</f>
        <v>58.302728025694428</v>
      </c>
      <c r="K12" s="105"/>
      <c r="L12" s="135"/>
      <c r="AC12" s="134"/>
      <c r="AD12" s="134"/>
      <c r="AE12" s="134"/>
      <c r="AF12" s="134"/>
    </row>
    <row r="13" spans="2:32" ht="15.75" thickBot="1">
      <c r="B13" s="101"/>
      <c r="C13" s="87"/>
      <c r="D13" s="68"/>
      <c r="E13" s="132"/>
      <c r="G13" s="102"/>
      <c r="H13" s="108"/>
      <c r="I13" s="108"/>
      <c r="J13" s="109"/>
      <c r="K13" s="106"/>
      <c r="L13" s="135"/>
      <c r="AC13" s="134"/>
      <c r="AD13" s="134"/>
      <c r="AE13" s="134"/>
      <c r="AF13" s="134"/>
    </row>
    <row r="14" spans="2:32" ht="15.75" thickBot="1">
      <c r="B14" s="101"/>
      <c r="C14" s="87"/>
      <c r="D14" s="68"/>
      <c r="E14" s="132"/>
      <c r="K14" s="99"/>
      <c r="L14" s="135"/>
      <c r="AC14" s="134"/>
      <c r="AD14" s="134"/>
      <c r="AE14" s="134"/>
      <c r="AF14" s="134"/>
    </row>
    <row r="15" spans="2:32">
      <c r="B15" s="101"/>
      <c r="C15" s="87"/>
      <c r="D15" s="68"/>
      <c r="E15" s="132"/>
      <c r="G15" s="182" t="s">
        <v>66</v>
      </c>
      <c r="H15" s="183"/>
      <c r="I15" s="183"/>
      <c r="J15" s="183"/>
      <c r="K15" s="184"/>
      <c r="L15" s="135"/>
      <c r="AC15" s="134"/>
      <c r="AD15" s="134"/>
      <c r="AE15" s="134"/>
      <c r="AF15" s="134"/>
    </row>
    <row r="16" spans="2:32">
      <c r="B16" s="101"/>
      <c r="C16" s="87"/>
      <c r="D16" s="68"/>
      <c r="E16" s="132"/>
      <c r="G16" s="185"/>
      <c r="H16" s="186"/>
      <c r="I16" s="186"/>
      <c r="J16" s="186"/>
      <c r="K16" s="187"/>
      <c r="L16" s="135"/>
      <c r="AC16" s="134"/>
      <c r="AD16" s="134"/>
      <c r="AE16" s="134"/>
      <c r="AF16" s="134"/>
    </row>
    <row r="17" spans="2:32" ht="15.75" thickBot="1">
      <c r="B17" s="101"/>
      <c r="C17" s="87"/>
      <c r="D17" s="68"/>
      <c r="E17" s="132"/>
      <c r="G17" s="188"/>
      <c r="H17" s="189"/>
      <c r="I17" s="189"/>
      <c r="J17" s="189"/>
      <c r="K17" s="190"/>
      <c r="L17" s="135"/>
      <c r="AC17" s="134"/>
      <c r="AD17" s="134"/>
      <c r="AE17" s="134"/>
      <c r="AF17" s="134"/>
    </row>
    <row r="18" spans="2:32">
      <c r="B18" s="101"/>
      <c r="C18" s="87"/>
      <c r="D18" s="68"/>
      <c r="E18" s="132"/>
      <c r="G18" s="100"/>
      <c r="H18" s="110"/>
      <c r="I18" s="110"/>
      <c r="J18" s="111"/>
      <c r="K18" s="104"/>
      <c r="L18" s="135"/>
      <c r="AC18" s="134"/>
      <c r="AD18" s="134"/>
      <c r="AE18" s="134"/>
      <c r="AF18" s="134"/>
    </row>
    <row r="19" spans="2:32">
      <c r="B19" s="101"/>
      <c r="C19" s="87"/>
      <c r="D19" s="68"/>
      <c r="E19" s="132"/>
      <c r="G19" s="101"/>
      <c r="H19" s="96"/>
      <c r="I19" s="95"/>
      <c r="J19" s="94"/>
      <c r="K19" s="112"/>
      <c r="L19" s="135"/>
      <c r="AC19" s="134"/>
      <c r="AD19" s="134"/>
      <c r="AE19" s="134"/>
      <c r="AF19" s="134"/>
    </row>
    <row r="20" spans="2:32">
      <c r="B20" s="101"/>
      <c r="C20" s="87"/>
      <c r="D20" s="68"/>
      <c r="E20" s="132"/>
      <c r="G20" s="101"/>
      <c r="H20" s="93"/>
      <c r="I20" s="92"/>
      <c r="J20" s="91"/>
      <c r="K20" s="112"/>
      <c r="L20" s="135"/>
      <c r="AC20" s="134"/>
      <c r="AD20" s="134"/>
      <c r="AE20" s="134"/>
      <c r="AF20" s="134"/>
    </row>
    <row r="21" spans="2:32">
      <c r="B21" s="101"/>
      <c r="C21" s="87"/>
      <c r="D21" s="68"/>
      <c r="E21" s="132"/>
      <c r="G21" s="101"/>
      <c r="H21" s="8"/>
      <c r="I21" s="8"/>
      <c r="J21" s="8"/>
      <c r="K21" s="112"/>
      <c r="L21" s="134"/>
      <c r="AC21" s="134"/>
      <c r="AD21" s="134"/>
      <c r="AE21" s="134"/>
      <c r="AF21" s="134"/>
    </row>
    <row r="22" spans="2:32">
      <c r="B22" s="101"/>
      <c r="C22" s="87"/>
      <c r="D22" s="68"/>
      <c r="E22" s="132"/>
      <c r="G22" s="101"/>
      <c r="H22" s="180" t="s">
        <v>41</v>
      </c>
      <c r="I22" s="180"/>
      <c r="J22" s="90">
        <v>0.95</v>
      </c>
      <c r="K22" s="105"/>
      <c r="L22" s="135"/>
      <c r="AC22" s="134"/>
      <c r="AD22" s="134"/>
      <c r="AE22" s="134"/>
      <c r="AF22" s="134"/>
    </row>
    <row r="23" spans="2:32">
      <c r="B23" s="101"/>
      <c r="C23" s="87"/>
      <c r="D23" s="68"/>
      <c r="E23" s="132"/>
      <c r="G23" s="101"/>
      <c r="H23" s="125"/>
      <c r="I23" s="125"/>
      <c r="J23" s="116"/>
      <c r="K23" s="105"/>
      <c r="L23" s="135"/>
      <c r="AC23" s="134"/>
      <c r="AD23" s="134"/>
      <c r="AE23" s="134"/>
      <c r="AF23" s="134"/>
    </row>
    <row r="24" spans="2:32">
      <c r="B24" s="101"/>
      <c r="C24" s="87"/>
      <c r="D24" s="68"/>
      <c r="E24" s="132"/>
      <c r="G24" s="101"/>
      <c r="H24" s="180" t="str">
        <f>Element_Control!F32</f>
        <v>Lower limit (0.95)</v>
      </c>
      <c r="I24" s="181"/>
      <c r="J24" s="89">
        <f>Element_Control!M18</f>
        <v>496.6875035011405</v>
      </c>
      <c r="K24" s="112"/>
      <c r="L24" s="134"/>
      <c r="AC24" s="134"/>
      <c r="AD24" s="134"/>
      <c r="AE24" s="134"/>
      <c r="AF24" s="134"/>
    </row>
    <row r="25" spans="2:32">
      <c r="B25" s="101"/>
      <c r="C25" s="87"/>
      <c r="D25" s="68"/>
      <c r="E25" s="132"/>
      <c r="G25" s="101"/>
      <c r="H25" s="180" t="str">
        <f>Element_Control!F33</f>
        <v>Upper limit (0.95)</v>
      </c>
      <c r="I25" s="181"/>
      <c r="J25" s="89">
        <f>Element_Control!M19</f>
        <v>604.52956376095358</v>
      </c>
      <c r="K25" s="112"/>
      <c r="L25" s="134"/>
      <c r="AC25" s="134"/>
      <c r="AD25" s="134"/>
      <c r="AE25" s="134"/>
      <c r="AF25" s="134"/>
    </row>
    <row r="26" spans="2:32">
      <c r="B26" s="101"/>
      <c r="C26" s="87"/>
      <c r="D26" s="68"/>
      <c r="E26" s="132"/>
      <c r="G26" s="101"/>
      <c r="H26" s="115"/>
      <c r="I26" s="115"/>
      <c r="J26" s="115"/>
      <c r="K26" s="112"/>
      <c r="L26" s="134"/>
      <c r="AC26" s="134"/>
      <c r="AD26" s="134"/>
      <c r="AE26" s="134"/>
      <c r="AF26" s="134"/>
    </row>
    <row r="27" spans="2:32">
      <c r="B27" s="101"/>
      <c r="C27" s="87"/>
      <c r="D27" s="68"/>
      <c r="E27" s="132"/>
      <c r="G27" s="101"/>
      <c r="H27" s="180" t="str">
        <f>IF(Element_Control!F29=1,Element_Control!O8,IF(Element_Control!F29=2,Element_Control!O9,IF(Element_Control!F29=3,Element_Control!O10)))</f>
        <v>Geometric Mean</v>
      </c>
      <c r="I27" s="180"/>
      <c r="J27" s="88">
        <f>IF(Element_Control!F29=1,Element_Control!Q8,IF(Element_Control!F29=2,Element_Control!Q9,IF(Element_Control!F29=3,Element_Control!Q10)))</f>
        <v>550.60853363104707</v>
      </c>
      <c r="K27" s="112"/>
      <c r="L27" s="134"/>
      <c r="AC27" s="134"/>
      <c r="AD27" s="134"/>
      <c r="AE27" s="134"/>
      <c r="AF27" s="134"/>
    </row>
    <row r="28" spans="2:32" ht="15.75" thickBot="1">
      <c r="B28" s="101"/>
      <c r="C28" s="87"/>
      <c r="D28" s="68"/>
      <c r="E28" s="132"/>
      <c r="G28" s="102"/>
      <c r="H28" s="114"/>
      <c r="I28" s="114"/>
      <c r="J28" s="114"/>
      <c r="K28" s="113"/>
      <c r="L28" s="134"/>
      <c r="AC28" s="134"/>
      <c r="AD28" s="134"/>
      <c r="AE28" s="134"/>
      <c r="AF28" s="134"/>
    </row>
    <row r="29" spans="2:32">
      <c r="B29" s="101"/>
      <c r="C29" s="87"/>
      <c r="D29" s="68"/>
      <c r="E29" s="132"/>
      <c r="L29" s="134"/>
      <c r="AC29" s="134"/>
      <c r="AD29" s="134"/>
      <c r="AE29" s="134"/>
      <c r="AF29" s="134"/>
    </row>
    <row r="30" spans="2:32">
      <c r="B30" s="101"/>
      <c r="C30" s="87"/>
      <c r="D30" s="68"/>
      <c r="E30" s="132"/>
      <c r="L30" s="134"/>
      <c r="AC30" s="134"/>
      <c r="AD30" s="134"/>
      <c r="AE30" s="134"/>
      <c r="AF30" s="134"/>
    </row>
    <row r="31" spans="2:32">
      <c r="B31" s="101"/>
      <c r="C31" s="87"/>
      <c r="D31" s="68"/>
      <c r="E31" s="132"/>
      <c r="L31" s="134"/>
      <c r="AC31" s="134"/>
      <c r="AD31" s="134"/>
      <c r="AE31" s="134"/>
      <c r="AF31" s="134"/>
    </row>
    <row r="32" spans="2:32">
      <c r="B32" s="101"/>
      <c r="C32" s="87"/>
      <c r="D32" s="68"/>
      <c r="E32" s="132"/>
      <c r="L32" s="134"/>
      <c r="AC32" s="134"/>
      <c r="AD32" s="134"/>
      <c r="AE32" s="134"/>
      <c r="AF32" s="134"/>
    </row>
    <row r="33" spans="2:32">
      <c r="B33" s="101"/>
      <c r="C33" s="87"/>
      <c r="D33" s="68"/>
      <c r="E33" s="132"/>
      <c r="L33" s="134"/>
      <c r="AC33" s="134"/>
      <c r="AD33" s="134"/>
      <c r="AE33" s="134"/>
      <c r="AF33" s="134"/>
    </row>
    <row r="34" spans="2:32">
      <c r="B34" s="101"/>
      <c r="C34" s="87"/>
      <c r="D34" s="68"/>
      <c r="E34" s="132"/>
      <c r="L34" s="134"/>
      <c r="AC34" s="134"/>
      <c r="AD34" s="134"/>
      <c r="AE34" s="134"/>
      <c r="AF34" s="134"/>
    </row>
    <row r="35" spans="2:32">
      <c r="B35" s="101"/>
      <c r="C35" s="87"/>
      <c r="D35" s="68"/>
      <c r="E35" s="132"/>
      <c r="L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134"/>
      <c r="AB35" s="134"/>
      <c r="AC35" s="134"/>
      <c r="AD35" s="134"/>
      <c r="AE35" s="134"/>
      <c r="AF35" s="134"/>
    </row>
    <row r="36" spans="2:32">
      <c r="B36" s="101"/>
      <c r="C36" s="87"/>
      <c r="D36" s="68"/>
      <c r="E36" s="132"/>
      <c r="L36" s="134"/>
      <c r="M36" s="134"/>
      <c r="N36" s="134"/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134"/>
      <c r="AB36" s="134"/>
      <c r="AC36" s="134"/>
      <c r="AD36" s="134"/>
      <c r="AE36" s="134"/>
      <c r="AF36" s="134"/>
    </row>
    <row r="37" spans="2:32">
      <c r="B37" s="101"/>
      <c r="C37" s="87"/>
      <c r="D37" s="68"/>
      <c r="E37" s="132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134"/>
      <c r="AB37" s="134"/>
      <c r="AC37" s="134"/>
      <c r="AD37" s="134"/>
      <c r="AE37" s="134"/>
      <c r="AF37" s="134"/>
    </row>
    <row r="38" spans="2:32">
      <c r="B38" s="101"/>
      <c r="C38" s="87"/>
      <c r="D38" s="68"/>
      <c r="E38" s="132"/>
    </row>
    <row r="39" spans="2:32">
      <c r="B39" s="101"/>
      <c r="C39" s="87"/>
      <c r="D39" s="68"/>
      <c r="E39" s="132"/>
    </row>
    <row r="40" spans="2:32">
      <c r="B40" s="101"/>
      <c r="C40" s="87"/>
      <c r="D40" s="68"/>
      <c r="E40" s="132"/>
    </row>
    <row r="41" spans="2:32">
      <c r="B41" s="101"/>
      <c r="C41" s="87"/>
      <c r="D41" s="68"/>
      <c r="E41" s="132"/>
    </row>
    <row r="42" spans="2:32">
      <c r="B42" s="101"/>
      <c r="C42" s="87"/>
      <c r="D42" s="68"/>
      <c r="E42" s="132"/>
    </row>
    <row r="43" spans="2:32">
      <c r="B43" s="101"/>
      <c r="C43" s="87"/>
      <c r="D43" s="68"/>
      <c r="E43" s="132"/>
    </row>
    <row r="44" spans="2:32">
      <c r="B44" s="101"/>
      <c r="C44" s="87"/>
      <c r="D44" s="68"/>
      <c r="E44" s="132"/>
    </row>
    <row r="45" spans="2:32">
      <c r="B45" s="101"/>
      <c r="C45" s="87"/>
      <c r="D45" s="68"/>
      <c r="E45" s="132"/>
    </row>
    <row r="46" spans="2:32">
      <c r="B46" s="101"/>
      <c r="C46" s="87"/>
      <c r="D46" s="68"/>
      <c r="E46" s="132"/>
    </row>
    <row r="47" spans="2:32">
      <c r="B47" s="101"/>
      <c r="C47" s="87"/>
      <c r="D47" s="68"/>
      <c r="E47" s="132"/>
    </row>
    <row r="48" spans="2:32">
      <c r="B48" s="101"/>
      <c r="C48" s="87"/>
      <c r="D48" s="68"/>
      <c r="E48" s="132"/>
    </row>
    <row r="49" spans="2:5">
      <c r="B49" s="101"/>
      <c r="C49" s="87"/>
      <c r="D49" s="68"/>
      <c r="E49" s="132"/>
    </row>
    <row r="50" spans="2:5">
      <c r="B50" s="101"/>
      <c r="C50" s="87"/>
      <c r="D50" s="68"/>
      <c r="E50" s="132"/>
    </row>
    <row r="51" spans="2:5">
      <c r="B51" s="101"/>
      <c r="C51" s="87"/>
      <c r="D51" s="68"/>
      <c r="E51" s="132"/>
    </row>
    <row r="52" spans="2:5">
      <c r="B52" s="101"/>
      <c r="C52" s="87"/>
      <c r="D52" s="68"/>
      <c r="E52" s="132"/>
    </row>
    <row r="53" spans="2:5">
      <c r="B53" s="101"/>
      <c r="C53" s="87"/>
      <c r="D53" s="68"/>
      <c r="E53" s="132"/>
    </row>
    <row r="54" spans="2:5">
      <c r="B54" s="101"/>
      <c r="C54" s="87"/>
      <c r="D54" s="68"/>
      <c r="E54" s="132"/>
    </row>
    <row r="55" spans="2:5">
      <c r="B55" s="101"/>
      <c r="C55" s="87"/>
      <c r="D55" s="68"/>
      <c r="E55" s="132"/>
    </row>
    <row r="56" spans="2:5">
      <c r="B56" s="101"/>
      <c r="C56" s="87"/>
      <c r="D56" s="68"/>
      <c r="E56" s="132"/>
    </row>
    <row r="57" spans="2:5">
      <c r="B57" s="101"/>
      <c r="C57" s="87"/>
      <c r="D57" s="68"/>
      <c r="E57" s="132"/>
    </row>
    <row r="58" spans="2:5">
      <c r="B58" s="101"/>
      <c r="C58" s="87"/>
      <c r="D58" s="68"/>
      <c r="E58" s="132"/>
    </row>
    <row r="59" spans="2:5">
      <c r="B59" s="101"/>
      <c r="C59" s="87"/>
      <c r="D59" s="68"/>
      <c r="E59" s="132"/>
    </row>
    <row r="60" spans="2:5">
      <c r="B60" s="101"/>
      <c r="C60" s="87"/>
      <c r="D60" s="68"/>
      <c r="E60" s="132"/>
    </row>
    <row r="61" spans="2:5">
      <c r="B61" s="101"/>
      <c r="C61" s="87"/>
      <c r="D61" s="68"/>
      <c r="E61" s="132"/>
    </row>
    <row r="62" spans="2:5">
      <c r="B62" s="101"/>
      <c r="C62" s="87"/>
      <c r="D62" s="68"/>
      <c r="E62" s="132"/>
    </row>
    <row r="63" spans="2:5">
      <c r="B63" s="101"/>
      <c r="C63" s="87"/>
      <c r="D63" s="68"/>
      <c r="E63" s="132"/>
    </row>
    <row r="64" spans="2:5">
      <c r="B64" s="101"/>
      <c r="C64" s="87"/>
      <c r="D64" s="68"/>
      <c r="E64" s="132"/>
    </row>
    <row r="65" spans="2:5">
      <c r="B65" s="101"/>
      <c r="C65" s="87"/>
      <c r="D65" s="68"/>
      <c r="E65" s="132"/>
    </row>
    <row r="66" spans="2:5">
      <c r="B66" s="101"/>
      <c r="C66" s="87"/>
      <c r="D66" s="68"/>
      <c r="E66" s="132"/>
    </row>
    <row r="67" spans="2:5">
      <c r="B67" s="101"/>
      <c r="C67" s="87"/>
      <c r="D67" s="68"/>
      <c r="E67" s="132"/>
    </row>
    <row r="68" spans="2:5">
      <c r="B68" s="101"/>
      <c r="C68" s="87"/>
      <c r="D68" s="68"/>
      <c r="E68" s="132"/>
    </row>
    <row r="69" spans="2:5">
      <c r="B69" s="101"/>
      <c r="C69" s="87"/>
      <c r="D69" s="68"/>
      <c r="E69" s="132"/>
    </row>
    <row r="70" spans="2:5">
      <c r="B70" s="101"/>
      <c r="C70" s="87"/>
      <c r="D70" s="68"/>
      <c r="E70" s="132"/>
    </row>
    <row r="71" spans="2:5">
      <c r="B71" s="101"/>
      <c r="C71" s="87"/>
      <c r="D71" s="68"/>
      <c r="E71" s="132"/>
    </row>
    <row r="72" spans="2:5">
      <c r="B72" s="101"/>
      <c r="C72" s="87"/>
      <c r="D72" s="68"/>
      <c r="E72" s="132"/>
    </row>
    <row r="73" spans="2:5">
      <c r="B73" s="101"/>
      <c r="C73" s="87"/>
      <c r="D73" s="68"/>
      <c r="E73" s="132"/>
    </row>
    <row r="74" spans="2:5">
      <c r="B74" s="101"/>
      <c r="C74" s="87"/>
      <c r="D74" s="68"/>
      <c r="E74" s="132"/>
    </row>
    <row r="75" spans="2:5">
      <c r="B75" s="101"/>
      <c r="C75" s="87"/>
      <c r="D75" s="68"/>
      <c r="E75" s="132"/>
    </row>
    <row r="76" spans="2:5">
      <c r="B76" s="101"/>
      <c r="C76" s="87"/>
      <c r="D76" s="68"/>
      <c r="E76" s="132"/>
    </row>
    <row r="77" spans="2:5">
      <c r="B77" s="101"/>
      <c r="C77" s="87"/>
      <c r="D77" s="68"/>
      <c r="E77" s="132"/>
    </row>
    <row r="78" spans="2:5">
      <c r="B78" s="101"/>
      <c r="C78" s="87"/>
      <c r="D78" s="68"/>
      <c r="E78" s="132"/>
    </row>
    <row r="79" spans="2:5">
      <c r="B79" s="101"/>
      <c r="C79" s="87"/>
      <c r="D79" s="68"/>
      <c r="E79" s="132"/>
    </row>
    <row r="80" spans="2:5">
      <c r="B80" s="101"/>
      <c r="C80" s="87"/>
      <c r="D80" s="68"/>
      <c r="E80" s="132"/>
    </row>
    <row r="81" spans="2:5">
      <c r="B81" s="101"/>
      <c r="C81" s="87"/>
      <c r="D81" s="68"/>
      <c r="E81" s="132"/>
    </row>
    <row r="82" spans="2:5">
      <c r="B82" s="101"/>
      <c r="C82" s="87"/>
      <c r="D82" s="68"/>
      <c r="E82" s="132"/>
    </row>
    <row r="83" spans="2:5">
      <c r="B83" s="101"/>
      <c r="C83" s="87"/>
      <c r="D83" s="68"/>
      <c r="E83" s="132"/>
    </row>
    <row r="84" spans="2:5">
      <c r="B84" s="101"/>
      <c r="C84" s="87"/>
      <c r="D84" s="68"/>
      <c r="E84" s="132"/>
    </row>
    <row r="85" spans="2:5">
      <c r="B85" s="101"/>
      <c r="C85" s="87"/>
      <c r="D85" s="68"/>
      <c r="E85" s="132"/>
    </row>
    <row r="86" spans="2:5">
      <c r="B86" s="101"/>
      <c r="C86" s="87"/>
      <c r="D86" s="68"/>
      <c r="E86" s="132"/>
    </row>
    <row r="87" spans="2:5">
      <c r="B87" s="101"/>
      <c r="C87" s="87"/>
      <c r="D87" s="68"/>
      <c r="E87" s="132"/>
    </row>
    <row r="88" spans="2:5">
      <c r="B88" s="101"/>
      <c r="C88" s="87"/>
      <c r="D88" s="68"/>
      <c r="E88" s="132"/>
    </row>
    <row r="89" spans="2:5">
      <c r="B89" s="101"/>
      <c r="C89" s="87"/>
      <c r="D89" s="68"/>
      <c r="E89" s="132"/>
    </row>
    <row r="90" spans="2:5">
      <c r="B90" s="101"/>
      <c r="C90" s="87"/>
      <c r="D90" s="68"/>
      <c r="E90" s="132"/>
    </row>
    <row r="91" spans="2:5">
      <c r="B91" s="101"/>
      <c r="C91" s="87"/>
      <c r="D91" s="68"/>
      <c r="E91" s="132"/>
    </row>
    <row r="92" spans="2:5">
      <c r="B92" s="101"/>
      <c r="C92" s="87"/>
      <c r="D92" s="68"/>
      <c r="E92" s="132"/>
    </row>
    <row r="93" spans="2:5">
      <c r="B93" s="101"/>
      <c r="C93" s="87"/>
      <c r="D93" s="68"/>
      <c r="E93" s="132"/>
    </row>
    <row r="94" spans="2:5">
      <c r="B94" s="101"/>
      <c r="C94" s="87"/>
      <c r="D94" s="68"/>
      <c r="E94" s="132"/>
    </row>
    <row r="95" spans="2:5">
      <c r="B95" s="101"/>
      <c r="C95" s="87"/>
      <c r="D95" s="68"/>
      <c r="E95" s="132"/>
    </row>
    <row r="96" spans="2:5">
      <c r="B96" s="101"/>
      <c r="C96" s="87"/>
      <c r="D96" s="68"/>
      <c r="E96" s="132"/>
    </row>
    <row r="97" spans="2:5">
      <c r="B97" s="101"/>
      <c r="C97" s="87"/>
      <c r="D97" s="68"/>
      <c r="E97" s="132"/>
    </row>
    <row r="98" spans="2:5">
      <c r="B98" s="101"/>
      <c r="C98" s="87"/>
      <c r="D98" s="68"/>
      <c r="E98" s="132"/>
    </row>
    <row r="99" spans="2:5">
      <c r="B99" s="101"/>
      <c r="C99" s="87"/>
      <c r="D99" s="68"/>
      <c r="E99" s="132"/>
    </row>
    <row r="100" spans="2:5">
      <c r="B100" s="101"/>
      <c r="C100" s="87"/>
      <c r="D100" s="68"/>
      <c r="E100" s="132"/>
    </row>
    <row r="101" spans="2:5">
      <c r="B101" s="101"/>
      <c r="C101" s="87"/>
      <c r="D101" s="68"/>
      <c r="E101" s="132"/>
    </row>
    <row r="102" spans="2:5">
      <c r="B102" s="101"/>
      <c r="C102" s="87"/>
      <c r="D102" s="68"/>
      <c r="E102" s="132"/>
    </row>
    <row r="103" spans="2:5">
      <c r="B103" s="101"/>
      <c r="C103" s="87"/>
      <c r="D103" s="68"/>
      <c r="E103" s="132"/>
    </row>
    <row r="104" spans="2:5">
      <c r="B104" s="101"/>
      <c r="C104" s="87"/>
      <c r="D104" s="68"/>
      <c r="E104" s="132"/>
    </row>
    <row r="105" spans="2:5">
      <c r="B105" s="101"/>
      <c r="C105" s="87"/>
      <c r="D105" s="68"/>
      <c r="E105" s="132"/>
    </row>
    <row r="106" spans="2:5">
      <c r="B106" s="101"/>
      <c r="C106" s="87"/>
      <c r="D106" s="68"/>
      <c r="E106" s="132"/>
    </row>
    <row r="107" spans="2:5">
      <c r="B107" s="101"/>
      <c r="C107" s="87"/>
      <c r="D107" s="68"/>
      <c r="E107" s="132"/>
    </row>
    <row r="108" spans="2:5">
      <c r="B108" s="101"/>
      <c r="C108" s="87"/>
      <c r="D108" s="68"/>
      <c r="E108" s="132"/>
    </row>
    <row r="109" spans="2:5">
      <c r="B109" s="101"/>
      <c r="C109" s="87"/>
      <c r="D109" s="68"/>
      <c r="E109" s="132"/>
    </row>
    <row r="110" spans="2:5">
      <c r="B110" s="101"/>
      <c r="C110" s="87"/>
      <c r="D110" s="68"/>
      <c r="E110" s="132"/>
    </row>
    <row r="111" spans="2:5">
      <c r="B111" s="101"/>
      <c r="C111" s="87"/>
      <c r="D111" s="68"/>
      <c r="E111" s="132"/>
    </row>
    <row r="112" spans="2:5">
      <c r="B112" s="101"/>
      <c r="C112" s="87"/>
      <c r="D112" s="68"/>
      <c r="E112" s="132"/>
    </row>
    <row r="113" spans="2:5">
      <c r="B113" s="101"/>
      <c r="C113" s="87"/>
      <c r="D113" s="68"/>
      <c r="E113" s="132"/>
    </row>
    <row r="114" spans="2:5">
      <c r="B114" s="101"/>
      <c r="C114" s="87"/>
      <c r="D114" s="68"/>
      <c r="E114" s="132"/>
    </row>
    <row r="115" spans="2:5">
      <c r="B115" s="101"/>
      <c r="C115" s="87"/>
      <c r="D115" s="68"/>
      <c r="E115" s="132"/>
    </row>
    <row r="116" spans="2:5">
      <c r="B116" s="101"/>
      <c r="C116" s="87"/>
      <c r="D116" s="68"/>
      <c r="E116" s="132"/>
    </row>
    <row r="117" spans="2:5">
      <c r="B117" s="101"/>
      <c r="C117" s="87"/>
      <c r="D117" s="68"/>
      <c r="E117" s="132"/>
    </row>
    <row r="118" spans="2:5">
      <c r="B118" s="101"/>
      <c r="C118" s="87"/>
      <c r="D118" s="68"/>
      <c r="E118" s="132"/>
    </row>
    <row r="119" spans="2:5">
      <c r="B119" s="101"/>
      <c r="C119" s="87"/>
      <c r="D119" s="68"/>
      <c r="E119" s="132"/>
    </row>
    <row r="120" spans="2:5">
      <c r="B120" s="101"/>
      <c r="C120" s="87"/>
      <c r="D120" s="68"/>
      <c r="E120" s="132"/>
    </row>
    <row r="121" spans="2:5">
      <c r="B121" s="101"/>
      <c r="C121" s="87"/>
      <c r="D121" s="68"/>
      <c r="E121" s="132"/>
    </row>
    <row r="122" spans="2:5">
      <c r="B122" s="101"/>
      <c r="C122" s="87"/>
      <c r="D122" s="68"/>
      <c r="E122" s="132"/>
    </row>
    <row r="123" spans="2:5">
      <c r="B123" s="101"/>
      <c r="C123" s="87"/>
      <c r="D123" s="68"/>
      <c r="E123" s="132"/>
    </row>
    <row r="124" spans="2:5">
      <c r="B124" s="101"/>
      <c r="C124" s="87"/>
      <c r="D124" s="68"/>
      <c r="E124" s="132"/>
    </row>
    <row r="125" spans="2:5">
      <c r="B125" s="101"/>
      <c r="C125" s="87"/>
      <c r="D125" s="68"/>
      <c r="E125" s="132"/>
    </row>
    <row r="126" spans="2:5">
      <c r="B126" s="101"/>
      <c r="C126" s="87"/>
      <c r="D126" s="68"/>
      <c r="E126" s="132"/>
    </row>
    <row r="127" spans="2:5">
      <c r="B127" s="101"/>
      <c r="C127" s="87"/>
      <c r="D127" s="68"/>
      <c r="E127" s="132"/>
    </row>
    <row r="128" spans="2:5">
      <c r="B128" s="101"/>
      <c r="C128" s="87"/>
      <c r="D128" s="68"/>
      <c r="E128" s="132"/>
    </row>
    <row r="129" spans="2:5">
      <c r="B129" s="101"/>
      <c r="C129" s="87"/>
      <c r="D129" s="68"/>
      <c r="E129" s="132"/>
    </row>
    <row r="130" spans="2:5">
      <c r="B130" s="101"/>
      <c r="C130" s="87"/>
      <c r="D130" s="68"/>
      <c r="E130" s="132"/>
    </row>
    <row r="131" spans="2:5">
      <c r="B131" s="101"/>
      <c r="C131" s="87"/>
      <c r="D131" s="68"/>
      <c r="E131" s="132"/>
    </row>
    <row r="132" spans="2:5">
      <c r="B132" s="101"/>
      <c r="C132" s="87"/>
      <c r="D132" s="68"/>
      <c r="E132" s="132"/>
    </row>
    <row r="133" spans="2:5">
      <c r="B133" s="101"/>
      <c r="C133" s="87"/>
      <c r="D133" s="68"/>
      <c r="E133" s="132"/>
    </row>
    <row r="134" spans="2:5">
      <c r="B134" s="101"/>
      <c r="C134" s="87"/>
      <c r="D134" s="68"/>
      <c r="E134" s="132"/>
    </row>
    <row r="135" spans="2:5">
      <c r="B135" s="101"/>
      <c r="C135" s="87"/>
      <c r="D135" s="68"/>
      <c r="E135" s="132"/>
    </row>
    <row r="136" spans="2:5">
      <c r="B136" s="101"/>
      <c r="C136" s="87"/>
      <c r="D136" s="68"/>
      <c r="E136" s="132"/>
    </row>
    <row r="137" spans="2:5">
      <c r="B137" s="101"/>
      <c r="C137" s="87"/>
      <c r="D137" s="68"/>
      <c r="E137" s="132"/>
    </row>
    <row r="138" spans="2:5">
      <c r="B138" s="101"/>
      <c r="C138" s="87"/>
      <c r="D138" s="68"/>
      <c r="E138" s="132"/>
    </row>
    <row r="139" spans="2:5">
      <c r="B139" s="101"/>
      <c r="C139" s="87"/>
      <c r="D139" s="68"/>
      <c r="E139" s="132"/>
    </row>
    <row r="140" spans="2:5">
      <c r="B140" s="101"/>
      <c r="C140" s="87"/>
      <c r="D140" s="68"/>
      <c r="E140" s="132"/>
    </row>
    <row r="141" spans="2:5">
      <c r="B141" s="101"/>
      <c r="C141" s="87"/>
      <c r="D141" s="68"/>
      <c r="E141" s="132"/>
    </row>
    <row r="142" spans="2:5">
      <c r="B142" s="101"/>
      <c r="C142" s="87"/>
      <c r="D142" s="68"/>
      <c r="E142" s="132"/>
    </row>
    <row r="143" spans="2:5">
      <c r="B143" s="101"/>
      <c r="C143" s="87"/>
      <c r="D143" s="68"/>
      <c r="E143" s="132"/>
    </row>
    <row r="144" spans="2:5">
      <c r="B144" s="101"/>
      <c r="C144" s="87"/>
      <c r="D144" s="68"/>
      <c r="E144" s="132"/>
    </row>
    <row r="145" spans="2:5">
      <c r="B145" s="101"/>
      <c r="C145" s="87"/>
      <c r="D145" s="68"/>
      <c r="E145" s="132"/>
    </row>
    <row r="146" spans="2:5">
      <c r="B146" s="101"/>
      <c r="C146" s="87"/>
      <c r="D146" s="68"/>
      <c r="E146" s="132"/>
    </row>
    <row r="147" spans="2:5">
      <c r="B147" s="101"/>
      <c r="C147" s="87"/>
      <c r="D147" s="68"/>
      <c r="E147" s="132"/>
    </row>
    <row r="148" spans="2:5">
      <c r="B148" s="101"/>
      <c r="C148" s="87"/>
      <c r="D148" s="68"/>
      <c r="E148" s="132"/>
    </row>
    <row r="149" spans="2:5">
      <c r="B149" s="101"/>
      <c r="C149" s="87"/>
      <c r="D149" s="68"/>
      <c r="E149" s="132"/>
    </row>
    <row r="150" spans="2:5">
      <c r="B150" s="101"/>
      <c r="C150" s="87"/>
      <c r="D150" s="68"/>
      <c r="E150" s="132"/>
    </row>
    <row r="151" spans="2:5">
      <c r="B151" s="101"/>
      <c r="C151" s="87"/>
      <c r="D151" s="68"/>
      <c r="E151" s="132"/>
    </row>
    <row r="152" spans="2:5">
      <c r="B152" s="101"/>
      <c r="C152" s="87"/>
      <c r="D152" s="68"/>
      <c r="E152" s="132"/>
    </row>
    <row r="153" spans="2:5">
      <c r="B153" s="101"/>
      <c r="C153" s="87"/>
      <c r="D153" s="68"/>
      <c r="E153" s="132"/>
    </row>
    <row r="154" spans="2:5">
      <c r="B154" s="101"/>
      <c r="C154" s="87"/>
      <c r="D154" s="68"/>
      <c r="E154" s="132"/>
    </row>
    <row r="155" spans="2:5">
      <c r="B155" s="101"/>
      <c r="C155" s="87"/>
      <c r="D155" s="68"/>
      <c r="E155" s="132"/>
    </row>
    <row r="156" spans="2:5">
      <c r="B156" s="101"/>
      <c r="C156" s="87"/>
      <c r="D156" s="68"/>
      <c r="E156" s="132"/>
    </row>
    <row r="157" spans="2:5">
      <c r="B157" s="101"/>
      <c r="C157" s="87"/>
      <c r="D157" s="68"/>
      <c r="E157" s="132"/>
    </row>
    <row r="158" spans="2:5">
      <c r="B158" s="101"/>
      <c r="C158" s="87"/>
      <c r="D158" s="68"/>
      <c r="E158" s="132"/>
    </row>
    <row r="159" spans="2:5">
      <c r="B159" s="101"/>
      <c r="C159" s="87"/>
      <c r="D159" s="68"/>
      <c r="E159" s="132"/>
    </row>
    <row r="160" spans="2:5">
      <c r="B160" s="101"/>
      <c r="C160" s="87"/>
      <c r="D160" s="68"/>
      <c r="E160" s="132"/>
    </row>
    <row r="161" spans="2:5">
      <c r="B161" s="101"/>
      <c r="C161" s="87"/>
      <c r="D161" s="68"/>
      <c r="E161" s="132"/>
    </row>
    <row r="162" spans="2:5">
      <c r="B162" s="101"/>
      <c r="C162" s="87"/>
      <c r="D162" s="68"/>
      <c r="E162" s="132"/>
    </row>
    <row r="163" spans="2:5">
      <c r="B163" s="101"/>
      <c r="C163" s="87"/>
      <c r="D163" s="68"/>
      <c r="E163" s="132"/>
    </row>
    <row r="164" spans="2:5">
      <c r="B164" s="101"/>
      <c r="C164" s="87"/>
      <c r="D164" s="68"/>
      <c r="E164" s="132"/>
    </row>
    <row r="165" spans="2:5">
      <c r="B165" s="101"/>
      <c r="C165" s="87"/>
      <c r="D165" s="68"/>
      <c r="E165" s="132"/>
    </row>
    <row r="166" spans="2:5">
      <c r="B166" s="101"/>
      <c r="C166" s="87"/>
      <c r="D166" s="68"/>
      <c r="E166" s="132"/>
    </row>
    <row r="167" spans="2:5">
      <c r="B167" s="101"/>
      <c r="C167" s="87"/>
      <c r="D167" s="68"/>
      <c r="E167" s="132"/>
    </row>
    <row r="168" spans="2:5">
      <c r="B168" s="101"/>
      <c r="C168" s="87"/>
      <c r="D168" s="68"/>
      <c r="E168" s="132"/>
    </row>
    <row r="169" spans="2:5">
      <c r="B169" s="101"/>
      <c r="C169" s="87"/>
      <c r="D169" s="68"/>
      <c r="E169" s="132"/>
    </row>
    <row r="170" spans="2:5">
      <c r="B170" s="101"/>
      <c r="C170" s="87"/>
      <c r="D170" s="68"/>
      <c r="E170" s="132"/>
    </row>
    <row r="171" spans="2:5">
      <c r="B171" s="101"/>
      <c r="C171" s="87"/>
      <c r="D171" s="68"/>
      <c r="E171" s="132"/>
    </row>
    <row r="172" spans="2:5">
      <c r="B172" s="101"/>
      <c r="C172" s="87"/>
      <c r="D172" s="68"/>
      <c r="E172" s="132"/>
    </row>
    <row r="173" spans="2:5">
      <c r="B173" s="101"/>
      <c r="C173" s="87"/>
      <c r="D173" s="68"/>
      <c r="E173" s="132"/>
    </row>
    <row r="174" spans="2:5">
      <c r="B174" s="101"/>
      <c r="C174" s="87"/>
      <c r="D174" s="68"/>
      <c r="E174" s="132"/>
    </row>
    <row r="175" spans="2:5">
      <c r="B175" s="101"/>
      <c r="C175" s="87"/>
      <c r="D175" s="68"/>
      <c r="E175" s="132"/>
    </row>
    <row r="176" spans="2:5">
      <c r="B176" s="101"/>
      <c r="C176" s="87"/>
      <c r="D176" s="68"/>
      <c r="E176" s="132"/>
    </row>
    <row r="177" spans="2:5">
      <c r="B177" s="101"/>
      <c r="C177" s="87"/>
      <c r="D177" s="68"/>
      <c r="E177" s="132"/>
    </row>
    <row r="178" spans="2:5">
      <c r="B178" s="101"/>
      <c r="C178" s="87"/>
      <c r="D178" s="68"/>
      <c r="E178" s="132"/>
    </row>
    <row r="179" spans="2:5">
      <c r="B179" s="101"/>
      <c r="C179" s="87"/>
      <c r="D179" s="68"/>
      <c r="E179" s="132"/>
    </row>
    <row r="180" spans="2:5">
      <c r="B180" s="101"/>
      <c r="C180" s="87"/>
      <c r="D180" s="68"/>
      <c r="E180" s="132"/>
    </row>
    <row r="181" spans="2:5">
      <c r="B181" s="101"/>
      <c r="C181" s="87"/>
      <c r="D181" s="68"/>
      <c r="E181" s="132"/>
    </row>
    <row r="182" spans="2:5">
      <c r="B182" s="101"/>
      <c r="C182" s="87"/>
      <c r="D182" s="68"/>
      <c r="E182" s="132"/>
    </row>
    <row r="183" spans="2:5">
      <c r="B183" s="101"/>
      <c r="C183" s="87"/>
      <c r="D183" s="68"/>
      <c r="E183" s="132"/>
    </row>
    <row r="184" spans="2:5">
      <c r="B184" s="101"/>
      <c r="C184" s="87"/>
      <c r="D184" s="68"/>
      <c r="E184" s="132"/>
    </row>
    <row r="185" spans="2:5">
      <c r="B185" s="101"/>
      <c r="C185" s="87"/>
      <c r="D185" s="68"/>
      <c r="E185" s="132"/>
    </row>
    <row r="186" spans="2:5">
      <c r="B186" s="101"/>
      <c r="C186" s="87"/>
      <c r="D186" s="68"/>
      <c r="E186" s="132"/>
    </row>
    <row r="187" spans="2:5">
      <c r="B187" s="101"/>
      <c r="C187" s="87"/>
      <c r="D187" s="68"/>
      <c r="E187" s="132"/>
    </row>
    <row r="188" spans="2:5">
      <c r="B188" s="101"/>
      <c r="C188" s="87"/>
      <c r="D188" s="68"/>
      <c r="E188" s="132"/>
    </row>
    <row r="189" spans="2:5">
      <c r="B189" s="101"/>
      <c r="C189" s="87"/>
      <c r="D189" s="68"/>
      <c r="E189" s="132"/>
    </row>
    <row r="190" spans="2:5">
      <c r="B190" s="101"/>
      <c r="C190" s="87"/>
      <c r="D190" s="68"/>
      <c r="E190" s="132"/>
    </row>
    <row r="191" spans="2:5">
      <c r="B191" s="101"/>
      <c r="C191" s="87"/>
      <c r="D191" s="68"/>
      <c r="E191" s="132"/>
    </row>
    <row r="192" spans="2:5">
      <c r="B192" s="101"/>
      <c r="C192" s="87"/>
      <c r="D192" s="68"/>
      <c r="E192" s="132"/>
    </row>
    <row r="193" spans="2:5">
      <c r="B193" s="101"/>
      <c r="C193" s="87"/>
      <c r="D193" s="68"/>
      <c r="E193" s="132"/>
    </row>
    <row r="194" spans="2:5">
      <c r="B194" s="101"/>
      <c r="C194" s="87"/>
      <c r="D194" s="68"/>
      <c r="E194" s="132"/>
    </row>
    <row r="195" spans="2:5">
      <c r="B195" s="101"/>
      <c r="C195" s="87"/>
      <c r="D195" s="68"/>
      <c r="E195" s="132"/>
    </row>
    <row r="196" spans="2:5">
      <c r="B196" s="101"/>
      <c r="C196" s="87"/>
      <c r="D196" s="68"/>
      <c r="E196" s="132"/>
    </row>
    <row r="197" spans="2:5">
      <c r="B197" s="101"/>
      <c r="C197" s="87"/>
      <c r="D197" s="68"/>
      <c r="E197" s="132"/>
    </row>
    <row r="198" spans="2:5">
      <c r="B198" s="101"/>
      <c r="C198" s="87"/>
      <c r="D198" s="68"/>
      <c r="E198" s="132"/>
    </row>
    <row r="199" spans="2:5">
      <c r="B199" s="101"/>
      <c r="C199" s="87"/>
      <c r="D199" s="68"/>
      <c r="E199" s="132"/>
    </row>
    <row r="200" spans="2:5">
      <c r="B200" s="101"/>
      <c r="C200" s="87"/>
      <c r="D200" s="68"/>
      <c r="E200" s="132"/>
    </row>
    <row r="201" spans="2:5">
      <c r="B201" s="101"/>
      <c r="C201" s="87"/>
      <c r="D201" s="68"/>
      <c r="E201" s="132"/>
    </row>
    <row r="202" spans="2:5">
      <c r="B202" s="101"/>
      <c r="C202" s="87"/>
      <c r="D202" s="68"/>
      <c r="E202" s="132"/>
    </row>
    <row r="203" spans="2:5">
      <c r="B203" s="101"/>
      <c r="C203" s="87"/>
      <c r="D203" s="68"/>
      <c r="E203" s="132"/>
    </row>
    <row r="204" spans="2:5">
      <c r="B204" s="101"/>
      <c r="C204" s="87"/>
      <c r="D204" s="68"/>
      <c r="E204" s="132"/>
    </row>
    <row r="205" spans="2:5">
      <c r="B205" s="101"/>
      <c r="C205" s="87"/>
      <c r="D205" s="68"/>
      <c r="E205" s="132"/>
    </row>
    <row r="206" spans="2:5">
      <c r="B206" s="101"/>
      <c r="C206" s="87"/>
      <c r="D206" s="68"/>
      <c r="E206" s="132"/>
    </row>
    <row r="207" spans="2:5">
      <c r="B207" s="101"/>
      <c r="C207" s="87"/>
      <c r="D207" s="68"/>
      <c r="E207" s="132"/>
    </row>
    <row r="208" spans="2:5">
      <c r="B208" s="101"/>
      <c r="C208" s="87"/>
      <c r="D208" s="68"/>
      <c r="E208" s="132"/>
    </row>
    <row r="209" spans="2:5">
      <c r="B209" s="101"/>
      <c r="C209" s="87"/>
      <c r="D209" s="68"/>
      <c r="E209" s="132"/>
    </row>
    <row r="210" spans="2:5">
      <c r="B210" s="101"/>
      <c r="C210" s="87"/>
      <c r="D210" s="68"/>
      <c r="E210" s="132"/>
    </row>
    <row r="211" spans="2:5">
      <c r="B211" s="101"/>
      <c r="C211" s="87"/>
      <c r="D211" s="68"/>
      <c r="E211" s="132"/>
    </row>
    <row r="212" spans="2:5">
      <c r="B212" s="101"/>
      <c r="C212" s="87"/>
      <c r="D212" s="68"/>
      <c r="E212" s="132"/>
    </row>
    <row r="213" spans="2:5">
      <c r="B213" s="101"/>
      <c r="C213" s="87"/>
      <c r="D213" s="68"/>
      <c r="E213" s="132"/>
    </row>
    <row r="214" spans="2:5">
      <c r="B214" s="101"/>
      <c r="C214" s="87"/>
      <c r="D214" s="68"/>
      <c r="E214" s="132"/>
    </row>
    <row r="215" spans="2:5">
      <c r="B215" s="101"/>
      <c r="C215" s="87"/>
      <c r="D215" s="68"/>
      <c r="E215" s="132"/>
    </row>
    <row r="216" spans="2:5">
      <c r="B216" s="101"/>
      <c r="C216" s="87"/>
      <c r="D216" s="68"/>
      <c r="E216" s="132"/>
    </row>
    <row r="217" spans="2:5">
      <c r="B217" s="101"/>
      <c r="C217" s="87"/>
      <c r="D217" s="68"/>
      <c r="E217" s="132"/>
    </row>
    <row r="218" spans="2:5">
      <c r="B218" s="101"/>
      <c r="C218" s="87"/>
      <c r="D218" s="68"/>
      <c r="E218" s="132"/>
    </row>
    <row r="219" spans="2:5">
      <c r="B219" s="101"/>
      <c r="C219" s="87"/>
      <c r="D219" s="68"/>
      <c r="E219" s="132"/>
    </row>
    <row r="220" spans="2:5">
      <c r="B220" s="101"/>
      <c r="C220" s="87"/>
      <c r="D220" s="68"/>
      <c r="E220" s="132"/>
    </row>
    <row r="221" spans="2:5">
      <c r="B221" s="101"/>
      <c r="C221" s="87"/>
      <c r="D221" s="68"/>
      <c r="E221" s="132"/>
    </row>
    <row r="222" spans="2:5">
      <c r="B222" s="101"/>
      <c r="C222" s="87"/>
      <c r="D222" s="68"/>
      <c r="E222" s="132"/>
    </row>
    <row r="223" spans="2:5">
      <c r="B223" s="101"/>
      <c r="C223" s="87"/>
      <c r="D223" s="68"/>
      <c r="E223" s="132"/>
    </row>
    <row r="224" spans="2:5">
      <c r="B224" s="101"/>
      <c r="C224" s="87"/>
      <c r="D224" s="68"/>
      <c r="E224" s="132"/>
    </row>
    <row r="225" spans="2:5">
      <c r="B225" s="101"/>
      <c r="C225" s="87"/>
      <c r="D225" s="68"/>
      <c r="E225" s="132"/>
    </row>
    <row r="226" spans="2:5">
      <c r="B226" s="101"/>
      <c r="C226" s="87"/>
      <c r="D226" s="68"/>
      <c r="E226" s="132"/>
    </row>
    <row r="227" spans="2:5">
      <c r="B227" s="101"/>
      <c r="C227" s="87"/>
      <c r="D227" s="68"/>
      <c r="E227" s="132"/>
    </row>
    <row r="228" spans="2:5">
      <c r="B228" s="101"/>
      <c r="C228" s="87"/>
      <c r="D228" s="68"/>
      <c r="E228" s="132"/>
    </row>
    <row r="229" spans="2:5">
      <c r="B229" s="101"/>
      <c r="C229" s="87"/>
      <c r="D229" s="68"/>
      <c r="E229" s="132"/>
    </row>
    <row r="230" spans="2:5">
      <c r="B230" s="101"/>
      <c r="C230" s="87"/>
      <c r="D230" s="68"/>
      <c r="E230" s="132"/>
    </row>
    <row r="231" spans="2:5">
      <c r="B231" s="101"/>
      <c r="C231" s="87"/>
      <c r="D231" s="68"/>
      <c r="E231" s="132"/>
    </row>
    <row r="232" spans="2:5">
      <c r="B232" s="101"/>
      <c r="C232" s="87"/>
      <c r="D232" s="68"/>
      <c r="E232" s="132"/>
    </row>
    <row r="233" spans="2:5">
      <c r="B233" s="101"/>
      <c r="C233" s="87"/>
      <c r="D233" s="68"/>
      <c r="E233" s="132"/>
    </row>
    <row r="234" spans="2:5">
      <c r="B234" s="101"/>
      <c r="C234" s="87"/>
      <c r="D234" s="68"/>
      <c r="E234" s="132"/>
    </row>
    <row r="235" spans="2:5">
      <c r="B235" s="101"/>
      <c r="C235" s="87"/>
      <c r="D235" s="68"/>
      <c r="E235" s="132"/>
    </row>
    <row r="236" spans="2:5">
      <c r="B236" s="101"/>
      <c r="C236" s="87"/>
      <c r="D236" s="68"/>
      <c r="E236" s="132"/>
    </row>
    <row r="237" spans="2:5">
      <c r="B237" s="101"/>
      <c r="C237" s="87"/>
      <c r="D237" s="68"/>
      <c r="E237" s="132"/>
    </row>
    <row r="238" spans="2:5">
      <c r="B238" s="101"/>
      <c r="C238" s="87"/>
      <c r="D238" s="68"/>
      <c r="E238" s="132"/>
    </row>
    <row r="239" spans="2:5">
      <c r="B239" s="101"/>
      <c r="C239" s="87"/>
      <c r="D239" s="68"/>
      <c r="E239" s="132"/>
    </row>
    <row r="240" spans="2:5">
      <c r="B240" s="101"/>
      <c r="C240" s="87"/>
      <c r="D240" s="68"/>
      <c r="E240" s="132"/>
    </row>
    <row r="241" spans="2:5">
      <c r="B241" s="101"/>
      <c r="C241" s="87"/>
      <c r="D241" s="68"/>
      <c r="E241" s="132"/>
    </row>
    <row r="242" spans="2:5">
      <c r="B242" s="101"/>
      <c r="C242" s="87"/>
      <c r="D242" s="68"/>
      <c r="E242" s="132"/>
    </row>
    <row r="243" spans="2:5">
      <c r="B243" s="101"/>
      <c r="C243" s="87"/>
      <c r="D243" s="68"/>
      <c r="E243" s="132"/>
    </row>
    <row r="244" spans="2:5">
      <c r="B244" s="101"/>
      <c r="C244" s="87"/>
      <c r="D244" s="68"/>
      <c r="E244" s="132"/>
    </row>
    <row r="245" spans="2:5">
      <c r="B245" s="101"/>
      <c r="C245" s="87"/>
      <c r="D245" s="68"/>
      <c r="E245" s="132"/>
    </row>
    <row r="246" spans="2:5">
      <c r="B246" s="101"/>
      <c r="C246" s="87"/>
      <c r="D246" s="68"/>
      <c r="E246" s="132"/>
    </row>
    <row r="247" spans="2:5">
      <c r="B247" s="101"/>
      <c r="C247" s="87"/>
      <c r="D247" s="68"/>
      <c r="E247" s="132"/>
    </row>
    <row r="248" spans="2:5">
      <c r="B248" s="101"/>
      <c r="C248" s="87"/>
      <c r="D248" s="68"/>
      <c r="E248" s="132"/>
    </row>
    <row r="249" spans="2:5">
      <c r="B249" s="101"/>
      <c r="C249" s="87"/>
      <c r="D249" s="68"/>
      <c r="E249" s="132"/>
    </row>
    <row r="250" spans="2:5">
      <c r="B250" s="101"/>
      <c r="C250" s="87"/>
      <c r="D250" s="68"/>
      <c r="E250" s="132"/>
    </row>
    <row r="251" spans="2:5">
      <c r="B251" s="101"/>
      <c r="C251" s="87"/>
      <c r="D251" s="68"/>
      <c r="E251" s="132"/>
    </row>
    <row r="252" spans="2:5">
      <c r="B252" s="101"/>
      <c r="C252" s="87"/>
      <c r="D252" s="68"/>
      <c r="E252" s="132"/>
    </row>
    <row r="253" spans="2:5">
      <c r="B253" s="101"/>
      <c r="C253" s="87"/>
      <c r="D253" s="68"/>
      <c r="E253" s="132"/>
    </row>
    <row r="254" spans="2:5">
      <c r="B254" s="101"/>
      <c r="C254" s="87"/>
      <c r="D254" s="68"/>
      <c r="E254" s="132"/>
    </row>
    <row r="255" spans="2:5">
      <c r="B255" s="101"/>
      <c r="C255" s="87"/>
      <c r="D255" s="68"/>
      <c r="E255" s="132"/>
    </row>
    <row r="256" spans="2:5">
      <c r="B256" s="101"/>
      <c r="C256" s="87"/>
      <c r="D256" s="68"/>
      <c r="E256" s="132"/>
    </row>
    <row r="257" spans="2:5">
      <c r="B257" s="101"/>
      <c r="C257" s="87"/>
      <c r="D257" s="68"/>
      <c r="E257" s="132"/>
    </row>
    <row r="258" spans="2:5">
      <c r="B258" s="101"/>
      <c r="C258" s="87"/>
      <c r="D258" s="68"/>
      <c r="E258" s="132"/>
    </row>
    <row r="259" spans="2:5">
      <c r="B259" s="101"/>
      <c r="C259" s="87"/>
      <c r="D259" s="68"/>
      <c r="E259" s="132"/>
    </row>
    <row r="260" spans="2:5">
      <c r="B260" s="101"/>
      <c r="C260" s="87"/>
      <c r="D260" s="68"/>
      <c r="E260" s="132"/>
    </row>
    <row r="261" spans="2:5">
      <c r="B261" s="101"/>
      <c r="C261" s="87"/>
      <c r="D261" s="68"/>
      <c r="E261" s="132"/>
    </row>
    <row r="262" spans="2:5">
      <c r="B262" s="101"/>
      <c r="C262" s="87"/>
      <c r="D262" s="68"/>
      <c r="E262" s="132"/>
    </row>
    <row r="263" spans="2:5">
      <c r="B263" s="101"/>
      <c r="C263" s="87"/>
      <c r="D263" s="68"/>
      <c r="E263" s="132"/>
    </row>
    <row r="264" spans="2:5">
      <c r="B264" s="101"/>
      <c r="C264" s="87"/>
      <c r="D264" s="68"/>
      <c r="E264" s="132"/>
    </row>
    <row r="265" spans="2:5">
      <c r="B265" s="101"/>
      <c r="C265" s="87"/>
      <c r="D265" s="68"/>
      <c r="E265" s="132"/>
    </row>
    <row r="266" spans="2:5">
      <c r="B266" s="101"/>
      <c r="C266" s="87"/>
      <c r="D266" s="68"/>
      <c r="E266" s="132"/>
    </row>
    <row r="267" spans="2:5">
      <c r="B267" s="101"/>
      <c r="C267" s="87"/>
      <c r="D267" s="68"/>
      <c r="E267" s="132"/>
    </row>
    <row r="268" spans="2:5">
      <c r="B268" s="101"/>
      <c r="C268" s="87"/>
      <c r="D268" s="68"/>
      <c r="E268" s="132"/>
    </row>
    <row r="269" spans="2:5">
      <c r="B269" s="101"/>
      <c r="C269" s="87"/>
      <c r="D269" s="68"/>
      <c r="E269" s="132"/>
    </row>
    <row r="270" spans="2:5">
      <c r="B270" s="101"/>
      <c r="C270" s="87"/>
      <c r="D270" s="68"/>
      <c r="E270" s="132"/>
    </row>
    <row r="271" spans="2:5">
      <c r="B271" s="101"/>
      <c r="C271" s="87"/>
      <c r="D271" s="68"/>
      <c r="E271" s="132"/>
    </row>
    <row r="272" spans="2:5">
      <c r="B272" s="101"/>
      <c r="C272" s="87"/>
      <c r="D272" s="68"/>
      <c r="E272" s="132"/>
    </row>
    <row r="273" spans="2:5">
      <c r="B273" s="101"/>
      <c r="C273" s="87"/>
      <c r="D273" s="68"/>
      <c r="E273" s="132"/>
    </row>
    <row r="274" spans="2:5">
      <c r="B274" s="101"/>
      <c r="C274" s="87"/>
      <c r="D274" s="68"/>
      <c r="E274" s="132"/>
    </row>
    <row r="275" spans="2:5">
      <c r="B275" s="101"/>
      <c r="C275" s="87"/>
      <c r="D275" s="68"/>
      <c r="E275" s="132"/>
    </row>
    <row r="276" spans="2:5">
      <c r="B276" s="101"/>
      <c r="C276" s="87"/>
      <c r="D276" s="68"/>
      <c r="E276" s="132"/>
    </row>
    <row r="277" spans="2:5">
      <c r="B277" s="101"/>
      <c r="C277" s="87"/>
      <c r="D277" s="68"/>
      <c r="E277" s="132"/>
    </row>
    <row r="278" spans="2:5">
      <c r="B278" s="101"/>
      <c r="C278" s="87"/>
      <c r="D278" s="68"/>
      <c r="E278" s="132"/>
    </row>
    <row r="279" spans="2:5">
      <c r="B279" s="101"/>
      <c r="C279" s="87"/>
      <c r="D279" s="68"/>
      <c r="E279" s="132"/>
    </row>
    <row r="280" spans="2:5">
      <c r="B280" s="101"/>
      <c r="C280" s="87"/>
      <c r="D280" s="68"/>
      <c r="E280" s="132"/>
    </row>
    <row r="281" spans="2:5">
      <c r="B281" s="101"/>
      <c r="C281" s="87"/>
      <c r="D281" s="68"/>
      <c r="E281" s="132"/>
    </row>
    <row r="282" spans="2:5">
      <c r="B282" s="101"/>
      <c r="C282" s="87"/>
      <c r="D282" s="68"/>
      <c r="E282" s="132"/>
    </row>
    <row r="283" spans="2:5">
      <c r="B283" s="101"/>
      <c r="C283" s="87"/>
      <c r="D283" s="68"/>
      <c r="E283" s="132"/>
    </row>
    <row r="284" spans="2:5">
      <c r="B284" s="101"/>
      <c r="C284" s="87"/>
      <c r="D284" s="68"/>
      <c r="E284" s="132"/>
    </row>
    <row r="285" spans="2:5">
      <c r="B285" s="101"/>
      <c r="C285" s="87"/>
      <c r="D285" s="68"/>
      <c r="E285" s="132"/>
    </row>
    <row r="286" spans="2:5">
      <c r="B286" s="101"/>
      <c r="C286" s="87"/>
      <c r="D286" s="68"/>
      <c r="E286" s="132"/>
    </row>
    <row r="287" spans="2:5">
      <c r="B287" s="101"/>
      <c r="C287" s="87"/>
      <c r="D287" s="68"/>
      <c r="E287" s="132"/>
    </row>
    <row r="288" spans="2:5">
      <c r="B288" s="101"/>
      <c r="C288" s="87"/>
      <c r="D288" s="68"/>
      <c r="E288" s="132"/>
    </row>
    <row r="289" spans="2:5">
      <c r="B289" s="101"/>
      <c r="C289" s="87"/>
      <c r="D289" s="68"/>
      <c r="E289" s="132"/>
    </row>
    <row r="290" spans="2:5">
      <c r="B290" s="101"/>
      <c r="C290" s="87"/>
      <c r="D290" s="68"/>
      <c r="E290" s="132"/>
    </row>
    <row r="291" spans="2:5">
      <c r="B291" s="101"/>
      <c r="C291" s="87"/>
      <c r="D291" s="68"/>
      <c r="E291" s="132"/>
    </row>
    <row r="292" spans="2:5">
      <c r="B292" s="101"/>
      <c r="C292" s="87"/>
      <c r="D292" s="68"/>
      <c r="E292" s="132"/>
    </row>
    <row r="293" spans="2:5">
      <c r="B293" s="101"/>
      <c r="C293" s="87"/>
      <c r="D293" s="68"/>
      <c r="E293" s="132"/>
    </row>
    <row r="294" spans="2:5">
      <c r="B294" s="101"/>
      <c r="C294" s="87"/>
      <c r="D294" s="68"/>
      <c r="E294" s="132"/>
    </row>
    <row r="295" spans="2:5">
      <c r="B295" s="101"/>
      <c r="C295" s="87"/>
      <c r="D295" s="68"/>
      <c r="E295" s="132"/>
    </row>
    <row r="296" spans="2:5">
      <c r="B296" s="101"/>
      <c r="C296" s="87"/>
      <c r="D296" s="68"/>
      <c r="E296" s="132"/>
    </row>
    <row r="297" spans="2:5">
      <c r="B297" s="101"/>
      <c r="C297" s="87"/>
      <c r="D297" s="68"/>
      <c r="E297" s="132"/>
    </row>
    <row r="298" spans="2:5">
      <c r="B298" s="101"/>
      <c r="C298" s="87"/>
      <c r="D298" s="68"/>
      <c r="E298" s="132"/>
    </row>
    <row r="299" spans="2:5">
      <c r="B299" s="101"/>
      <c r="C299" s="87"/>
      <c r="D299" s="68"/>
      <c r="E299" s="132"/>
    </row>
    <row r="300" spans="2:5">
      <c r="B300" s="101"/>
      <c r="C300" s="87"/>
      <c r="D300" s="68"/>
      <c r="E300" s="132"/>
    </row>
    <row r="301" spans="2:5">
      <c r="B301" s="101"/>
      <c r="C301" s="87"/>
      <c r="D301" s="68"/>
      <c r="E301" s="132"/>
    </row>
    <row r="302" spans="2:5">
      <c r="B302" s="101"/>
      <c r="C302" s="87"/>
      <c r="D302" s="68"/>
      <c r="E302" s="132"/>
    </row>
    <row r="303" spans="2:5">
      <c r="B303" s="101"/>
      <c r="C303" s="87"/>
      <c r="D303" s="68"/>
      <c r="E303" s="132"/>
    </row>
    <row r="304" spans="2:5">
      <c r="B304" s="101"/>
      <c r="C304" s="87"/>
      <c r="D304" s="68"/>
      <c r="E304" s="132"/>
    </row>
    <row r="305" spans="2:5">
      <c r="B305" s="101"/>
      <c r="C305" s="87"/>
      <c r="D305" s="68"/>
      <c r="E305" s="132"/>
    </row>
    <row r="306" spans="2:5">
      <c r="B306" s="101"/>
      <c r="C306" s="87"/>
      <c r="D306" s="68"/>
      <c r="E306" s="132"/>
    </row>
    <row r="307" spans="2:5">
      <c r="B307" s="101"/>
      <c r="C307" s="87"/>
      <c r="D307" s="68"/>
      <c r="E307" s="132"/>
    </row>
    <row r="308" spans="2:5">
      <c r="B308" s="101"/>
      <c r="C308" s="87"/>
      <c r="D308" s="68"/>
      <c r="E308" s="132"/>
    </row>
    <row r="309" spans="2:5">
      <c r="B309" s="101"/>
      <c r="C309" s="87"/>
      <c r="D309" s="68"/>
      <c r="E309" s="132"/>
    </row>
    <row r="310" spans="2:5">
      <c r="B310" s="101"/>
      <c r="C310" s="87"/>
      <c r="D310" s="68"/>
      <c r="E310" s="132"/>
    </row>
    <row r="311" spans="2:5">
      <c r="B311" s="101"/>
      <c r="C311" s="87"/>
      <c r="D311" s="68"/>
      <c r="E311" s="132"/>
    </row>
    <row r="312" spans="2:5">
      <c r="B312" s="101"/>
      <c r="C312" s="87"/>
      <c r="D312" s="68"/>
      <c r="E312" s="132"/>
    </row>
    <row r="313" spans="2:5">
      <c r="B313" s="101"/>
      <c r="C313" s="87"/>
      <c r="D313" s="68"/>
      <c r="E313" s="132"/>
    </row>
    <row r="314" spans="2:5">
      <c r="B314" s="101"/>
      <c r="C314" s="87"/>
      <c r="D314" s="68"/>
      <c r="E314" s="132"/>
    </row>
    <row r="315" spans="2:5">
      <c r="B315" s="101"/>
      <c r="C315" s="87"/>
      <c r="D315" s="68"/>
      <c r="E315" s="132"/>
    </row>
    <row r="316" spans="2:5">
      <c r="B316" s="101"/>
      <c r="C316" s="87"/>
      <c r="D316" s="68"/>
      <c r="E316" s="132"/>
    </row>
    <row r="317" spans="2:5">
      <c r="B317" s="101"/>
      <c r="C317" s="87"/>
      <c r="D317" s="68"/>
      <c r="E317" s="132"/>
    </row>
    <row r="318" spans="2:5">
      <c r="B318" s="101"/>
      <c r="C318" s="87"/>
      <c r="D318" s="68"/>
      <c r="E318" s="132"/>
    </row>
    <row r="319" spans="2:5">
      <c r="B319" s="101"/>
      <c r="C319" s="87"/>
      <c r="D319" s="68"/>
      <c r="E319" s="132"/>
    </row>
    <row r="320" spans="2:5">
      <c r="B320" s="101"/>
      <c r="C320" s="87"/>
      <c r="D320" s="68"/>
      <c r="E320" s="132"/>
    </row>
    <row r="321" spans="2:5">
      <c r="B321" s="101"/>
      <c r="C321" s="87"/>
      <c r="D321" s="68"/>
      <c r="E321" s="132"/>
    </row>
    <row r="322" spans="2:5">
      <c r="B322" s="101"/>
      <c r="C322" s="87"/>
      <c r="D322" s="68"/>
      <c r="E322" s="132"/>
    </row>
    <row r="323" spans="2:5">
      <c r="B323" s="101"/>
      <c r="C323" s="87"/>
      <c r="D323" s="68"/>
      <c r="E323" s="132"/>
    </row>
    <row r="324" spans="2:5">
      <c r="B324" s="101"/>
      <c r="C324" s="87"/>
      <c r="D324" s="68"/>
      <c r="E324" s="132"/>
    </row>
    <row r="325" spans="2:5">
      <c r="B325" s="101"/>
      <c r="C325" s="87"/>
      <c r="D325" s="68"/>
      <c r="E325" s="132"/>
    </row>
    <row r="326" spans="2:5">
      <c r="B326" s="101"/>
      <c r="C326" s="87"/>
      <c r="D326" s="68"/>
      <c r="E326" s="132"/>
    </row>
    <row r="327" spans="2:5">
      <c r="B327" s="101"/>
      <c r="C327" s="87"/>
      <c r="D327" s="68"/>
      <c r="E327" s="132"/>
    </row>
    <row r="328" spans="2:5">
      <c r="B328" s="101"/>
      <c r="C328" s="87"/>
      <c r="D328" s="68"/>
      <c r="E328" s="132"/>
    </row>
    <row r="329" spans="2:5">
      <c r="B329" s="101"/>
      <c r="C329" s="87"/>
      <c r="D329" s="68"/>
      <c r="E329" s="132"/>
    </row>
    <row r="330" spans="2:5">
      <c r="B330" s="101"/>
      <c r="C330" s="87"/>
      <c r="D330" s="68"/>
      <c r="E330" s="132"/>
    </row>
    <row r="331" spans="2:5">
      <c r="B331" s="101"/>
      <c r="C331" s="87"/>
      <c r="D331" s="68"/>
      <c r="E331" s="132"/>
    </row>
    <row r="332" spans="2:5">
      <c r="B332" s="101"/>
      <c r="C332" s="87"/>
      <c r="D332" s="68"/>
      <c r="E332" s="132"/>
    </row>
    <row r="333" spans="2:5">
      <c r="B333" s="101"/>
      <c r="C333" s="87"/>
      <c r="D333" s="68"/>
      <c r="E333" s="132"/>
    </row>
    <row r="334" spans="2:5">
      <c r="B334" s="101"/>
      <c r="C334" s="87"/>
      <c r="D334" s="68"/>
      <c r="E334" s="132"/>
    </row>
    <row r="335" spans="2:5">
      <c r="B335" s="101"/>
      <c r="C335" s="87"/>
      <c r="D335" s="68"/>
      <c r="E335" s="132"/>
    </row>
    <row r="336" spans="2:5">
      <c r="B336" s="101"/>
      <c r="C336" s="87"/>
      <c r="D336" s="68"/>
      <c r="E336" s="132"/>
    </row>
    <row r="337" spans="2:5">
      <c r="B337" s="101"/>
      <c r="C337" s="87"/>
      <c r="D337" s="68"/>
      <c r="E337" s="132"/>
    </row>
    <row r="338" spans="2:5">
      <c r="B338" s="101"/>
      <c r="C338" s="87"/>
      <c r="D338" s="68"/>
      <c r="E338" s="132"/>
    </row>
    <row r="339" spans="2:5">
      <c r="B339" s="101"/>
      <c r="C339" s="87"/>
      <c r="D339" s="68"/>
      <c r="E339" s="132"/>
    </row>
    <row r="340" spans="2:5">
      <c r="B340" s="101"/>
      <c r="C340" s="87"/>
      <c r="D340" s="68"/>
      <c r="E340" s="132"/>
    </row>
    <row r="341" spans="2:5">
      <c r="B341" s="101"/>
      <c r="C341" s="87"/>
      <c r="D341" s="68"/>
      <c r="E341" s="132"/>
    </row>
    <row r="342" spans="2:5">
      <c r="B342" s="101"/>
      <c r="C342" s="87"/>
      <c r="D342" s="68"/>
      <c r="E342" s="132"/>
    </row>
    <row r="343" spans="2:5">
      <c r="B343" s="101"/>
      <c r="C343" s="87"/>
      <c r="D343" s="68"/>
      <c r="E343" s="132"/>
    </row>
    <row r="344" spans="2:5">
      <c r="B344" s="101"/>
      <c r="C344" s="87"/>
      <c r="D344" s="68"/>
      <c r="E344" s="132"/>
    </row>
    <row r="345" spans="2:5">
      <c r="B345" s="101"/>
      <c r="C345" s="87"/>
      <c r="D345" s="68"/>
      <c r="E345" s="132"/>
    </row>
    <row r="346" spans="2:5">
      <c r="B346" s="101"/>
      <c r="C346" s="87"/>
      <c r="D346" s="68"/>
      <c r="E346" s="132"/>
    </row>
    <row r="347" spans="2:5">
      <c r="B347" s="101"/>
      <c r="C347" s="87"/>
      <c r="D347" s="68"/>
      <c r="E347" s="132"/>
    </row>
    <row r="348" spans="2:5">
      <c r="B348" s="101"/>
      <c r="C348" s="87"/>
      <c r="D348" s="68"/>
      <c r="E348" s="132"/>
    </row>
    <row r="349" spans="2:5">
      <c r="B349" s="101"/>
      <c r="C349" s="87"/>
      <c r="D349" s="68"/>
      <c r="E349" s="132"/>
    </row>
    <row r="350" spans="2:5">
      <c r="B350" s="101"/>
      <c r="C350" s="87"/>
      <c r="D350" s="68"/>
      <c r="E350" s="132"/>
    </row>
    <row r="351" spans="2:5">
      <c r="B351" s="101"/>
      <c r="C351" s="87"/>
      <c r="D351" s="68"/>
      <c r="E351" s="132"/>
    </row>
    <row r="352" spans="2:5">
      <c r="B352" s="101"/>
      <c r="C352" s="87"/>
      <c r="D352" s="68"/>
      <c r="E352" s="132"/>
    </row>
    <row r="353" spans="2:5">
      <c r="B353" s="101"/>
      <c r="C353" s="87"/>
      <c r="D353" s="68"/>
      <c r="E353" s="132"/>
    </row>
    <row r="354" spans="2:5">
      <c r="B354" s="101"/>
      <c r="C354" s="87"/>
      <c r="D354" s="68"/>
      <c r="E354" s="132"/>
    </row>
    <row r="355" spans="2:5">
      <c r="B355" s="101"/>
      <c r="C355" s="87"/>
      <c r="D355" s="68"/>
      <c r="E355" s="132"/>
    </row>
    <row r="356" spans="2:5">
      <c r="B356" s="101"/>
      <c r="C356" s="87"/>
      <c r="D356" s="68"/>
      <c r="E356" s="132"/>
    </row>
    <row r="357" spans="2:5">
      <c r="B357" s="101"/>
      <c r="C357" s="87"/>
      <c r="D357" s="68"/>
      <c r="E357" s="132"/>
    </row>
    <row r="358" spans="2:5">
      <c r="B358" s="101"/>
      <c r="C358" s="87"/>
      <c r="D358" s="68"/>
      <c r="E358" s="132"/>
    </row>
    <row r="359" spans="2:5">
      <c r="B359" s="101"/>
      <c r="C359" s="87"/>
      <c r="D359" s="68"/>
      <c r="E359" s="132"/>
    </row>
    <row r="360" spans="2:5">
      <c r="B360" s="101"/>
      <c r="C360" s="87"/>
      <c r="D360" s="68"/>
      <c r="E360" s="132"/>
    </row>
    <row r="361" spans="2:5">
      <c r="B361" s="101"/>
      <c r="C361" s="87"/>
      <c r="D361" s="68"/>
      <c r="E361" s="132"/>
    </row>
    <row r="362" spans="2:5">
      <c r="B362" s="101"/>
      <c r="C362" s="87"/>
      <c r="D362" s="68"/>
      <c r="E362" s="132"/>
    </row>
    <row r="363" spans="2:5">
      <c r="B363" s="101"/>
      <c r="C363" s="87"/>
      <c r="D363" s="68"/>
      <c r="E363" s="132"/>
    </row>
    <row r="364" spans="2:5">
      <c r="B364" s="101"/>
      <c r="C364" s="87"/>
      <c r="D364" s="68"/>
      <c r="E364" s="132"/>
    </row>
    <row r="365" spans="2:5">
      <c r="B365" s="101"/>
      <c r="C365" s="87"/>
      <c r="D365" s="68"/>
      <c r="E365" s="132"/>
    </row>
    <row r="366" spans="2:5">
      <c r="B366" s="101"/>
      <c r="C366" s="87"/>
      <c r="D366" s="68"/>
      <c r="E366" s="132"/>
    </row>
    <row r="367" spans="2:5">
      <c r="B367" s="101"/>
      <c r="C367" s="87"/>
      <c r="D367" s="68"/>
      <c r="E367" s="132"/>
    </row>
    <row r="368" spans="2:5">
      <c r="B368" s="101"/>
      <c r="C368" s="87"/>
      <c r="D368" s="68"/>
      <c r="E368" s="132"/>
    </row>
    <row r="369" spans="2:5">
      <c r="B369" s="101"/>
      <c r="C369" s="87"/>
      <c r="D369" s="68"/>
      <c r="E369" s="132"/>
    </row>
    <row r="370" spans="2:5">
      <c r="B370" s="101"/>
      <c r="C370" s="87"/>
      <c r="D370" s="68"/>
      <c r="E370" s="132"/>
    </row>
    <row r="371" spans="2:5">
      <c r="B371" s="101"/>
      <c r="C371" s="87"/>
      <c r="D371" s="68"/>
      <c r="E371" s="132"/>
    </row>
    <row r="372" spans="2:5">
      <c r="B372" s="101"/>
      <c r="C372" s="87"/>
      <c r="D372" s="68"/>
      <c r="E372" s="132"/>
    </row>
    <row r="373" spans="2:5">
      <c r="B373" s="101"/>
      <c r="C373" s="87"/>
      <c r="D373" s="68"/>
      <c r="E373" s="132"/>
    </row>
    <row r="374" spans="2:5">
      <c r="B374" s="101"/>
      <c r="C374" s="87"/>
      <c r="D374" s="68"/>
      <c r="E374" s="132"/>
    </row>
    <row r="375" spans="2:5">
      <c r="B375" s="101"/>
      <c r="C375" s="87"/>
      <c r="D375" s="68"/>
      <c r="E375" s="132"/>
    </row>
    <row r="376" spans="2:5">
      <c r="B376" s="101"/>
      <c r="C376" s="87"/>
      <c r="D376" s="68"/>
      <c r="E376" s="132"/>
    </row>
    <row r="377" spans="2:5">
      <c r="B377" s="101"/>
      <c r="C377" s="87"/>
      <c r="D377" s="68"/>
      <c r="E377" s="132"/>
    </row>
    <row r="378" spans="2:5">
      <c r="B378" s="101"/>
      <c r="C378" s="87"/>
      <c r="D378" s="68"/>
      <c r="E378" s="132"/>
    </row>
    <row r="379" spans="2:5">
      <c r="B379" s="101"/>
      <c r="C379" s="87"/>
      <c r="D379" s="68"/>
      <c r="E379" s="132"/>
    </row>
    <row r="380" spans="2:5">
      <c r="B380" s="101"/>
      <c r="C380" s="87"/>
      <c r="D380" s="68"/>
      <c r="E380" s="132"/>
    </row>
    <row r="381" spans="2:5">
      <c r="B381" s="101"/>
      <c r="C381" s="87"/>
      <c r="D381" s="68"/>
      <c r="E381" s="132"/>
    </row>
    <row r="382" spans="2:5">
      <c r="B382" s="101"/>
      <c r="C382" s="87"/>
      <c r="D382" s="68"/>
      <c r="E382" s="132"/>
    </row>
    <row r="383" spans="2:5">
      <c r="B383" s="101"/>
      <c r="C383" s="87"/>
      <c r="D383" s="68"/>
      <c r="E383" s="132"/>
    </row>
    <row r="384" spans="2:5">
      <c r="B384" s="101"/>
      <c r="C384" s="87"/>
      <c r="D384" s="68"/>
      <c r="E384" s="132"/>
    </row>
    <row r="385" spans="2:5">
      <c r="B385" s="101"/>
      <c r="C385" s="87"/>
      <c r="D385" s="68"/>
      <c r="E385" s="132"/>
    </row>
    <row r="386" spans="2:5">
      <c r="B386" s="101"/>
      <c r="C386" s="87"/>
      <c r="D386" s="68"/>
      <c r="E386" s="132"/>
    </row>
    <row r="387" spans="2:5">
      <c r="B387" s="101"/>
      <c r="C387" s="87"/>
      <c r="D387" s="68"/>
      <c r="E387" s="132"/>
    </row>
    <row r="388" spans="2:5">
      <c r="B388" s="101"/>
      <c r="C388" s="87"/>
      <c r="D388" s="68"/>
      <c r="E388" s="132"/>
    </row>
    <row r="389" spans="2:5">
      <c r="B389" s="101"/>
      <c r="C389" s="87"/>
      <c r="D389" s="68"/>
      <c r="E389" s="132"/>
    </row>
    <row r="390" spans="2:5">
      <c r="B390" s="101"/>
      <c r="C390" s="87"/>
      <c r="D390" s="68"/>
      <c r="E390" s="132"/>
    </row>
    <row r="391" spans="2:5">
      <c r="B391" s="101"/>
      <c r="C391" s="87"/>
      <c r="D391" s="68"/>
      <c r="E391" s="132"/>
    </row>
    <row r="392" spans="2:5">
      <c r="B392" s="101"/>
      <c r="C392" s="87"/>
      <c r="D392" s="68"/>
      <c r="E392" s="132"/>
    </row>
    <row r="393" spans="2:5">
      <c r="B393" s="101"/>
      <c r="C393" s="87"/>
      <c r="D393" s="68"/>
      <c r="E393" s="132"/>
    </row>
    <row r="394" spans="2:5">
      <c r="B394" s="101"/>
      <c r="C394" s="87"/>
      <c r="D394" s="68"/>
      <c r="E394" s="132"/>
    </row>
    <row r="395" spans="2:5">
      <c r="B395" s="101"/>
      <c r="C395" s="87"/>
      <c r="D395" s="68"/>
      <c r="E395" s="132"/>
    </row>
    <row r="396" spans="2:5">
      <c r="B396" s="101"/>
      <c r="C396" s="87"/>
      <c r="D396" s="68"/>
      <c r="E396" s="132"/>
    </row>
    <row r="397" spans="2:5">
      <c r="B397" s="101"/>
      <c r="C397" s="87"/>
      <c r="D397" s="68"/>
      <c r="E397" s="132"/>
    </row>
    <row r="398" spans="2:5">
      <c r="B398" s="101"/>
      <c r="C398" s="87"/>
      <c r="D398" s="68"/>
      <c r="E398" s="132"/>
    </row>
    <row r="399" spans="2:5">
      <c r="B399" s="101"/>
      <c r="C399" s="87"/>
      <c r="D399" s="68"/>
      <c r="E399" s="132"/>
    </row>
    <row r="400" spans="2:5">
      <c r="B400" s="101"/>
      <c r="C400" s="87"/>
      <c r="D400" s="68"/>
      <c r="E400" s="132"/>
    </row>
    <row r="401" spans="2:5">
      <c r="B401" s="101"/>
      <c r="C401" s="87"/>
      <c r="D401" s="68"/>
      <c r="E401" s="132"/>
    </row>
    <row r="402" spans="2:5">
      <c r="B402" s="101"/>
      <c r="C402" s="87"/>
      <c r="D402" s="68"/>
      <c r="E402" s="132"/>
    </row>
    <row r="403" spans="2:5">
      <c r="B403" s="101"/>
      <c r="C403" s="87"/>
      <c r="D403" s="68"/>
      <c r="E403" s="132"/>
    </row>
    <row r="404" spans="2:5">
      <c r="B404" s="101"/>
      <c r="C404" s="87"/>
      <c r="D404" s="68"/>
      <c r="E404" s="132"/>
    </row>
    <row r="405" spans="2:5">
      <c r="B405" s="101"/>
      <c r="C405" s="87"/>
      <c r="D405" s="68"/>
      <c r="E405" s="132"/>
    </row>
    <row r="406" spans="2:5">
      <c r="B406" s="101"/>
      <c r="C406" s="87"/>
      <c r="D406" s="68"/>
      <c r="E406" s="132"/>
    </row>
    <row r="407" spans="2:5">
      <c r="B407" s="101"/>
      <c r="C407" s="87"/>
      <c r="D407" s="68"/>
      <c r="E407" s="132"/>
    </row>
    <row r="408" spans="2:5">
      <c r="B408" s="101"/>
      <c r="C408" s="87"/>
      <c r="D408" s="68"/>
      <c r="E408" s="132"/>
    </row>
    <row r="409" spans="2:5">
      <c r="B409" s="101"/>
      <c r="C409" s="87"/>
      <c r="D409" s="68"/>
      <c r="E409" s="132"/>
    </row>
    <row r="410" spans="2:5">
      <c r="B410" s="101"/>
      <c r="C410" s="87"/>
      <c r="D410" s="68"/>
      <c r="E410" s="132"/>
    </row>
    <row r="411" spans="2:5">
      <c r="B411" s="101"/>
      <c r="C411" s="87"/>
      <c r="D411" s="68"/>
      <c r="E411" s="132"/>
    </row>
    <row r="412" spans="2:5">
      <c r="B412" s="101"/>
      <c r="C412" s="87"/>
      <c r="D412" s="68"/>
      <c r="E412" s="132"/>
    </row>
    <row r="413" spans="2:5">
      <c r="B413" s="101"/>
      <c r="C413" s="87"/>
      <c r="D413" s="68"/>
      <c r="E413" s="132"/>
    </row>
    <row r="414" spans="2:5">
      <c r="B414" s="101"/>
      <c r="C414" s="87"/>
      <c r="D414" s="68"/>
      <c r="E414" s="132"/>
    </row>
    <row r="415" spans="2:5">
      <c r="B415" s="101"/>
      <c r="C415" s="87"/>
      <c r="D415" s="68"/>
      <c r="E415" s="132"/>
    </row>
    <row r="416" spans="2:5">
      <c r="B416" s="101"/>
      <c r="C416" s="87"/>
      <c r="D416" s="68"/>
      <c r="E416" s="132"/>
    </row>
    <row r="417" spans="2:5">
      <c r="B417" s="101"/>
      <c r="C417" s="87"/>
      <c r="D417" s="68"/>
      <c r="E417" s="132"/>
    </row>
    <row r="418" spans="2:5">
      <c r="B418" s="101"/>
      <c r="C418" s="87"/>
      <c r="D418" s="68"/>
      <c r="E418" s="132"/>
    </row>
    <row r="419" spans="2:5">
      <c r="B419" s="101"/>
      <c r="C419" s="87"/>
      <c r="D419" s="68"/>
      <c r="E419" s="132"/>
    </row>
    <row r="420" spans="2:5">
      <c r="B420" s="101"/>
      <c r="C420" s="87"/>
      <c r="D420" s="68"/>
      <c r="E420" s="132"/>
    </row>
    <row r="421" spans="2:5">
      <c r="B421" s="101"/>
      <c r="C421" s="87"/>
      <c r="D421" s="68"/>
      <c r="E421" s="132"/>
    </row>
    <row r="422" spans="2:5">
      <c r="B422" s="101"/>
      <c r="C422" s="87"/>
      <c r="D422" s="68"/>
      <c r="E422" s="132"/>
    </row>
    <row r="423" spans="2:5">
      <c r="B423" s="101"/>
      <c r="C423" s="87"/>
      <c r="D423" s="68"/>
      <c r="E423" s="132"/>
    </row>
    <row r="424" spans="2:5">
      <c r="B424" s="101"/>
      <c r="C424" s="87"/>
      <c r="D424" s="68"/>
      <c r="E424" s="132"/>
    </row>
    <row r="425" spans="2:5">
      <c r="B425" s="101"/>
      <c r="C425" s="87"/>
      <c r="D425" s="68"/>
      <c r="E425" s="132"/>
    </row>
    <row r="426" spans="2:5">
      <c r="B426" s="101"/>
      <c r="C426" s="87"/>
      <c r="D426" s="68"/>
      <c r="E426" s="132"/>
    </row>
    <row r="427" spans="2:5">
      <c r="B427" s="101"/>
      <c r="C427" s="87"/>
      <c r="D427" s="68"/>
      <c r="E427" s="132"/>
    </row>
    <row r="428" spans="2:5">
      <c r="B428" s="101"/>
      <c r="C428" s="87"/>
      <c r="D428" s="68"/>
      <c r="E428" s="132"/>
    </row>
    <row r="429" spans="2:5">
      <c r="B429" s="101"/>
      <c r="C429" s="87"/>
      <c r="D429" s="68"/>
      <c r="E429" s="132"/>
    </row>
    <row r="430" spans="2:5">
      <c r="B430" s="101"/>
      <c r="C430" s="87"/>
      <c r="D430" s="68"/>
      <c r="E430" s="132"/>
    </row>
    <row r="431" spans="2:5">
      <c r="B431" s="101"/>
      <c r="C431" s="87"/>
      <c r="D431" s="68"/>
      <c r="E431" s="132"/>
    </row>
    <row r="432" spans="2:5">
      <c r="B432" s="101"/>
      <c r="C432" s="87"/>
      <c r="D432" s="68"/>
      <c r="E432" s="132"/>
    </row>
    <row r="433" spans="2:5">
      <c r="B433" s="101"/>
      <c r="C433" s="87"/>
      <c r="D433" s="68"/>
      <c r="E433" s="132"/>
    </row>
    <row r="434" spans="2:5">
      <c r="B434" s="101"/>
      <c r="C434" s="87"/>
      <c r="D434" s="68"/>
      <c r="E434" s="132"/>
    </row>
    <row r="435" spans="2:5">
      <c r="B435" s="101"/>
      <c r="C435" s="87"/>
      <c r="D435" s="68"/>
      <c r="E435" s="132"/>
    </row>
    <row r="436" spans="2:5">
      <c r="B436" s="101"/>
      <c r="C436" s="87"/>
      <c r="D436" s="68"/>
      <c r="E436" s="132"/>
    </row>
    <row r="437" spans="2:5">
      <c r="B437" s="101"/>
      <c r="C437" s="87"/>
      <c r="D437" s="68"/>
      <c r="E437" s="132"/>
    </row>
    <row r="438" spans="2:5">
      <c r="B438" s="101"/>
      <c r="C438" s="87"/>
      <c r="D438" s="68"/>
      <c r="E438" s="132"/>
    </row>
    <row r="439" spans="2:5">
      <c r="B439" s="101"/>
      <c r="C439" s="87"/>
      <c r="D439" s="68"/>
      <c r="E439" s="132"/>
    </row>
    <row r="440" spans="2:5">
      <c r="B440" s="101"/>
      <c r="C440" s="87"/>
      <c r="D440" s="68"/>
      <c r="E440" s="132"/>
    </row>
    <row r="441" spans="2:5">
      <c r="B441" s="101"/>
      <c r="C441" s="87"/>
      <c r="D441" s="68"/>
      <c r="E441" s="132"/>
    </row>
    <row r="442" spans="2:5">
      <c r="B442" s="101"/>
      <c r="C442" s="87"/>
      <c r="D442" s="68"/>
      <c r="E442" s="132"/>
    </row>
    <row r="443" spans="2:5">
      <c r="B443" s="101"/>
      <c r="C443" s="87"/>
      <c r="D443" s="68"/>
      <c r="E443" s="132"/>
    </row>
    <row r="444" spans="2:5">
      <c r="B444" s="101"/>
      <c r="C444" s="87"/>
      <c r="D444" s="68"/>
      <c r="E444" s="132"/>
    </row>
    <row r="445" spans="2:5">
      <c r="B445" s="101"/>
      <c r="C445" s="87"/>
      <c r="D445" s="68"/>
      <c r="E445" s="132"/>
    </row>
    <row r="446" spans="2:5">
      <c r="B446" s="101"/>
      <c r="C446" s="87"/>
      <c r="D446" s="68"/>
      <c r="E446" s="132"/>
    </row>
    <row r="447" spans="2:5">
      <c r="B447" s="101"/>
      <c r="C447" s="87"/>
      <c r="D447" s="68"/>
      <c r="E447" s="132"/>
    </row>
    <row r="448" spans="2:5">
      <c r="B448" s="101"/>
      <c r="C448" s="87"/>
      <c r="D448" s="68"/>
      <c r="E448" s="132"/>
    </row>
    <row r="449" spans="2:5">
      <c r="B449" s="101"/>
      <c r="C449" s="87"/>
      <c r="D449" s="68"/>
      <c r="E449" s="132"/>
    </row>
    <row r="450" spans="2:5">
      <c r="B450" s="101"/>
      <c r="C450" s="87"/>
      <c r="D450" s="68"/>
      <c r="E450" s="132"/>
    </row>
    <row r="451" spans="2:5">
      <c r="B451" s="101"/>
      <c r="C451" s="87"/>
      <c r="D451" s="68"/>
      <c r="E451" s="132"/>
    </row>
    <row r="452" spans="2:5">
      <c r="B452" s="101"/>
      <c r="C452" s="87"/>
      <c r="D452" s="68"/>
      <c r="E452" s="132"/>
    </row>
    <row r="453" spans="2:5">
      <c r="B453" s="101"/>
      <c r="C453" s="87"/>
      <c r="D453" s="68"/>
      <c r="E453" s="132"/>
    </row>
    <row r="454" spans="2:5">
      <c r="B454" s="101"/>
      <c r="C454" s="87"/>
      <c r="D454" s="68"/>
      <c r="E454" s="132"/>
    </row>
    <row r="455" spans="2:5">
      <c r="B455" s="101"/>
      <c r="C455" s="87"/>
      <c r="D455" s="68"/>
      <c r="E455" s="132"/>
    </row>
    <row r="456" spans="2:5">
      <c r="B456" s="101"/>
      <c r="C456" s="87"/>
      <c r="D456" s="68"/>
      <c r="E456" s="132"/>
    </row>
    <row r="457" spans="2:5">
      <c r="B457" s="101"/>
      <c r="C457" s="87"/>
      <c r="D457" s="68"/>
      <c r="E457" s="132"/>
    </row>
    <row r="458" spans="2:5">
      <c r="B458" s="101"/>
      <c r="C458" s="87"/>
      <c r="D458" s="68"/>
      <c r="E458" s="132"/>
    </row>
    <row r="459" spans="2:5">
      <c r="B459" s="101"/>
      <c r="C459" s="87"/>
      <c r="D459" s="68"/>
      <c r="E459" s="132"/>
    </row>
    <row r="460" spans="2:5">
      <c r="B460" s="101"/>
      <c r="C460" s="87"/>
      <c r="D460" s="68"/>
      <c r="E460" s="132"/>
    </row>
    <row r="461" spans="2:5">
      <c r="B461" s="101"/>
      <c r="C461" s="87"/>
      <c r="D461" s="68"/>
      <c r="E461" s="132"/>
    </row>
    <row r="462" spans="2:5">
      <c r="B462" s="101"/>
      <c r="C462" s="87"/>
      <c r="D462" s="68"/>
      <c r="E462" s="132"/>
    </row>
    <row r="463" spans="2:5">
      <c r="B463" s="101"/>
      <c r="C463" s="87"/>
      <c r="D463" s="68"/>
      <c r="E463" s="132"/>
    </row>
    <row r="464" spans="2:5">
      <c r="B464" s="101"/>
      <c r="C464" s="87"/>
      <c r="D464" s="68"/>
      <c r="E464" s="132"/>
    </row>
    <row r="465" spans="2:5">
      <c r="B465" s="101"/>
      <c r="C465" s="87"/>
      <c r="D465" s="68"/>
      <c r="E465" s="132"/>
    </row>
    <row r="466" spans="2:5">
      <c r="B466" s="101"/>
      <c r="C466" s="87"/>
      <c r="D466" s="68"/>
      <c r="E466" s="132"/>
    </row>
    <row r="467" spans="2:5">
      <c r="B467" s="101"/>
      <c r="C467" s="87"/>
      <c r="D467" s="68"/>
      <c r="E467" s="132"/>
    </row>
    <row r="468" spans="2:5">
      <c r="B468" s="101"/>
      <c r="C468" s="87"/>
      <c r="D468" s="68"/>
      <c r="E468" s="132"/>
    </row>
    <row r="469" spans="2:5">
      <c r="B469" s="101"/>
      <c r="C469" s="87"/>
      <c r="D469" s="68"/>
      <c r="E469" s="132"/>
    </row>
    <row r="470" spans="2:5">
      <c r="B470" s="101"/>
      <c r="C470" s="87"/>
      <c r="D470" s="68"/>
      <c r="E470" s="132"/>
    </row>
    <row r="471" spans="2:5">
      <c r="B471" s="101"/>
      <c r="C471" s="87"/>
      <c r="D471" s="68"/>
      <c r="E471" s="132"/>
    </row>
    <row r="472" spans="2:5">
      <c r="B472" s="101"/>
      <c r="C472" s="87"/>
      <c r="D472" s="68"/>
      <c r="E472" s="132"/>
    </row>
    <row r="473" spans="2:5">
      <c r="B473" s="101"/>
      <c r="C473" s="87"/>
      <c r="D473" s="68"/>
      <c r="E473" s="132"/>
    </row>
    <row r="474" spans="2:5">
      <c r="B474" s="101"/>
      <c r="C474" s="87"/>
      <c r="D474" s="68"/>
      <c r="E474" s="132"/>
    </row>
    <row r="475" spans="2:5">
      <c r="B475" s="101"/>
      <c r="C475" s="87"/>
      <c r="D475" s="68"/>
      <c r="E475" s="132"/>
    </row>
    <row r="476" spans="2:5">
      <c r="B476" s="101"/>
      <c r="C476" s="87"/>
      <c r="D476" s="68"/>
      <c r="E476" s="132"/>
    </row>
    <row r="477" spans="2:5">
      <c r="B477" s="101"/>
      <c r="C477" s="87"/>
      <c r="D477" s="68"/>
      <c r="E477" s="132"/>
    </row>
    <row r="478" spans="2:5">
      <c r="B478" s="101"/>
      <c r="C478" s="87"/>
      <c r="D478" s="68"/>
      <c r="E478" s="132"/>
    </row>
    <row r="479" spans="2:5">
      <c r="B479" s="101"/>
      <c r="C479" s="87"/>
      <c r="D479" s="68"/>
      <c r="E479" s="132"/>
    </row>
    <row r="480" spans="2:5">
      <c r="B480" s="101"/>
      <c r="C480" s="87"/>
      <c r="D480" s="68"/>
      <c r="E480" s="132"/>
    </row>
    <row r="481" spans="2:5">
      <c r="B481" s="101"/>
      <c r="C481" s="87"/>
      <c r="D481" s="68"/>
      <c r="E481" s="132"/>
    </row>
    <row r="482" spans="2:5">
      <c r="B482" s="101"/>
      <c r="C482" s="87"/>
      <c r="D482" s="68"/>
      <c r="E482" s="132"/>
    </row>
    <row r="483" spans="2:5">
      <c r="B483" s="101"/>
      <c r="C483" s="87"/>
      <c r="D483" s="68"/>
      <c r="E483" s="132"/>
    </row>
    <row r="484" spans="2:5">
      <c r="B484" s="101"/>
      <c r="C484" s="87"/>
      <c r="D484" s="68"/>
      <c r="E484" s="132"/>
    </row>
    <row r="485" spans="2:5">
      <c r="B485" s="101"/>
      <c r="C485" s="87"/>
      <c r="D485" s="68"/>
      <c r="E485" s="132"/>
    </row>
    <row r="486" spans="2:5">
      <c r="B486" s="101"/>
      <c r="C486" s="87"/>
      <c r="D486" s="68"/>
      <c r="E486" s="132"/>
    </row>
    <row r="487" spans="2:5">
      <c r="B487" s="101"/>
      <c r="C487" s="87"/>
      <c r="D487" s="68"/>
      <c r="E487" s="132"/>
    </row>
    <row r="488" spans="2:5">
      <c r="B488" s="101"/>
      <c r="C488" s="87"/>
      <c r="D488" s="68"/>
      <c r="E488" s="132"/>
    </row>
    <row r="489" spans="2:5">
      <c r="B489" s="101"/>
      <c r="C489" s="87"/>
      <c r="D489" s="68"/>
      <c r="E489" s="132"/>
    </row>
    <row r="490" spans="2:5">
      <c r="B490" s="101"/>
      <c r="C490" s="87"/>
      <c r="D490" s="68"/>
      <c r="E490" s="132"/>
    </row>
    <row r="491" spans="2:5">
      <c r="B491" s="101"/>
      <c r="C491" s="87"/>
      <c r="D491" s="68"/>
      <c r="E491" s="132"/>
    </row>
    <row r="492" spans="2:5">
      <c r="B492" s="101"/>
      <c r="C492" s="87"/>
      <c r="D492" s="68"/>
      <c r="E492" s="132"/>
    </row>
    <row r="493" spans="2:5">
      <c r="B493" s="101"/>
      <c r="C493" s="87"/>
      <c r="D493" s="68"/>
      <c r="E493" s="132"/>
    </row>
    <row r="494" spans="2:5">
      <c r="B494" s="101"/>
      <c r="C494" s="87"/>
      <c r="D494" s="68"/>
      <c r="E494" s="132"/>
    </row>
    <row r="495" spans="2:5">
      <c r="B495" s="101"/>
      <c r="C495" s="87"/>
      <c r="D495" s="68"/>
      <c r="E495" s="132"/>
    </row>
    <row r="496" spans="2:5">
      <c r="B496" s="101"/>
      <c r="C496" s="87"/>
      <c r="D496" s="68"/>
      <c r="E496" s="132"/>
    </row>
    <row r="497" spans="2:5">
      <c r="B497" s="101"/>
      <c r="C497" s="87"/>
      <c r="D497" s="68"/>
      <c r="E497" s="132"/>
    </row>
    <row r="498" spans="2:5">
      <c r="B498" s="101"/>
      <c r="C498" s="87"/>
      <c r="D498" s="68"/>
      <c r="E498" s="132"/>
    </row>
    <row r="499" spans="2:5">
      <c r="B499" s="101"/>
      <c r="C499" s="87"/>
      <c r="D499" s="68"/>
      <c r="E499" s="132"/>
    </row>
    <row r="500" spans="2:5">
      <c r="B500" s="101"/>
      <c r="C500" s="87"/>
      <c r="D500" s="68"/>
      <c r="E500" s="132"/>
    </row>
    <row r="501" spans="2:5">
      <c r="B501" s="101"/>
      <c r="C501" s="87"/>
      <c r="D501" s="68"/>
      <c r="E501" s="132"/>
    </row>
    <row r="502" spans="2:5">
      <c r="B502" s="101"/>
      <c r="C502" s="87"/>
      <c r="D502" s="68"/>
      <c r="E502" s="132"/>
    </row>
    <row r="503" spans="2:5">
      <c r="B503" s="101"/>
      <c r="C503" s="87"/>
      <c r="D503" s="68"/>
      <c r="E503" s="132"/>
    </row>
    <row r="504" spans="2:5" ht="15.75" thickBot="1">
      <c r="B504" s="102"/>
      <c r="C504" s="114"/>
      <c r="D504" s="114"/>
      <c r="E504" s="113"/>
    </row>
  </sheetData>
  <sheetProtection algorithmName="SHA-512" hashValue="CN4URS5M5HlYppp58AaAneH+VT1nvrH/odLARBykl83vGSWBioTz3hhiV88QLR1tm5O96ROFcXYWhokSO6AGMg==" saltValue="uyxE0AzULMxhsNPmACy6nQ==" spinCount="100000" sheet="1" selectLockedCells="1"/>
  <mergeCells count="13">
    <mergeCell ref="H3:I3"/>
    <mergeCell ref="H4:I4"/>
    <mergeCell ref="H5:I5"/>
    <mergeCell ref="H6:I6"/>
    <mergeCell ref="H11:I11"/>
    <mergeCell ref="H8:I8"/>
    <mergeCell ref="H9:I9"/>
    <mergeCell ref="H12:I12"/>
    <mergeCell ref="H27:I27"/>
    <mergeCell ref="H22:I22"/>
    <mergeCell ref="H25:I25"/>
    <mergeCell ref="H24:I24"/>
    <mergeCell ref="G15:K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Drop Down 2">
              <controlPr defaultSize="0" autoLine="0" autoPict="0">
                <anchor moveWithCells="1">
                  <from>
                    <xdr:col>7</xdr:col>
                    <xdr:colOff>104775</xdr:colOff>
                    <xdr:row>18</xdr:row>
                    <xdr:rowOff>95250</xdr:rowOff>
                  </from>
                  <to>
                    <xdr:col>9</xdr:col>
                    <xdr:colOff>504825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3BAB-168A-4D63-926D-3C8E78BDBA9F}">
  <sheetPr codeName="Sayfa2"/>
  <dimension ref="B2:Q33"/>
  <sheetViews>
    <sheetView workbookViewId="0">
      <selection activeCell="B2" sqref="B2:Q33"/>
    </sheetView>
  </sheetViews>
  <sheetFormatPr defaultRowHeight="15"/>
  <sheetData>
    <row r="2" spans="2:17">
      <c r="B2" s="135"/>
      <c r="C2" s="135"/>
      <c r="D2" s="135"/>
      <c r="E2" s="135"/>
      <c r="F2" s="134"/>
      <c r="G2" s="195" t="s">
        <v>64</v>
      </c>
      <c r="H2" s="195"/>
      <c r="I2" s="136" t="str">
        <f>'Element Concentration'!D3</f>
        <v>Sr</v>
      </c>
      <c r="J2" s="134"/>
      <c r="K2" s="195" t="s">
        <v>64</v>
      </c>
      <c r="L2" s="195"/>
      <c r="M2" s="137" t="str">
        <f>IF(ISERROR(Element_Control!I2),"",IF(Element_Control!I2=0,"",Element_Control!I2))</f>
        <v>Sr</v>
      </c>
      <c r="N2" s="134"/>
      <c r="O2" s="134"/>
      <c r="P2" s="134"/>
      <c r="Q2" s="134"/>
    </row>
    <row r="3" spans="2:17">
      <c r="B3" s="193" t="s">
        <v>62</v>
      </c>
      <c r="C3" s="192"/>
      <c r="D3" s="135"/>
      <c r="E3" s="137">
        <f>COUNTIFS('Element Concentration'!D4:D503,"&gt;"&amp;-10000000000)</f>
        <v>7</v>
      </c>
      <c r="F3" s="134"/>
      <c r="G3" s="193" t="s">
        <v>62</v>
      </c>
      <c r="H3" s="192"/>
      <c r="I3" s="139">
        <f>Element_Control!E3</f>
        <v>7</v>
      </c>
      <c r="J3" s="134"/>
      <c r="K3" s="193" t="s">
        <v>62</v>
      </c>
      <c r="L3" s="192"/>
      <c r="M3" s="137">
        <f>IF(ISERROR(Element_Control!I3),"",IF(Element_Control!I3=0,"",Element_Control!I3))</f>
        <v>7</v>
      </c>
      <c r="N3" s="134"/>
      <c r="O3" s="134"/>
      <c r="P3" s="134"/>
      <c r="Q3" s="134"/>
    </row>
    <row r="4" spans="2:17">
      <c r="B4" s="192" t="s">
        <v>67</v>
      </c>
      <c r="C4" s="194"/>
      <c r="D4" s="135"/>
      <c r="E4" s="141">
        <f>MAX('Element Concentration'!D4:D503)</f>
        <v>652</v>
      </c>
      <c r="F4" s="134"/>
      <c r="G4" s="192" t="s">
        <v>67</v>
      </c>
      <c r="H4" s="194"/>
      <c r="I4" s="139">
        <f>Element_Control!E4</f>
        <v>652</v>
      </c>
      <c r="J4" s="134"/>
      <c r="K4" s="192" t="s">
        <v>67</v>
      </c>
      <c r="L4" s="194"/>
      <c r="M4" s="137">
        <f>IF(ISERROR(Element_Control!I4),"",IF(Element_Control!I4=0,"",Element_Control!I4))</f>
        <v>652</v>
      </c>
      <c r="N4" s="134"/>
      <c r="O4" s="134"/>
      <c r="P4" s="134"/>
      <c r="Q4" s="134"/>
    </row>
    <row r="5" spans="2:17">
      <c r="B5" s="192" t="s">
        <v>68</v>
      </c>
      <c r="C5" s="194"/>
      <c r="D5" s="135"/>
      <c r="E5" s="141">
        <f>MIN('Element Concentration'!D4:D503)</f>
        <v>488</v>
      </c>
      <c r="F5" s="134"/>
      <c r="G5" s="192" t="s">
        <v>68</v>
      </c>
      <c r="H5" s="194"/>
      <c r="I5" s="139">
        <f>Element_Control!E5</f>
        <v>488</v>
      </c>
      <c r="J5" s="134"/>
      <c r="K5" s="192" t="s">
        <v>68</v>
      </c>
      <c r="L5" s="194"/>
      <c r="M5" s="137">
        <f>IF(ISERROR(Element_Control!I5),"",IF(Element_Control!I5=0,"",Element_Control!I5))</f>
        <v>488</v>
      </c>
      <c r="N5" s="134"/>
      <c r="O5" s="134"/>
      <c r="P5" s="134"/>
      <c r="Q5" s="134"/>
    </row>
    <row r="6" spans="2:17">
      <c r="B6" s="192" t="s">
        <v>55</v>
      </c>
      <c r="C6" s="194"/>
      <c r="D6" s="135"/>
      <c r="E6" s="141">
        <f>E4-E5</f>
        <v>164</v>
      </c>
      <c r="F6" s="134"/>
      <c r="G6" s="192" t="s">
        <v>55</v>
      </c>
      <c r="H6" s="194"/>
      <c r="I6" s="139">
        <f>Element_Control!E6</f>
        <v>164</v>
      </c>
      <c r="J6" s="134"/>
      <c r="K6" s="192" t="s">
        <v>55</v>
      </c>
      <c r="L6" s="194"/>
      <c r="M6" s="137">
        <f>IF(ISERROR(Element_Control!I6),"",IF(Element_Control!I6=0,"",Element_Control!I6))</f>
        <v>164</v>
      </c>
      <c r="N6" s="134"/>
      <c r="O6" s="134"/>
      <c r="P6" s="134"/>
      <c r="Q6" s="134"/>
    </row>
    <row r="7" spans="2:17">
      <c r="B7" s="192" t="s">
        <v>53</v>
      </c>
      <c r="C7" s="194"/>
      <c r="D7" s="135"/>
      <c r="E7" s="141">
        <f>IF(E3=0,0,E4/E5)</f>
        <v>1.3360655737704918</v>
      </c>
      <c r="F7" s="134"/>
      <c r="G7" s="192" t="s">
        <v>53</v>
      </c>
      <c r="H7" s="194"/>
      <c r="I7" s="139">
        <f>Element_Control!E7</f>
        <v>1.3360655737704918</v>
      </c>
      <c r="J7" s="134"/>
      <c r="K7" s="192" t="s">
        <v>53</v>
      </c>
      <c r="L7" s="194"/>
      <c r="M7" s="137">
        <f>IF(ISERROR(Element_Control!I7),"",IF(Element_Control!I7=0,"",Element_Control!I7))</f>
        <v>1.3360655737704918</v>
      </c>
      <c r="N7" s="134"/>
      <c r="O7" s="134"/>
      <c r="P7" s="134"/>
      <c r="Q7" s="134"/>
    </row>
    <row r="8" spans="2:17">
      <c r="B8" s="192" t="s">
        <v>52</v>
      </c>
      <c r="C8" s="194"/>
      <c r="D8" s="135"/>
      <c r="E8" s="141">
        <f>IF(E3=0,0,AVERAGE('Element Concentration'!D4:D503))</f>
        <v>553.18571428571431</v>
      </c>
      <c r="F8" s="134"/>
      <c r="G8" s="192" t="s">
        <v>52</v>
      </c>
      <c r="H8" s="194"/>
      <c r="I8" s="139">
        <f>Element_Control!E8</f>
        <v>553.18571428571431</v>
      </c>
      <c r="J8" s="134"/>
      <c r="K8" s="192" t="s">
        <v>52</v>
      </c>
      <c r="L8" s="194"/>
      <c r="M8" s="137">
        <f>IF(ISERROR(Element_Control!I8),"",IF(Element_Control!I8=0,"",Element_Control!I8))</f>
        <v>553.18571428571431</v>
      </c>
      <c r="N8" s="134"/>
      <c r="O8" s="192" t="s">
        <v>52</v>
      </c>
      <c r="P8" s="194"/>
      <c r="Q8" s="139">
        <f>Element_Control!M8</f>
        <v>553.18571428571431</v>
      </c>
    </row>
    <row r="9" spans="2:17">
      <c r="B9" s="192" t="s">
        <v>50</v>
      </c>
      <c r="C9" s="192"/>
      <c r="D9" s="135"/>
      <c r="E9" s="141">
        <f>IF(E5&lt;0,NA(),IF(E3=0,0,GEOMEAN('Element Concentration'!D4:D503)))</f>
        <v>550.60853363104707</v>
      </c>
      <c r="F9" s="134"/>
      <c r="G9" s="192" t="s">
        <v>50</v>
      </c>
      <c r="H9" s="192"/>
      <c r="I9" s="139">
        <f>Element_Control!E9</f>
        <v>550.60853363104707</v>
      </c>
      <c r="J9" s="134"/>
      <c r="K9" s="192" t="s">
        <v>50</v>
      </c>
      <c r="L9" s="192"/>
      <c r="M9" s="137">
        <f>IF(ISERROR(Element_Control!I9),"",IF(Element_Control!I9=0,"",Element_Control!I9))</f>
        <v>550.60853363104707</v>
      </c>
      <c r="N9" s="134"/>
      <c r="O9" s="192" t="s">
        <v>50</v>
      </c>
      <c r="P9" s="192"/>
      <c r="Q9" s="139">
        <f>Element_Control!M9</f>
        <v>550.60853363104707</v>
      </c>
    </row>
    <row r="10" spans="2:17">
      <c r="B10" s="192" t="s">
        <v>49</v>
      </c>
      <c r="C10" s="192"/>
      <c r="D10" s="135"/>
      <c r="E10" s="141">
        <f>IF(E5&lt;0,NA(),IF(E3=0,0,HARMEAN('Element Concentration'!D4:D503)))</f>
        <v>548.09149478143877</v>
      </c>
      <c r="F10" s="134"/>
      <c r="G10" s="192" t="s">
        <v>49</v>
      </c>
      <c r="H10" s="192"/>
      <c r="I10" s="139">
        <f>Element_Control!E10</f>
        <v>548.09149478143877</v>
      </c>
      <c r="J10" s="134"/>
      <c r="K10" s="192" t="s">
        <v>49</v>
      </c>
      <c r="L10" s="192"/>
      <c r="M10" s="137">
        <f>IF(ISERROR(Element_Control!I10),"",IF(Element_Control!I10=0,"",Element_Control!I10))</f>
        <v>548.09149478143877</v>
      </c>
      <c r="N10" s="134"/>
      <c r="O10" s="192" t="s">
        <v>49</v>
      </c>
      <c r="P10" s="192"/>
      <c r="Q10" s="139">
        <f>Element_Control!M10</f>
        <v>548.09149478143877</v>
      </c>
    </row>
    <row r="11" spans="2:17">
      <c r="B11" s="192" t="s">
        <v>48</v>
      </c>
      <c r="C11" s="194"/>
      <c r="D11" s="135"/>
      <c r="E11" s="141">
        <f>IF(E3=0,0,AVEDEV('Element Concentration'!D4:D503))</f>
        <v>42.212244897959181</v>
      </c>
      <c r="F11" s="134"/>
      <c r="G11" s="192" t="s">
        <v>48</v>
      </c>
      <c r="H11" s="194"/>
      <c r="I11" s="139">
        <f>Element_Control!E11</f>
        <v>42.212244897959181</v>
      </c>
      <c r="J11" s="134"/>
      <c r="K11" s="192" t="s">
        <v>48</v>
      </c>
      <c r="L11" s="194"/>
      <c r="M11" s="137">
        <f>IF(ISERROR(Element_Control!I11),"",IF(Element_Control!I11=0,"",Element_Control!I11))</f>
        <v>42.212244897959181</v>
      </c>
      <c r="N11" s="134"/>
      <c r="O11" s="134"/>
      <c r="P11" s="134"/>
      <c r="Q11" s="134"/>
    </row>
    <row r="12" spans="2:17">
      <c r="B12" s="192" t="s">
        <v>47</v>
      </c>
      <c r="C12" s="194"/>
      <c r="D12" s="135"/>
      <c r="E12" s="141">
        <f>IF(E3=0,0,STDEV('Element Concentration'!D4:D503))</f>
        <v>58.302728025694428</v>
      </c>
      <c r="F12" s="134"/>
      <c r="G12" s="192" t="s">
        <v>47</v>
      </c>
      <c r="H12" s="194"/>
      <c r="I12" s="139">
        <f>Element_Control!E12</f>
        <v>58.302728025694428</v>
      </c>
      <c r="J12" s="134"/>
      <c r="K12" s="192" t="s">
        <v>47</v>
      </c>
      <c r="L12" s="194"/>
      <c r="M12" s="137">
        <f>IF(ISERROR(Element_Control!I12),"",IF(Element_Control!I12=0,"",Element_Control!I12))</f>
        <v>58.302728025694428</v>
      </c>
      <c r="N12" s="134"/>
      <c r="O12" s="134"/>
      <c r="P12" s="134"/>
      <c r="Q12" s="134"/>
    </row>
    <row r="13" spans="2:17">
      <c r="B13" s="192" t="s">
        <v>46</v>
      </c>
      <c r="C13" s="194"/>
      <c r="D13" s="135"/>
      <c r="E13" s="141">
        <f>IF(E3=0,0,E12/SQRT(E3))</f>
        <v>22.036359873231895</v>
      </c>
      <c r="F13" s="134"/>
      <c r="G13" s="192" t="s">
        <v>46</v>
      </c>
      <c r="H13" s="194"/>
      <c r="I13" s="139">
        <f>Element_Control!E13</f>
        <v>22.036359873231895</v>
      </c>
      <c r="J13" s="134"/>
      <c r="K13" s="192" t="s">
        <v>46</v>
      </c>
      <c r="L13" s="194"/>
      <c r="M13" s="137">
        <f>IF(ISERROR(Element_Control!I13),"",IF(Element_Control!I13=0,"",Element_Control!I13))</f>
        <v>22.036359873231895</v>
      </c>
      <c r="N13" s="134"/>
      <c r="O13" s="192" t="s">
        <v>46</v>
      </c>
      <c r="P13" s="194"/>
      <c r="Q13" s="142">
        <f>Element_Control!M13</f>
        <v>22.036359873231895</v>
      </c>
    </row>
    <row r="14" spans="2:17">
      <c r="B14" s="192" t="s">
        <v>45</v>
      </c>
      <c r="C14" s="194"/>
      <c r="D14" s="135"/>
      <c r="E14" s="141">
        <f>IF(E3=0,0,E12/E8)</f>
        <v>0.10539449324170673</v>
      </c>
      <c r="F14" s="134"/>
      <c r="G14" s="192" t="s">
        <v>39</v>
      </c>
      <c r="H14" s="194"/>
      <c r="I14" s="139">
        <f>Element_Control!E19</f>
        <v>3399.2080952380943</v>
      </c>
      <c r="J14" s="134"/>
      <c r="K14" s="192" t="s">
        <v>39</v>
      </c>
      <c r="L14" s="194"/>
      <c r="M14" s="137">
        <f>IF(ISERROR(Element_Control!I14),"",IF(Element_Control!I14=0,"",Element_Control!I14))</f>
        <v>3399.2080952380943</v>
      </c>
      <c r="N14" s="134"/>
      <c r="O14" s="192" t="s">
        <v>39</v>
      </c>
      <c r="P14" s="196"/>
      <c r="Q14" s="142">
        <f>Element_Control!M14</f>
        <v>3399.2080952380943</v>
      </c>
    </row>
    <row r="15" spans="2:17">
      <c r="B15" s="138" t="s">
        <v>44</v>
      </c>
      <c r="C15" s="138"/>
      <c r="D15" s="135"/>
      <c r="E15" s="141">
        <f>IF(E3=0,0,E3-1)</f>
        <v>6</v>
      </c>
      <c r="F15" s="134"/>
      <c r="G15" s="192" t="s">
        <v>45</v>
      </c>
      <c r="H15" s="194"/>
      <c r="I15" s="139">
        <f>Element_Control!E14</f>
        <v>0.10539449324170673</v>
      </c>
      <c r="J15" s="134"/>
      <c r="K15" s="192" t="s">
        <v>45</v>
      </c>
      <c r="L15" s="194"/>
      <c r="M15" s="137">
        <f>IF(ISERROR(Element_Control!I15),"",IF(Element_Control!I15=0,"",Element_Control!I15))</f>
        <v>0.10539449324170673</v>
      </c>
      <c r="N15" s="134"/>
      <c r="O15" s="192" t="s">
        <v>45</v>
      </c>
      <c r="P15" s="194"/>
      <c r="Q15" s="142">
        <f>Element_Control!M15</f>
        <v>0.10539449324170673</v>
      </c>
    </row>
    <row r="16" spans="2:17">
      <c r="B16" s="138" t="s">
        <v>42</v>
      </c>
      <c r="C16" s="140"/>
      <c r="D16" s="135"/>
      <c r="E16" s="137">
        <f>IF(E3=0,0,E8/E13)</f>
        <v>25.103316403798729</v>
      </c>
      <c r="F16" s="134"/>
      <c r="G16" s="192" t="s">
        <v>44</v>
      </c>
      <c r="H16" s="192"/>
      <c r="I16" s="139">
        <f>Element_Control!E15</f>
        <v>6</v>
      </c>
      <c r="J16" s="134"/>
      <c r="K16" s="192" t="s">
        <v>44</v>
      </c>
      <c r="L16" s="192"/>
      <c r="M16" s="137">
        <f>IF(ISERROR(Element_Control!I16),"",IF(Element_Control!I16=0,"",Element_Control!I16))</f>
        <v>6</v>
      </c>
      <c r="N16" s="134"/>
      <c r="O16" s="192" t="s">
        <v>44</v>
      </c>
      <c r="P16" s="192"/>
      <c r="Q16" s="142">
        <f>Element_Control!M16</f>
        <v>6</v>
      </c>
    </row>
    <row r="17" spans="2:17">
      <c r="B17" s="138" t="s">
        <v>43</v>
      </c>
      <c r="C17" s="140"/>
      <c r="D17" s="135"/>
      <c r="E17" s="137">
        <f>IF(E3=0,0,E8-(TINV(Element_Control!$B$21,E15)*E13))</f>
        <v>499.26468415580774</v>
      </c>
      <c r="F17" s="134"/>
      <c r="G17" s="192" t="s">
        <v>42</v>
      </c>
      <c r="H17" s="194"/>
      <c r="I17" s="139">
        <f>Element_Control!E16</f>
        <v>25.103316403798729</v>
      </c>
      <c r="J17" s="134"/>
      <c r="K17" s="192" t="s">
        <v>42</v>
      </c>
      <c r="L17" s="194"/>
      <c r="M17" s="137">
        <f>IF(ISERROR(Element_Control!I17),"",IF(Element_Control!I17=0,"",Element_Control!I17))</f>
        <v>25.103316403798729</v>
      </c>
      <c r="N17" s="134"/>
      <c r="O17" s="192" t="s">
        <v>42</v>
      </c>
      <c r="P17" s="194"/>
      <c r="Q17" s="142">
        <f>Element_Control!M17</f>
        <v>25.103316403798729</v>
      </c>
    </row>
    <row r="18" spans="2:17">
      <c r="B18" s="138" t="s">
        <v>40</v>
      </c>
      <c r="C18" s="140"/>
      <c r="D18" s="135"/>
      <c r="E18" s="137">
        <f>IF(E3=0,0,E8+(TINV(Element_Control!$B$21,E15)*E13))</f>
        <v>607.10674441562082</v>
      </c>
      <c r="F18" s="134"/>
      <c r="G18" s="192" t="str">
        <f>Element_Control!F32</f>
        <v>Lower limit (0.95)</v>
      </c>
      <c r="H18" s="194"/>
      <c r="I18" s="139">
        <f>Element_Control!G29</f>
        <v>496.6875035011405</v>
      </c>
      <c r="J18" s="134"/>
      <c r="K18" s="192" t="str">
        <f>Element_Control!F32</f>
        <v>Lower limit (0.95)</v>
      </c>
      <c r="L18" s="194"/>
      <c r="M18" s="137">
        <f>IF(ISERROR(Element_Control!I18),"",IF(Element_Control!I18=0,"",Element_Control!I18))</f>
        <v>496.6875035011405</v>
      </c>
      <c r="N18" s="134"/>
      <c r="O18" s="134"/>
      <c r="P18" s="134"/>
      <c r="Q18" s="134"/>
    </row>
    <row r="19" spans="2:17">
      <c r="B19" s="192" t="s">
        <v>39</v>
      </c>
      <c r="C19" s="194"/>
      <c r="D19" s="135"/>
      <c r="E19" s="137">
        <f>IF(E3=0,0,VAR('Element Concentration'!D4:D503))</f>
        <v>3399.2080952380943</v>
      </c>
      <c r="F19" s="134"/>
      <c r="G19" s="192" t="str">
        <f>Element_Control!F33</f>
        <v>Upper limit (0.95)</v>
      </c>
      <c r="H19" s="194"/>
      <c r="I19" s="139">
        <f>Element_Control!G30</f>
        <v>604.52956376095358</v>
      </c>
      <c r="J19" s="134"/>
      <c r="K19" s="192" t="str">
        <f>Element_Control!F33</f>
        <v>Upper limit (0.95)</v>
      </c>
      <c r="L19" s="194"/>
      <c r="M19" s="137">
        <f>IF(ISERROR(Element_Control!I19),"",IF(Element_Control!I19=0,"",Element_Control!I19))</f>
        <v>604.52956376095358</v>
      </c>
      <c r="N19" s="134"/>
      <c r="O19" s="134"/>
      <c r="P19" s="134"/>
      <c r="Q19" s="134"/>
    </row>
    <row r="20" spans="2:17"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</row>
    <row r="21" spans="2:17">
      <c r="B21" s="143">
        <f>1-'Element Concentration'!J22</f>
        <v>5.0000000000000044E-2</v>
      </c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</row>
    <row r="22" spans="2:17">
      <c r="B22" s="135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</row>
    <row r="23" spans="2:17">
      <c r="B23" s="137">
        <f>IF(Element_Control!E3=0,0,Element_Control!E8-(TINV(Element_Control!$B$21,Element_Control!E15)*Element_Control!E13))</f>
        <v>499.26468415580774</v>
      </c>
      <c r="C23" s="144">
        <f>IF(Element_Control!E3=0,0,Element_Control!E9-(TINV(Element_Control!$B$21,Element_Control!E15)*Element_Control!E13))</f>
        <v>496.6875035011405</v>
      </c>
      <c r="D23" s="144">
        <f>IF(Element_Control!E3=0,0,Element_Control!E10-(TINV(Element_Control!$B$21,Element_Control!E15)*Element_Control!E13))</f>
        <v>494.1704646515322</v>
      </c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</row>
    <row r="24" spans="2:17">
      <c r="B24" s="137">
        <f>IF(Element_Control!E3=0,0,Element_Control!E8+(TINV(Element_Control!$B$21,Element_Control!E15)*Element_Control!E13))</f>
        <v>607.10674441562082</v>
      </c>
      <c r="C24" s="144">
        <f>IF(Element_Control!E3=0,0,Element_Control!E9+(TINV(Element_Control!$B$21,Element_Control!E15)*Element_Control!E13))</f>
        <v>604.52956376095358</v>
      </c>
      <c r="D24" s="144">
        <f>IF(Element_Control!E3=0,0,Element_Control!E10+(TINV(Element_Control!$B$21,Element_Control!E15)*Element_Control!E13))</f>
        <v>602.01252491134528</v>
      </c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</row>
    <row r="25" spans="2:17">
      <c r="B25" s="135"/>
      <c r="C25" s="144"/>
      <c r="D25" s="14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</row>
    <row r="26" spans="2:17">
      <c r="B26" s="137">
        <f>IF(Element_Control!E3=0,0,Element_Control!E8+(NORMSINV(Element_Control!$B$21/2))*(Element_Control!E12/SQRT(Element_Control!E3)))</f>
        <v>509.99524258381621</v>
      </c>
      <c r="C26" s="144">
        <f>IF(Element_Control!E3=0,0,Element_Control!E9+(NORMSINV(Element_Control!$B$21/2))*(Element_Control!E12/SQRT(Element_Control!E3)))</f>
        <v>507.41806192914896</v>
      </c>
      <c r="D26" s="144">
        <f>IF(Element_Control!E3=0,0,Element_Control!E10+(NORMSINV(Element_Control!$B$21/2))*(Element_Control!E12/SQRT(Element_Control!E3)))</f>
        <v>504.90102307954066</v>
      </c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</row>
    <row r="27" spans="2:17">
      <c r="B27" s="137">
        <f>IF(Element_Control!E3=0,0,Element_Control!E8-(NORMSINV(Element_Control!$B$21/2))*(Element_Control!E12/SQRT(Element_Control!E3)))</f>
        <v>596.37618598761242</v>
      </c>
      <c r="C27" s="144">
        <f>IF(Element_Control!E3=0,0,Element_Control!E9-(NORMSINV(Element_Control!$B$21/2))*(Element_Control!E12/SQRT(Element_Control!E3)))</f>
        <v>593.79900533294517</v>
      </c>
      <c r="D27" s="144">
        <f>IF(Element_Control!E3=0,0,Element_Control!E10-(NORMSINV(Element_Control!$B$21/2))*(Element_Control!E12/SQRT(Element_Control!E3)))</f>
        <v>591.28196648333687</v>
      </c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</row>
    <row r="28" spans="2:17">
      <c r="B28" s="135"/>
      <c r="C28" s="144"/>
      <c r="D28" s="144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</row>
    <row r="29" spans="2:17">
      <c r="B29" s="137">
        <f>IF(Element_Control!E3&gt;30,B26,B23)</f>
        <v>499.26468415580774</v>
      </c>
      <c r="C29" s="144">
        <f>IF(Element_Control!E3&gt;30,C26,C23)</f>
        <v>496.6875035011405</v>
      </c>
      <c r="D29" s="144">
        <f>IF(Element_Control!E3&gt;30,D26,D23)</f>
        <v>494.1704646515322</v>
      </c>
      <c r="E29" s="134"/>
      <c r="F29" s="134">
        <v>2</v>
      </c>
      <c r="G29" s="144">
        <f>IF(F29=1,B29,IF(F29=2,C29,IF(F29=3,D29)))</f>
        <v>496.6875035011405</v>
      </c>
      <c r="H29" s="134"/>
      <c r="I29" s="134"/>
      <c r="J29" s="134"/>
      <c r="K29" s="134"/>
      <c r="L29" s="134"/>
      <c r="M29" s="134"/>
      <c r="N29" s="134"/>
      <c r="O29" s="134"/>
      <c r="P29" s="134"/>
      <c r="Q29" s="134"/>
    </row>
    <row r="30" spans="2:17">
      <c r="B30" s="137">
        <f>IF(Element_Control!E3&gt;30,B27,B24)</f>
        <v>607.10674441562082</v>
      </c>
      <c r="C30" s="144">
        <f>IF(Element_Control!E3&gt;30,C27,C24)</f>
        <v>604.52956376095358</v>
      </c>
      <c r="D30" s="144">
        <f>IF(Element_Control!E3&gt;30,D27,D24)</f>
        <v>602.01252491134528</v>
      </c>
      <c r="E30" s="134"/>
      <c r="F30" s="134"/>
      <c r="G30" s="144">
        <f>IF(F29=1,B30,IF(F29=2,C30,IF(F29=3,D30)))</f>
        <v>604.52956376095358</v>
      </c>
      <c r="H30" s="134"/>
      <c r="I30" s="134"/>
      <c r="J30" s="134"/>
      <c r="K30" s="134"/>
      <c r="L30" s="134"/>
      <c r="M30" s="134"/>
      <c r="N30" s="134"/>
      <c r="O30" s="134"/>
      <c r="P30" s="134"/>
      <c r="Q30" s="134"/>
    </row>
    <row r="31" spans="2:17"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/>
      <c r="O31" s="134"/>
      <c r="P31" s="134"/>
      <c r="Q31" s="134"/>
    </row>
    <row r="32" spans="2:17">
      <c r="B32" s="145" t="s">
        <v>38</v>
      </c>
      <c r="C32" s="146" t="s">
        <v>36</v>
      </c>
      <c r="D32" s="137">
        <f>'Element Concentration'!J22</f>
        <v>0.95</v>
      </c>
      <c r="E32" s="135" t="s">
        <v>35</v>
      </c>
      <c r="F32" s="135" t="str">
        <f>CONCATENATE(B32,C32,D32,E32)</f>
        <v>Lower limit (0.95)</v>
      </c>
      <c r="G32" s="135"/>
      <c r="H32" s="134"/>
      <c r="I32" s="134"/>
      <c r="J32" s="134"/>
      <c r="K32" s="134"/>
      <c r="L32" s="134"/>
      <c r="M32" s="134"/>
      <c r="N32" s="134"/>
      <c r="O32" s="134"/>
      <c r="P32" s="134"/>
      <c r="Q32" s="134"/>
    </row>
    <row r="33" spans="2:17">
      <c r="B33" s="145" t="s">
        <v>37</v>
      </c>
      <c r="C33" s="146" t="s">
        <v>36</v>
      </c>
      <c r="D33" s="137">
        <f>'Element Concentration'!J22</f>
        <v>0.95</v>
      </c>
      <c r="E33" s="135" t="s">
        <v>35</v>
      </c>
      <c r="F33" s="135" t="str">
        <f>CONCATENATE(B33,C33,D33,E33)</f>
        <v>Upper limit (0.95)</v>
      </c>
      <c r="G33" s="135"/>
      <c r="H33" s="134"/>
      <c r="I33" s="134"/>
      <c r="J33" s="134"/>
      <c r="K33" s="134"/>
      <c r="L33" s="134"/>
      <c r="M33" s="134"/>
      <c r="N33" s="134"/>
      <c r="O33" s="134"/>
      <c r="P33" s="134"/>
      <c r="Q33" s="134"/>
    </row>
  </sheetData>
  <mergeCells count="57">
    <mergeCell ref="B10:C10"/>
    <mergeCell ref="K19:L19"/>
    <mergeCell ref="G13:H13"/>
    <mergeCell ref="G14:H14"/>
    <mergeCell ref="G15:H15"/>
    <mergeCell ref="G16:H16"/>
    <mergeCell ref="B11:C11"/>
    <mergeCell ref="K10:L10"/>
    <mergeCell ref="B12:C12"/>
    <mergeCell ref="B13:C13"/>
    <mergeCell ref="B14:C14"/>
    <mergeCell ref="O16:P16"/>
    <mergeCell ref="O15:P15"/>
    <mergeCell ref="G19:H19"/>
    <mergeCell ref="O17:P17"/>
    <mergeCell ref="B19:C19"/>
    <mergeCell ref="K15:L15"/>
    <mergeCell ref="K16:L16"/>
    <mergeCell ref="K18:L18"/>
    <mergeCell ref="K17:L17"/>
    <mergeCell ref="O10:P10"/>
    <mergeCell ref="O14:P14"/>
    <mergeCell ref="O13:P13"/>
    <mergeCell ref="G9:H9"/>
    <mergeCell ref="G10:H10"/>
    <mergeCell ref="G11:H11"/>
    <mergeCell ref="G12:H12"/>
    <mergeCell ref="K11:L11"/>
    <mergeCell ref="K12:L12"/>
    <mergeCell ref="K13:L13"/>
    <mergeCell ref="K14:L14"/>
    <mergeCell ref="O9:P9"/>
    <mergeCell ref="K9:L9"/>
    <mergeCell ref="O8:P8"/>
    <mergeCell ref="G6:H6"/>
    <mergeCell ref="G7:H7"/>
    <mergeCell ref="G8:H8"/>
    <mergeCell ref="B6:C6"/>
    <mergeCell ref="K7:L7"/>
    <mergeCell ref="K8:L8"/>
    <mergeCell ref="B7:C7"/>
    <mergeCell ref="B8:C8"/>
    <mergeCell ref="G18:H18"/>
    <mergeCell ref="G17:H17"/>
    <mergeCell ref="K2:L2"/>
    <mergeCell ref="K3:L3"/>
    <mergeCell ref="K4:L4"/>
    <mergeCell ref="K5:L5"/>
    <mergeCell ref="K6:L6"/>
    <mergeCell ref="B9:C9"/>
    <mergeCell ref="B3:C3"/>
    <mergeCell ref="B4:C4"/>
    <mergeCell ref="G2:H2"/>
    <mergeCell ref="G3:H3"/>
    <mergeCell ref="G4:H4"/>
    <mergeCell ref="G5:H5"/>
    <mergeCell ref="B5:C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3714-027A-419C-BA70-0C4E7F72D552}">
  <sheetPr codeName="Sayfa8">
    <tabColor theme="0"/>
  </sheetPr>
  <dimension ref="B1:EV225"/>
  <sheetViews>
    <sheetView workbookViewId="0">
      <selection activeCell="T6" sqref="T6"/>
    </sheetView>
  </sheetViews>
  <sheetFormatPr defaultRowHeight="15"/>
  <cols>
    <col min="1" max="1" width="9.140625" customWidth="1"/>
  </cols>
  <sheetData>
    <row r="1" spans="2:152">
      <c r="B1">
        <v>1</v>
      </c>
    </row>
    <row r="2" spans="2:152">
      <c r="B2" s="1" t="s">
        <v>5</v>
      </c>
      <c r="C2" s="2">
        <f>'R-AFC ISOTOPE'!L7</f>
        <v>1070</v>
      </c>
      <c r="E2" s="30">
        <f>'R-AFC ISOTOPE_CONTROL'!E9</f>
        <v>2.2799999999999998</v>
      </c>
      <c r="F2">
        <v>0</v>
      </c>
      <c r="H2" s="30">
        <f>'R-AFC ISOTOPE_CONTROL'!E6</f>
        <v>0.17</v>
      </c>
      <c r="I2">
        <v>0</v>
      </c>
      <c r="K2">
        <f>C10*E2</f>
        <v>0.3876</v>
      </c>
    </row>
    <row r="3" spans="2:152">
      <c r="B3" s="1" t="s">
        <v>11</v>
      </c>
      <c r="C3" s="2">
        <f>'R-AFC ISOTOPE'!L8</f>
        <v>0.70573799999999998</v>
      </c>
      <c r="E3" s="30">
        <f>'R-AFC ISOTOPE_CONTROL'!E9</f>
        <v>2.2799999999999998</v>
      </c>
      <c r="F3">
        <v>1</v>
      </c>
      <c r="H3" s="30">
        <f>'R-AFC ISOTOPE_CONTROL'!E6</f>
        <v>0.17</v>
      </c>
      <c r="I3">
        <v>1</v>
      </c>
    </row>
    <row r="4" spans="2:152">
      <c r="B4" s="4"/>
      <c r="C4" s="5"/>
    </row>
    <row r="5" spans="2:152">
      <c r="B5" s="1" t="s">
        <v>6</v>
      </c>
      <c r="C5" s="2">
        <f>'R-AFC ISOTOPE'!L10</f>
        <v>28.3</v>
      </c>
      <c r="E5">
        <v>17</v>
      </c>
    </row>
    <row r="6" spans="2:152">
      <c r="B6" s="1" t="s">
        <v>12</v>
      </c>
      <c r="C6" s="2">
        <f>'R-AFC ISOTOPE'!L11</f>
        <v>0.73182000000000003</v>
      </c>
      <c r="E6" s="30">
        <f>E5/100</f>
        <v>0.17</v>
      </c>
      <c r="F6" t="s">
        <v>0</v>
      </c>
      <c r="CC6" s="76"/>
    </row>
    <row r="7" spans="2:152">
      <c r="B7" s="6" t="s">
        <v>1</v>
      </c>
      <c r="C7" s="7"/>
      <c r="J7">
        <v>0</v>
      </c>
      <c r="K7">
        <v>6</v>
      </c>
      <c r="S7" s="77"/>
      <c r="T7" s="78"/>
      <c r="AH7" s="77"/>
      <c r="AI7" s="78"/>
      <c r="AW7" s="77"/>
      <c r="AX7" s="78"/>
      <c r="BL7" s="77"/>
      <c r="BM7" s="78"/>
      <c r="CA7" s="77"/>
      <c r="CB7" s="78"/>
      <c r="CP7" s="77"/>
      <c r="CQ7" s="78"/>
      <c r="DE7" s="77"/>
      <c r="DF7" s="78"/>
      <c r="DT7" s="77"/>
      <c r="DU7" s="78"/>
      <c r="EI7" s="77"/>
      <c r="EJ7" s="78"/>
    </row>
    <row r="8" spans="2:152">
      <c r="B8" s="21" t="s">
        <v>1</v>
      </c>
      <c r="C8" s="22">
        <f>'R-AFC ISOTOPE'!L20</f>
        <v>2</v>
      </c>
      <c r="E8">
        <v>33</v>
      </c>
      <c r="I8">
        <v>46</v>
      </c>
      <c r="J8">
        <f>I9</f>
        <v>0.17643023465472413</v>
      </c>
      <c r="K8">
        <f>J8</f>
        <v>0.17643023465472413</v>
      </c>
      <c r="T8" s="30"/>
      <c r="AI8" s="30"/>
      <c r="AX8" s="30"/>
      <c r="BM8" s="30"/>
      <c r="CB8" s="30"/>
      <c r="CQ8" s="30"/>
      <c r="DF8" s="30"/>
      <c r="DU8" s="30"/>
      <c r="EJ8" s="30"/>
    </row>
    <row r="9" spans="2:152">
      <c r="B9" s="25" t="s">
        <v>8</v>
      </c>
      <c r="C9" s="26">
        <f>C10-0.000001</f>
        <v>0.16999900000000001</v>
      </c>
      <c r="E9" s="30">
        <f>Q10</f>
        <v>2.2799999999999998</v>
      </c>
      <c r="F9" t="s">
        <v>16</v>
      </c>
      <c r="I9" s="70">
        <f>P123</f>
        <v>0.17643023465472413</v>
      </c>
      <c r="J9">
        <v>0</v>
      </c>
      <c r="K9">
        <v>1</v>
      </c>
      <c r="S9" s="79"/>
      <c r="T9" s="78"/>
      <c r="AH9" s="79"/>
      <c r="AI9" s="78"/>
      <c r="AW9" s="79"/>
      <c r="AX9" s="78"/>
      <c r="BL9" s="79"/>
      <c r="BM9" s="78"/>
      <c r="CA9" s="79"/>
      <c r="CB9" s="78"/>
      <c r="CP9" s="79"/>
      <c r="CQ9" s="78"/>
      <c r="DE9" s="79"/>
      <c r="DF9" s="78"/>
      <c r="DT9" s="79"/>
      <c r="DU9" s="78"/>
      <c r="EI9" s="79"/>
      <c r="EJ9" s="78"/>
    </row>
    <row r="10" spans="2:152">
      <c r="B10" s="23" t="s">
        <v>0</v>
      </c>
      <c r="C10" s="29">
        <f>'R-AFC ISOTOPE_CONTROL'!E6</f>
        <v>0.17</v>
      </c>
      <c r="E10" s="49">
        <f>'R-AFC ISOTOPE_CONTROL'!K2</f>
        <v>0.3876</v>
      </c>
      <c r="F10" t="s">
        <v>17</v>
      </c>
      <c r="P10" s="70">
        <f>MAX(P13:P112)</f>
        <v>0.17643036545452701</v>
      </c>
      <c r="Q10" s="70">
        <f>SUM(Q13:Q112)</f>
        <v>2.2799999999999998</v>
      </c>
      <c r="S10" s="80"/>
      <c r="T10" s="81"/>
      <c r="AH10" s="80"/>
      <c r="AI10" s="81"/>
      <c r="AW10" s="80"/>
      <c r="AX10" s="81"/>
      <c r="BL10" s="80"/>
      <c r="BM10" s="81"/>
      <c r="CA10" s="80"/>
      <c r="CB10" s="81"/>
      <c r="CP10" s="80"/>
      <c r="CQ10" s="81"/>
      <c r="DE10" s="80"/>
      <c r="DF10" s="81"/>
      <c r="DT10" s="80"/>
      <c r="DU10" s="81"/>
      <c r="EI10" s="80"/>
      <c r="EJ10" s="81"/>
    </row>
    <row r="12" spans="2:152">
      <c r="B12" s="12" t="s">
        <v>0</v>
      </c>
      <c r="C12" s="12" t="s">
        <v>8</v>
      </c>
      <c r="D12" s="14" t="s">
        <v>14</v>
      </c>
      <c r="E12" s="13" t="s">
        <v>13</v>
      </c>
      <c r="F12" s="20"/>
      <c r="G12" s="20"/>
      <c r="H12" s="20"/>
      <c r="I12" s="20"/>
      <c r="J12" s="20"/>
      <c r="K12" s="20"/>
      <c r="L12" s="15" t="s">
        <v>9</v>
      </c>
      <c r="M12" s="15" t="s">
        <v>3</v>
      </c>
      <c r="N12" s="15" t="s">
        <v>3</v>
      </c>
      <c r="O12" s="15" t="s">
        <v>3</v>
      </c>
      <c r="P12" s="15"/>
      <c r="Q12" s="15"/>
      <c r="U12" s="82"/>
      <c r="V12" s="83"/>
      <c r="W12" s="83"/>
      <c r="X12" s="83"/>
      <c r="Y12" s="83"/>
      <c r="Z12" s="83"/>
      <c r="AA12" s="83"/>
      <c r="AB12" s="83"/>
      <c r="AC12" s="72"/>
      <c r="AD12" s="72"/>
      <c r="AE12" s="72"/>
      <c r="AF12" s="72"/>
      <c r="AJ12" s="82"/>
      <c r="AK12" s="83"/>
      <c r="AL12" s="83"/>
      <c r="AM12" s="83"/>
      <c r="AN12" s="83"/>
      <c r="AO12" s="83"/>
      <c r="AP12" s="83"/>
      <c r="AQ12" s="83"/>
      <c r="AR12" s="72"/>
      <c r="AS12" s="72"/>
      <c r="AT12" s="72"/>
      <c r="AU12" s="72"/>
      <c r="AY12" s="82"/>
      <c r="AZ12" s="83"/>
      <c r="BA12" s="83"/>
      <c r="BB12" s="83"/>
      <c r="BC12" s="83"/>
      <c r="BD12" s="83"/>
      <c r="BE12" s="83"/>
      <c r="BF12" s="83"/>
      <c r="BG12" s="72"/>
      <c r="BH12" s="72"/>
      <c r="BI12" s="72"/>
      <c r="BJ12" s="72"/>
      <c r="BN12" s="82"/>
      <c r="BO12" s="83"/>
      <c r="BP12" s="83"/>
      <c r="BQ12" s="83"/>
      <c r="BR12" s="83"/>
      <c r="BS12" s="83"/>
      <c r="BT12" s="83"/>
      <c r="BU12" s="83"/>
      <c r="BV12" s="72"/>
      <c r="BW12" s="72"/>
      <c r="BX12" s="72"/>
      <c r="BY12" s="72"/>
      <c r="CC12" s="82"/>
      <c r="CD12" s="83"/>
      <c r="CE12" s="83"/>
      <c r="CF12" s="83"/>
      <c r="CG12" s="83"/>
      <c r="CH12" s="83"/>
      <c r="CI12" s="83"/>
      <c r="CJ12" s="83"/>
      <c r="CK12" s="72"/>
      <c r="CL12" s="72"/>
      <c r="CM12" s="72"/>
      <c r="CN12" s="72"/>
      <c r="CR12" s="82"/>
      <c r="CS12" s="83"/>
      <c r="CT12" s="83"/>
      <c r="CU12" s="83"/>
      <c r="CV12" s="83"/>
      <c r="CW12" s="83"/>
      <c r="CX12" s="83"/>
      <c r="CY12" s="83"/>
      <c r="CZ12" s="72"/>
      <c r="DA12" s="72"/>
      <c r="DB12" s="72"/>
      <c r="DC12" s="72"/>
      <c r="DG12" s="82"/>
      <c r="DH12" s="83"/>
      <c r="DI12" s="83"/>
      <c r="DJ12" s="83"/>
      <c r="DK12" s="83"/>
      <c r="DL12" s="83"/>
      <c r="DM12" s="83"/>
      <c r="DN12" s="83"/>
      <c r="DO12" s="72"/>
      <c r="DP12" s="72"/>
      <c r="DQ12" s="72"/>
      <c r="DR12" s="72"/>
      <c r="DV12" s="82"/>
      <c r="DW12" s="83"/>
      <c r="DX12" s="83"/>
      <c r="DY12" s="83"/>
      <c r="DZ12" s="83"/>
      <c r="EA12" s="83"/>
      <c r="EB12" s="83"/>
      <c r="EC12" s="83"/>
      <c r="ED12" s="72"/>
      <c r="EE12" s="72"/>
      <c r="EF12" s="72"/>
      <c r="EG12" s="72"/>
      <c r="EK12" s="82"/>
      <c r="EL12" s="83"/>
      <c r="EM12" s="83"/>
      <c r="EN12" s="83"/>
      <c r="EO12" s="83"/>
      <c r="EP12" s="83"/>
      <c r="EQ12" s="83"/>
      <c r="ER12" s="83"/>
      <c r="ES12" s="72"/>
      <c r="ET12" s="72"/>
      <c r="EU12" s="72"/>
      <c r="EV12" s="72"/>
    </row>
    <row r="13" spans="2:152">
      <c r="B13" s="11">
        <f>$C$10</f>
        <v>0.17</v>
      </c>
      <c r="C13" s="28">
        <v>0</v>
      </c>
      <c r="D13" s="19">
        <f>'R-AFC ISOTOPE'!L18</f>
        <v>0.70603028645675137</v>
      </c>
      <c r="E13" s="2">
        <f>'R-AFC ISOTOPE'!L13</f>
        <v>1070</v>
      </c>
      <c r="F13" s="27">
        <f>(((1+C13)*B13)/(((1+C13)*B13)-1))</f>
        <v>-0.20481927710843376</v>
      </c>
      <c r="G13" s="27">
        <f>(($C$2*($C$3-$D$13)*((1+C13)*B13+$C$8-1)))</f>
        <v>-0.36591341520706439</v>
      </c>
      <c r="H13" s="27">
        <f>B13*(($C$5*($D$13-$C$6)-((C13*$E$13*($D$15-$D$13)))))</f>
        <v>-0.12407431185656931</v>
      </c>
      <c r="I13" s="27">
        <f>(G13/H13)+1</f>
        <v>3.9491472467730677</v>
      </c>
      <c r="J13" s="27">
        <f>((C13+1)*B13-1)/((C13+1)*B13+$C$8-1)</f>
        <v>-0.70940170940170943</v>
      </c>
      <c r="K13" s="27">
        <f>I13^J13</f>
        <v>0.37743269678591918</v>
      </c>
      <c r="L13" s="27">
        <f>(K13-1)*F13</f>
        <v>0.12751378499565513</v>
      </c>
      <c r="M13" s="17">
        <f>L13/(C13*(1+L13)+1)</f>
        <v>0.12751378499565513</v>
      </c>
      <c r="N13" s="17">
        <f>IFERROR(M13,NA())</f>
        <v>0.12751378499565513</v>
      </c>
      <c r="O13" s="17">
        <f>IF(I13&lt;0,NA(),IF($C$2=0,NA(),IF(N13&lt;0,NA(),IF(ISERROR(N13),NA(),N13))))</f>
        <v>0.12751378499565513</v>
      </c>
      <c r="P13" s="17">
        <f t="shared" ref="P13:P44" si="0">IF(ISERROR(O13),0,IF(L13&lt;0,0,O13))</f>
        <v>0.12751378499565513</v>
      </c>
      <c r="Q13" s="17">
        <f>IF($P$10=P13,C13,0)</f>
        <v>0</v>
      </c>
      <c r="S13" s="81"/>
      <c r="T13" s="30"/>
      <c r="U13" s="84"/>
      <c r="W13" s="30"/>
      <c r="X13" s="30"/>
      <c r="Y13" s="30"/>
      <c r="Z13" s="30"/>
      <c r="AA13" s="30"/>
      <c r="AB13" s="30"/>
      <c r="AC13" s="30"/>
      <c r="AD13" s="85"/>
      <c r="AE13" s="85"/>
      <c r="AF13" s="85"/>
      <c r="AH13" s="81"/>
      <c r="AI13" s="30"/>
      <c r="AJ13" s="84"/>
      <c r="AL13" s="30"/>
      <c r="AM13" s="30"/>
      <c r="AN13" s="30"/>
      <c r="AO13" s="30"/>
      <c r="AP13" s="30"/>
      <c r="AQ13" s="30"/>
      <c r="AR13" s="30"/>
      <c r="AS13" s="85"/>
      <c r="AT13" s="85"/>
      <c r="AU13" s="85"/>
      <c r="AW13" s="81"/>
      <c r="AX13" s="30"/>
      <c r="AY13" s="84"/>
      <c r="BA13" s="30"/>
      <c r="BB13" s="30"/>
      <c r="BC13" s="30"/>
      <c r="BD13" s="30"/>
      <c r="BE13" s="30"/>
      <c r="BF13" s="30"/>
      <c r="BG13" s="30"/>
      <c r="BH13" s="85"/>
      <c r="BI13" s="85"/>
      <c r="BJ13" s="85"/>
      <c r="BL13" s="81"/>
      <c r="BM13" s="30"/>
      <c r="BN13" s="84"/>
      <c r="BP13" s="30"/>
      <c r="BQ13" s="30"/>
      <c r="BR13" s="30"/>
      <c r="BS13" s="30"/>
      <c r="BT13" s="30"/>
      <c r="BU13" s="30"/>
      <c r="BV13" s="30"/>
      <c r="BW13" s="85"/>
      <c r="BX13" s="85"/>
      <c r="BY13" s="85"/>
      <c r="CA13" s="81"/>
      <c r="CB13" s="30"/>
      <c r="CC13" s="84"/>
      <c r="CE13" s="30"/>
      <c r="CF13" s="30"/>
      <c r="CG13" s="30"/>
      <c r="CH13" s="30"/>
      <c r="CI13" s="30"/>
      <c r="CJ13" s="30"/>
      <c r="CK13" s="30"/>
      <c r="CL13" s="85"/>
      <c r="CM13" s="85"/>
      <c r="CN13" s="85"/>
      <c r="CP13" s="81"/>
      <c r="CQ13" s="30"/>
      <c r="CR13" s="84"/>
      <c r="CT13" s="30"/>
      <c r="CU13" s="30"/>
      <c r="CV13" s="30"/>
      <c r="CW13" s="30"/>
      <c r="CX13" s="30"/>
      <c r="CY13" s="30"/>
      <c r="CZ13" s="30"/>
      <c r="DA13" s="85"/>
      <c r="DB13" s="85"/>
      <c r="DC13" s="85"/>
      <c r="DE13" s="81"/>
      <c r="DF13" s="30"/>
      <c r="DG13" s="84"/>
      <c r="DI13" s="30"/>
      <c r="DJ13" s="30"/>
      <c r="DK13" s="30"/>
      <c r="DL13" s="30"/>
      <c r="DM13" s="30"/>
      <c r="DN13" s="30"/>
      <c r="DO13" s="30"/>
      <c r="DP13" s="85"/>
      <c r="DQ13" s="85"/>
      <c r="DR13" s="85"/>
      <c r="DT13" s="81"/>
      <c r="DU13" s="30"/>
      <c r="DV13" s="84"/>
      <c r="DX13" s="30"/>
      <c r="DY13" s="30"/>
      <c r="DZ13" s="30"/>
      <c r="EA13" s="30"/>
      <c r="EB13" s="30"/>
      <c r="EC13" s="30"/>
      <c r="ED13" s="30"/>
      <c r="EE13" s="85"/>
      <c r="EF13" s="85"/>
      <c r="EG13" s="85"/>
      <c r="EI13" s="81"/>
      <c r="EJ13" s="30"/>
      <c r="EK13" s="84"/>
      <c r="EM13" s="30"/>
      <c r="EN13" s="30"/>
      <c r="EO13" s="30"/>
      <c r="EP13" s="30"/>
      <c r="EQ13" s="30"/>
      <c r="ER13" s="30"/>
      <c r="ES13" s="30"/>
      <c r="ET13" s="85"/>
      <c r="EU13" s="85"/>
      <c r="EV13" s="85"/>
    </row>
    <row r="14" spans="2:152">
      <c r="B14" s="11">
        <f t="shared" ref="B14:B77" si="1">$C$10</f>
        <v>0.17</v>
      </c>
      <c r="C14" s="28">
        <v>0.12</v>
      </c>
      <c r="D14" s="14" t="s">
        <v>15</v>
      </c>
      <c r="E14" s="16"/>
      <c r="F14" s="27">
        <f t="shared" ref="F14:F77" si="2">(((1+C14)*B14)/(((1+C14)*B14)-1))</f>
        <v>-0.23517786561264828</v>
      </c>
      <c r="G14" s="27">
        <f t="shared" ref="G14:G77" si="3">(($C$2*($C$3-$D$13)*((1+C14)*B14+$C$8-1)))</f>
        <v>-0.37229344398503372</v>
      </c>
      <c r="H14" s="27">
        <f t="shared" ref="H14:H77" si="4">B14*(($C$5*($D$13-$C$6)-((C14*$E$13*($D$15-$D$13)))))</f>
        <v>-0.11769428307859998</v>
      </c>
      <c r="I14" s="27">
        <f t="shared" ref="I14:I77" si="5">(G14/H14)+1</f>
        <v>4.1632245360329385</v>
      </c>
      <c r="J14" s="27">
        <f t="shared" ref="J14:J77" si="6">((C14+1)*B14-1)/((C14+1)*B14+$C$8-1)</f>
        <v>-0.68010752688172049</v>
      </c>
      <c r="K14" s="27">
        <f t="shared" ref="K14:K77" si="7">I14^J14</f>
        <v>0.37907147683184939</v>
      </c>
      <c r="L14" s="27">
        <f t="shared" ref="L14:L77" si="8">(K14-1)*F14</f>
        <v>0.1460286447766995</v>
      </c>
      <c r="M14" s="17">
        <f t="shared" ref="M14:M77" si="9">L14/(C14*(1+L14)+1)</f>
        <v>0.12837418551472865</v>
      </c>
      <c r="N14" s="17">
        <f t="shared" ref="N14:N77" si="10">IFERROR(M14,NA())</f>
        <v>0.12837418551472865</v>
      </c>
      <c r="O14" s="17">
        <f t="shared" ref="O14:O77" si="11">IF(I14&lt;0,NA(),IF($C$2=0,NA(),IF(N14&lt;0,NA(),IF(ISERROR(N14),NA(),N14))))</f>
        <v>0.12837418551472865</v>
      </c>
      <c r="P14" s="17">
        <f t="shared" si="0"/>
        <v>0.12837418551472865</v>
      </c>
      <c r="Q14" s="17">
        <f t="shared" ref="Q14:Q44" si="12">IF($P$10=P14,C14,0)</f>
        <v>0</v>
      </c>
      <c r="S14" s="81"/>
      <c r="T14" s="30"/>
      <c r="U14" s="82"/>
      <c r="V14" s="30"/>
      <c r="W14" s="30"/>
      <c r="X14" s="30"/>
      <c r="Y14" s="30"/>
      <c r="Z14" s="30"/>
      <c r="AA14" s="30"/>
      <c r="AB14" s="30"/>
      <c r="AC14" s="30"/>
      <c r="AD14" s="85"/>
      <c r="AE14" s="85"/>
      <c r="AF14" s="85"/>
      <c r="AH14" s="81"/>
      <c r="AI14" s="30"/>
      <c r="AJ14" s="82"/>
      <c r="AK14" s="30"/>
      <c r="AL14" s="30"/>
      <c r="AM14" s="30"/>
      <c r="AN14" s="30"/>
      <c r="AO14" s="30"/>
      <c r="AP14" s="30"/>
      <c r="AQ14" s="30"/>
      <c r="AR14" s="30"/>
      <c r="AS14" s="85"/>
      <c r="AT14" s="85"/>
      <c r="AU14" s="85"/>
      <c r="AW14" s="81"/>
      <c r="AX14" s="30"/>
      <c r="AY14" s="82"/>
      <c r="AZ14" s="30"/>
      <c r="BA14" s="30"/>
      <c r="BB14" s="30"/>
      <c r="BC14" s="30"/>
      <c r="BD14" s="30"/>
      <c r="BE14" s="30"/>
      <c r="BF14" s="30"/>
      <c r="BG14" s="30"/>
      <c r="BH14" s="85"/>
      <c r="BI14" s="85"/>
      <c r="BJ14" s="85"/>
      <c r="BL14" s="81"/>
      <c r="BM14" s="30"/>
      <c r="BN14" s="82"/>
      <c r="BO14" s="30"/>
      <c r="BP14" s="30"/>
      <c r="BQ14" s="30"/>
      <c r="BR14" s="30"/>
      <c r="BS14" s="30"/>
      <c r="BT14" s="30"/>
      <c r="BU14" s="30"/>
      <c r="BV14" s="30"/>
      <c r="BW14" s="85"/>
      <c r="BX14" s="85"/>
      <c r="BY14" s="85"/>
      <c r="CA14" s="81"/>
      <c r="CB14" s="30"/>
      <c r="CC14" s="82"/>
      <c r="CD14" s="30"/>
      <c r="CE14" s="30"/>
      <c r="CF14" s="30"/>
      <c r="CG14" s="30"/>
      <c r="CH14" s="30"/>
      <c r="CI14" s="30"/>
      <c r="CJ14" s="30"/>
      <c r="CK14" s="30"/>
      <c r="CL14" s="85"/>
      <c r="CM14" s="85"/>
      <c r="CN14" s="85"/>
      <c r="CP14" s="81"/>
      <c r="CQ14" s="30"/>
      <c r="CR14" s="82"/>
      <c r="CS14" s="30"/>
      <c r="CT14" s="30"/>
      <c r="CU14" s="30"/>
      <c r="CV14" s="30"/>
      <c r="CW14" s="30"/>
      <c r="CX14" s="30"/>
      <c r="CY14" s="30"/>
      <c r="CZ14" s="30"/>
      <c r="DA14" s="85"/>
      <c r="DB14" s="85"/>
      <c r="DC14" s="85"/>
      <c r="DE14" s="81"/>
      <c r="DF14" s="30"/>
      <c r="DG14" s="82"/>
      <c r="DH14" s="30"/>
      <c r="DI14" s="30"/>
      <c r="DJ14" s="30"/>
      <c r="DK14" s="30"/>
      <c r="DL14" s="30"/>
      <c r="DM14" s="30"/>
      <c r="DN14" s="30"/>
      <c r="DO14" s="30"/>
      <c r="DP14" s="85"/>
      <c r="DQ14" s="85"/>
      <c r="DR14" s="85"/>
      <c r="DT14" s="81"/>
      <c r="DU14" s="30"/>
      <c r="DV14" s="82"/>
      <c r="DW14" s="30"/>
      <c r="DX14" s="30"/>
      <c r="DY14" s="30"/>
      <c r="DZ14" s="30"/>
      <c r="EA14" s="30"/>
      <c r="EB14" s="30"/>
      <c r="EC14" s="30"/>
      <c r="ED14" s="30"/>
      <c r="EE14" s="85"/>
      <c r="EF14" s="85"/>
      <c r="EG14" s="85"/>
      <c r="EI14" s="81"/>
      <c r="EJ14" s="30"/>
      <c r="EK14" s="82"/>
      <c r="EL14" s="30"/>
      <c r="EM14" s="30"/>
      <c r="EN14" s="30"/>
      <c r="EO14" s="30"/>
      <c r="EP14" s="30"/>
      <c r="EQ14" s="30"/>
      <c r="ER14" s="30"/>
      <c r="ES14" s="30"/>
      <c r="ET14" s="85"/>
      <c r="EU14" s="85"/>
      <c r="EV14" s="85"/>
    </row>
    <row r="15" spans="2:152">
      <c r="B15" s="11">
        <f t="shared" si="1"/>
        <v>0.17</v>
      </c>
      <c r="C15" s="28">
        <v>0.18</v>
      </c>
      <c r="D15" s="19">
        <f>'R-AFC ISOTOPE'!L14</f>
        <v>0.70573799999999998</v>
      </c>
      <c r="E15" s="16"/>
      <c r="F15" s="27">
        <f t="shared" si="2"/>
        <v>-0.25093820365273956</v>
      </c>
      <c r="G15" s="27">
        <f t="shared" si="3"/>
        <v>-0.37548345837401842</v>
      </c>
      <c r="H15" s="27">
        <f t="shared" si="4"/>
        <v>-0.11450426868961533</v>
      </c>
      <c r="I15" s="27">
        <f t="shared" si="5"/>
        <v>4.2792092615501929</v>
      </c>
      <c r="J15" s="27">
        <f t="shared" si="6"/>
        <v>-0.66583374979177068</v>
      </c>
      <c r="K15" s="27">
        <f t="shared" si="7"/>
        <v>0.37985413358773801</v>
      </c>
      <c r="L15" s="27">
        <f t="shared" si="8"/>
        <v>0.15561828972016481</v>
      </c>
      <c r="M15" s="17">
        <f t="shared" si="9"/>
        <v>0.12882188331472089</v>
      </c>
      <c r="N15" s="17">
        <f t="shared" si="10"/>
        <v>0.12882188331472089</v>
      </c>
      <c r="O15" s="17">
        <f t="shared" si="11"/>
        <v>0.12882188331472089</v>
      </c>
      <c r="P15" s="17">
        <f t="shared" si="0"/>
        <v>0.12882188331472089</v>
      </c>
      <c r="Q15" s="17">
        <f t="shared" si="12"/>
        <v>0</v>
      </c>
      <c r="S15" s="81"/>
      <c r="T15" s="30"/>
      <c r="U15" s="84"/>
      <c r="V15" s="30"/>
      <c r="W15" s="30"/>
      <c r="X15" s="30"/>
      <c r="Y15" s="30"/>
      <c r="Z15" s="30"/>
      <c r="AA15" s="30"/>
      <c r="AB15" s="30"/>
      <c r="AC15" s="30"/>
      <c r="AD15" s="85"/>
      <c r="AE15" s="85"/>
      <c r="AF15" s="85"/>
      <c r="AH15" s="81"/>
      <c r="AI15" s="30"/>
      <c r="AJ15" s="84"/>
      <c r="AK15" s="30"/>
      <c r="AL15" s="30"/>
      <c r="AM15" s="30"/>
      <c r="AN15" s="30"/>
      <c r="AO15" s="30"/>
      <c r="AP15" s="30"/>
      <c r="AQ15" s="30"/>
      <c r="AR15" s="30"/>
      <c r="AS15" s="85"/>
      <c r="AT15" s="85"/>
      <c r="AU15" s="85"/>
      <c r="AW15" s="81"/>
      <c r="AX15" s="30"/>
      <c r="AY15" s="84"/>
      <c r="AZ15" s="30"/>
      <c r="BA15" s="30"/>
      <c r="BB15" s="30"/>
      <c r="BC15" s="30"/>
      <c r="BD15" s="30"/>
      <c r="BE15" s="30"/>
      <c r="BF15" s="30"/>
      <c r="BG15" s="30"/>
      <c r="BH15" s="85"/>
      <c r="BI15" s="85"/>
      <c r="BJ15" s="85"/>
      <c r="BL15" s="81"/>
      <c r="BM15" s="30"/>
      <c r="BN15" s="84"/>
      <c r="BO15" s="30"/>
      <c r="BP15" s="30"/>
      <c r="BQ15" s="30"/>
      <c r="BR15" s="30"/>
      <c r="BS15" s="30"/>
      <c r="BT15" s="30"/>
      <c r="BU15" s="30"/>
      <c r="BV15" s="30"/>
      <c r="BW15" s="85"/>
      <c r="BX15" s="85"/>
      <c r="BY15" s="85"/>
      <c r="CA15" s="81"/>
      <c r="CB15" s="30"/>
      <c r="CC15" s="84"/>
      <c r="CD15" s="30"/>
      <c r="CE15" s="30"/>
      <c r="CF15" s="30"/>
      <c r="CG15" s="30"/>
      <c r="CH15" s="30"/>
      <c r="CI15" s="30"/>
      <c r="CJ15" s="30"/>
      <c r="CK15" s="30"/>
      <c r="CL15" s="85"/>
      <c r="CM15" s="85"/>
      <c r="CN15" s="85"/>
      <c r="CP15" s="81"/>
      <c r="CQ15" s="30"/>
      <c r="CR15" s="84"/>
      <c r="CS15" s="30"/>
      <c r="CT15" s="30"/>
      <c r="CU15" s="30"/>
      <c r="CV15" s="30"/>
      <c r="CW15" s="30"/>
      <c r="CX15" s="30"/>
      <c r="CY15" s="30"/>
      <c r="CZ15" s="30"/>
      <c r="DA15" s="85"/>
      <c r="DB15" s="85"/>
      <c r="DC15" s="85"/>
      <c r="DE15" s="81"/>
      <c r="DF15" s="30"/>
      <c r="DG15" s="84"/>
      <c r="DH15" s="30"/>
      <c r="DI15" s="30"/>
      <c r="DJ15" s="30"/>
      <c r="DK15" s="30"/>
      <c r="DL15" s="30"/>
      <c r="DM15" s="30"/>
      <c r="DN15" s="30"/>
      <c r="DO15" s="30"/>
      <c r="DP15" s="85"/>
      <c r="DQ15" s="85"/>
      <c r="DR15" s="85"/>
      <c r="DT15" s="81"/>
      <c r="DU15" s="30"/>
      <c r="DV15" s="84"/>
      <c r="DW15" s="30"/>
      <c r="DX15" s="30"/>
      <c r="DY15" s="30"/>
      <c r="DZ15" s="30"/>
      <c r="EA15" s="30"/>
      <c r="EB15" s="30"/>
      <c r="EC15" s="30"/>
      <c r="ED15" s="30"/>
      <c r="EE15" s="85"/>
      <c r="EF15" s="85"/>
      <c r="EG15" s="85"/>
      <c r="EI15" s="81"/>
      <c r="EJ15" s="30"/>
      <c r="EK15" s="84"/>
      <c r="EL15" s="30"/>
      <c r="EM15" s="30"/>
      <c r="EN15" s="30"/>
      <c r="EO15" s="30"/>
      <c r="EP15" s="30"/>
      <c r="EQ15" s="30"/>
      <c r="ER15" s="30"/>
      <c r="ES15" s="30"/>
      <c r="ET15" s="85"/>
      <c r="EU15" s="85"/>
      <c r="EV15" s="85"/>
    </row>
    <row r="16" spans="2:152">
      <c r="B16" s="11">
        <f t="shared" si="1"/>
        <v>0.17</v>
      </c>
      <c r="C16" s="28">
        <v>0.24</v>
      </c>
      <c r="D16" s="16"/>
      <c r="E16" s="8"/>
      <c r="F16" s="27">
        <f t="shared" si="2"/>
        <v>-0.26710593005575267</v>
      </c>
      <c r="G16" s="27">
        <f t="shared" si="3"/>
        <v>-0.37867347276300306</v>
      </c>
      <c r="H16" s="27">
        <f t="shared" si="4"/>
        <v>-0.11131425430063065</v>
      </c>
      <c r="I16" s="27">
        <f t="shared" si="5"/>
        <v>4.4018417060972723</v>
      </c>
      <c r="J16" s="27">
        <f t="shared" si="6"/>
        <v>-0.6518004625041296</v>
      </c>
      <c r="K16" s="27">
        <f t="shared" si="7"/>
        <v>0.38060876621019951</v>
      </c>
      <c r="L16" s="27">
        <f t="shared" si="8"/>
        <v>0.16544307156980478</v>
      </c>
      <c r="M16" s="17">
        <f t="shared" si="9"/>
        <v>0.12928206008169027</v>
      </c>
      <c r="N16" s="17">
        <f t="shared" si="10"/>
        <v>0.12928206008169027</v>
      </c>
      <c r="O16" s="17">
        <f t="shared" si="11"/>
        <v>0.12928206008169027</v>
      </c>
      <c r="P16" s="17">
        <f t="shared" si="0"/>
        <v>0.12928206008169027</v>
      </c>
      <c r="Q16" s="17">
        <f t="shared" si="12"/>
        <v>0</v>
      </c>
      <c r="S16" s="81"/>
      <c r="T16" s="30"/>
      <c r="U16" s="30"/>
      <c r="W16" s="30"/>
      <c r="X16" s="30"/>
      <c r="Y16" s="30"/>
      <c r="Z16" s="30"/>
      <c r="AA16" s="30"/>
      <c r="AB16" s="30"/>
      <c r="AC16" s="30"/>
      <c r="AD16" s="85"/>
      <c r="AE16" s="85"/>
      <c r="AF16" s="85"/>
      <c r="AH16" s="81"/>
      <c r="AI16" s="30"/>
      <c r="AJ16" s="30"/>
      <c r="AL16" s="30"/>
      <c r="AM16" s="30"/>
      <c r="AN16" s="30"/>
      <c r="AO16" s="30"/>
      <c r="AP16" s="30"/>
      <c r="AQ16" s="30"/>
      <c r="AR16" s="30"/>
      <c r="AS16" s="85"/>
      <c r="AT16" s="85"/>
      <c r="AU16" s="85"/>
      <c r="AW16" s="81"/>
      <c r="AX16" s="30"/>
      <c r="AY16" s="30"/>
      <c r="BA16" s="30"/>
      <c r="BB16" s="30"/>
      <c r="BC16" s="30"/>
      <c r="BD16" s="30"/>
      <c r="BE16" s="30"/>
      <c r="BF16" s="30"/>
      <c r="BG16" s="30"/>
      <c r="BH16" s="85"/>
      <c r="BI16" s="85"/>
      <c r="BJ16" s="85"/>
      <c r="BL16" s="81"/>
      <c r="BM16" s="30"/>
      <c r="BN16" s="30"/>
      <c r="BP16" s="30"/>
      <c r="BQ16" s="30"/>
      <c r="BR16" s="30"/>
      <c r="BS16" s="30"/>
      <c r="BT16" s="30"/>
      <c r="BU16" s="30"/>
      <c r="BV16" s="30"/>
      <c r="BW16" s="85"/>
      <c r="BX16" s="85"/>
      <c r="BY16" s="85"/>
      <c r="CA16" s="81"/>
      <c r="CB16" s="30"/>
      <c r="CC16" s="30"/>
      <c r="CE16" s="30"/>
      <c r="CF16" s="30"/>
      <c r="CG16" s="30"/>
      <c r="CH16" s="30"/>
      <c r="CI16" s="30"/>
      <c r="CJ16" s="30"/>
      <c r="CK16" s="30"/>
      <c r="CL16" s="85"/>
      <c r="CM16" s="85"/>
      <c r="CN16" s="85"/>
      <c r="CP16" s="81"/>
      <c r="CQ16" s="30"/>
      <c r="CR16" s="30"/>
      <c r="CT16" s="30"/>
      <c r="CU16" s="30"/>
      <c r="CV16" s="30"/>
      <c r="CW16" s="30"/>
      <c r="CX16" s="30"/>
      <c r="CY16" s="30"/>
      <c r="CZ16" s="30"/>
      <c r="DA16" s="85"/>
      <c r="DB16" s="85"/>
      <c r="DC16" s="85"/>
      <c r="DE16" s="81"/>
      <c r="DF16" s="30"/>
      <c r="DG16" s="30"/>
      <c r="DI16" s="30"/>
      <c r="DJ16" s="30"/>
      <c r="DK16" s="30"/>
      <c r="DL16" s="30"/>
      <c r="DM16" s="30"/>
      <c r="DN16" s="30"/>
      <c r="DO16" s="30"/>
      <c r="DP16" s="85"/>
      <c r="DQ16" s="85"/>
      <c r="DR16" s="85"/>
      <c r="DT16" s="81"/>
      <c r="DU16" s="30"/>
      <c r="DV16" s="30"/>
      <c r="DX16" s="30"/>
      <c r="DY16" s="30"/>
      <c r="DZ16" s="30"/>
      <c r="EA16" s="30"/>
      <c r="EB16" s="30"/>
      <c r="EC16" s="30"/>
      <c r="ED16" s="30"/>
      <c r="EE16" s="85"/>
      <c r="EF16" s="85"/>
      <c r="EG16" s="85"/>
      <c r="EI16" s="81"/>
      <c r="EJ16" s="30"/>
      <c r="EK16" s="30"/>
      <c r="EM16" s="30"/>
      <c r="EN16" s="30"/>
      <c r="EO16" s="30"/>
      <c r="EP16" s="30"/>
      <c r="EQ16" s="30"/>
      <c r="ER16" s="30"/>
      <c r="ES16" s="30"/>
      <c r="ET16" s="85"/>
      <c r="EU16" s="85"/>
      <c r="EV16" s="85"/>
    </row>
    <row r="17" spans="2:152">
      <c r="B17" s="11">
        <f t="shared" si="1"/>
        <v>0.17</v>
      </c>
      <c r="C17" s="28">
        <v>0.3</v>
      </c>
      <c r="D17" s="16"/>
      <c r="E17" s="8"/>
      <c r="F17" s="27">
        <f t="shared" si="2"/>
        <v>-0.28369704749679081</v>
      </c>
      <c r="G17" s="27">
        <f t="shared" si="3"/>
        <v>-0.38186348715198776</v>
      </c>
      <c r="H17" s="27">
        <f t="shared" si="4"/>
        <v>-0.10812423991164599</v>
      </c>
      <c r="I17" s="27">
        <f t="shared" si="5"/>
        <v>4.5317102572376786</v>
      </c>
      <c r="J17" s="27">
        <f t="shared" si="6"/>
        <v>-0.63800163800163789</v>
      </c>
      <c r="K17" s="27">
        <f t="shared" si="7"/>
        <v>0.38133237920840957</v>
      </c>
      <c r="L17" s="27">
        <f t="shared" si="8"/>
        <v>0.1755141774004384</v>
      </c>
      <c r="M17" s="17">
        <f t="shared" si="9"/>
        <v>0.1297553879586073</v>
      </c>
      <c r="N17" s="17">
        <f t="shared" si="10"/>
        <v>0.1297553879586073</v>
      </c>
      <c r="O17" s="17">
        <f t="shared" si="11"/>
        <v>0.1297553879586073</v>
      </c>
      <c r="P17" s="17">
        <f t="shared" si="0"/>
        <v>0.1297553879586073</v>
      </c>
      <c r="Q17" s="17">
        <f t="shared" si="12"/>
        <v>0</v>
      </c>
      <c r="S17" s="81"/>
      <c r="T17" s="30"/>
      <c r="U17" s="30"/>
      <c r="W17" s="30"/>
      <c r="X17" s="30"/>
      <c r="Y17" s="30"/>
      <c r="Z17" s="30"/>
      <c r="AA17" s="30"/>
      <c r="AB17" s="30"/>
      <c r="AC17" s="30"/>
      <c r="AD17" s="85"/>
      <c r="AE17" s="85"/>
      <c r="AF17" s="85"/>
      <c r="AH17" s="81"/>
      <c r="AI17" s="30"/>
      <c r="AJ17" s="30"/>
      <c r="AL17" s="30"/>
      <c r="AM17" s="30"/>
      <c r="AN17" s="30"/>
      <c r="AO17" s="30"/>
      <c r="AP17" s="30"/>
      <c r="AQ17" s="30"/>
      <c r="AR17" s="30"/>
      <c r="AS17" s="85"/>
      <c r="AT17" s="85"/>
      <c r="AU17" s="85"/>
      <c r="AW17" s="81"/>
      <c r="AX17" s="30"/>
      <c r="AY17" s="30"/>
      <c r="BA17" s="30"/>
      <c r="BB17" s="30"/>
      <c r="BC17" s="30"/>
      <c r="BD17" s="30"/>
      <c r="BE17" s="30"/>
      <c r="BF17" s="30"/>
      <c r="BG17" s="30"/>
      <c r="BH17" s="85"/>
      <c r="BI17" s="85"/>
      <c r="BJ17" s="85"/>
      <c r="BL17" s="81"/>
      <c r="BM17" s="30"/>
      <c r="BN17" s="30"/>
      <c r="BP17" s="30"/>
      <c r="BQ17" s="30"/>
      <c r="BR17" s="30"/>
      <c r="BS17" s="30"/>
      <c r="BT17" s="30"/>
      <c r="BU17" s="30"/>
      <c r="BV17" s="30"/>
      <c r="BW17" s="85"/>
      <c r="BX17" s="85"/>
      <c r="BY17" s="85"/>
      <c r="CA17" s="81"/>
      <c r="CB17" s="30"/>
      <c r="CC17" s="30"/>
      <c r="CE17" s="30"/>
      <c r="CF17" s="30"/>
      <c r="CG17" s="30"/>
      <c r="CH17" s="30"/>
      <c r="CI17" s="30"/>
      <c r="CJ17" s="30"/>
      <c r="CK17" s="30"/>
      <c r="CL17" s="85"/>
      <c r="CM17" s="85"/>
      <c r="CN17" s="85"/>
      <c r="CP17" s="81"/>
      <c r="CQ17" s="30"/>
      <c r="CR17" s="30"/>
      <c r="CT17" s="30"/>
      <c r="CU17" s="30"/>
      <c r="CV17" s="30"/>
      <c r="CW17" s="30"/>
      <c r="CX17" s="30"/>
      <c r="CY17" s="30"/>
      <c r="CZ17" s="30"/>
      <c r="DA17" s="85"/>
      <c r="DB17" s="85"/>
      <c r="DC17" s="85"/>
      <c r="DE17" s="81"/>
      <c r="DF17" s="30"/>
      <c r="DG17" s="30"/>
      <c r="DI17" s="30"/>
      <c r="DJ17" s="30"/>
      <c r="DK17" s="30"/>
      <c r="DL17" s="30"/>
      <c r="DM17" s="30"/>
      <c r="DN17" s="30"/>
      <c r="DO17" s="30"/>
      <c r="DP17" s="85"/>
      <c r="DQ17" s="85"/>
      <c r="DR17" s="85"/>
      <c r="DT17" s="81"/>
      <c r="DU17" s="30"/>
      <c r="DV17" s="30"/>
      <c r="DX17" s="30"/>
      <c r="DY17" s="30"/>
      <c r="DZ17" s="30"/>
      <c r="EA17" s="30"/>
      <c r="EB17" s="30"/>
      <c r="EC17" s="30"/>
      <c r="ED17" s="30"/>
      <c r="EE17" s="85"/>
      <c r="EF17" s="85"/>
      <c r="EG17" s="85"/>
      <c r="EI17" s="81"/>
      <c r="EJ17" s="30"/>
      <c r="EK17" s="30"/>
      <c r="EM17" s="30"/>
      <c r="EN17" s="30"/>
      <c r="EO17" s="30"/>
      <c r="EP17" s="30"/>
      <c r="EQ17" s="30"/>
      <c r="ER17" s="30"/>
      <c r="ES17" s="30"/>
      <c r="ET17" s="85"/>
      <c r="EU17" s="85"/>
      <c r="EV17" s="85"/>
    </row>
    <row r="18" spans="2:152">
      <c r="B18" s="11">
        <f t="shared" si="1"/>
        <v>0.17</v>
      </c>
      <c r="C18" s="28">
        <v>0.36</v>
      </c>
      <c r="D18" s="16"/>
      <c r="E18" s="8"/>
      <c r="F18" s="27">
        <f t="shared" si="2"/>
        <v>-0.3007284079084287</v>
      </c>
      <c r="G18" s="27">
        <f t="shared" si="3"/>
        <v>-0.38505350154097234</v>
      </c>
      <c r="H18" s="27">
        <f t="shared" si="4"/>
        <v>-0.10493422552266134</v>
      </c>
      <c r="I18" s="27">
        <f t="shared" si="5"/>
        <v>4.6694748507751376</v>
      </c>
      <c r="J18" s="27">
        <f t="shared" si="6"/>
        <v>-0.62443144899285263</v>
      </c>
      <c r="K18" s="27">
        <f t="shared" si="7"/>
        <v>0.38202166017265471</v>
      </c>
      <c r="L18" s="27">
        <f t="shared" si="8"/>
        <v>0.18584364225817146</v>
      </c>
      <c r="M18" s="17">
        <f t="shared" si="9"/>
        <v>0.13024259506634459</v>
      </c>
      <c r="N18" s="17">
        <f t="shared" si="10"/>
        <v>0.13024259506634459</v>
      </c>
      <c r="O18" s="17">
        <f t="shared" si="11"/>
        <v>0.13024259506634459</v>
      </c>
      <c r="P18" s="17">
        <f t="shared" si="0"/>
        <v>0.13024259506634459</v>
      </c>
      <c r="Q18" s="17">
        <f t="shared" si="12"/>
        <v>0</v>
      </c>
      <c r="S18" s="81"/>
      <c r="T18" s="30"/>
      <c r="U18" s="30"/>
      <c r="W18" s="30"/>
      <c r="X18" s="30"/>
      <c r="Y18" s="30"/>
      <c r="Z18" s="30"/>
      <c r="AA18" s="30"/>
      <c r="AB18" s="30"/>
      <c r="AC18" s="30"/>
      <c r="AD18" s="85"/>
      <c r="AE18" s="85"/>
      <c r="AF18" s="85"/>
      <c r="AH18" s="81"/>
      <c r="AI18" s="30"/>
      <c r="AJ18" s="30"/>
      <c r="AL18" s="30"/>
      <c r="AM18" s="30"/>
      <c r="AN18" s="30"/>
      <c r="AO18" s="30"/>
      <c r="AP18" s="30"/>
      <c r="AQ18" s="30"/>
      <c r="AR18" s="30"/>
      <c r="AS18" s="85"/>
      <c r="AT18" s="85"/>
      <c r="AU18" s="85"/>
      <c r="AW18" s="81"/>
      <c r="AX18" s="30"/>
      <c r="AY18" s="30"/>
      <c r="BA18" s="30"/>
      <c r="BB18" s="30"/>
      <c r="BC18" s="30"/>
      <c r="BD18" s="30"/>
      <c r="BE18" s="30"/>
      <c r="BF18" s="30"/>
      <c r="BG18" s="30"/>
      <c r="BH18" s="85"/>
      <c r="BI18" s="85"/>
      <c r="BJ18" s="85"/>
      <c r="BL18" s="81"/>
      <c r="BM18" s="30"/>
      <c r="BN18" s="30"/>
      <c r="BP18" s="30"/>
      <c r="BQ18" s="30"/>
      <c r="BR18" s="30"/>
      <c r="BS18" s="30"/>
      <c r="BT18" s="30"/>
      <c r="BU18" s="30"/>
      <c r="BV18" s="30"/>
      <c r="BW18" s="85"/>
      <c r="BX18" s="85"/>
      <c r="BY18" s="85"/>
      <c r="CA18" s="81"/>
      <c r="CB18" s="30"/>
      <c r="CC18" s="30"/>
      <c r="CE18" s="30"/>
      <c r="CF18" s="30"/>
      <c r="CG18" s="30"/>
      <c r="CH18" s="30"/>
      <c r="CI18" s="30"/>
      <c r="CJ18" s="30"/>
      <c r="CK18" s="30"/>
      <c r="CL18" s="85"/>
      <c r="CM18" s="85"/>
      <c r="CN18" s="85"/>
      <c r="CP18" s="81"/>
      <c r="CQ18" s="30"/>
      <c r="CR18" s="30"/>
      <c r="CT18" s="30"/>
      <c r="CU18" s="30"/>
      <c r="CV18" s="30"/>
      <c r="CW18" s="30"/>
      <c r="CX18" s="30"/>
      <c r="CY18" s="30"/>
      <c r="CZ18" s="30"/>
      <c r="DA18" s="85"/>
      <c r="DB18" s="85"/>
      <c r="DC18" s="85"/>
      <c r="DE18" s="81"/>
      <c r="DF18" s="30"/>
      <c r="DG18" s="30"/>
      <c r="DI18" s="30"/>
      <c r="DJ18" s="30"/>
      <c r="DK18" s="30"/>
      <c r="DL18" s="30"/>
      <c r="DM18" s="30"/>
      <c r="DN18" s="30"/>
      <c r="DO18" s="30"/>
      <c r="DP18" s="85"/>
      <c r="DQ18" s="85"/>
      <c r="DR18" s="85"/>
      <c r="DT18" s="81"/>
      <c r="DU18" s="30"/>
      <c r="DV18" s="30"/>
      <c r="DX18" s="30"/>
      <c r="DY18" s="30"/>
      <c r="DZ18" s="30"/>
      <c r="EA18" s="30"/>
      <c r="EB18" s="30"/>
      <c r="EC18" s="30"/>
      <c r="ED18" s="30"/>
      <c r="EE18" s="85"/>
      <c r="EF18" s="85"/>
      <c r="EG18" s="85"/>
      <c r="EI18" s="81"/>
      <c r="EJ18" s="30"/>
      <c r="EK18" s="30"/>
      <c r="EM18" s="30"/>
      <c r="EN18" s="30"/>
      <c r="EO18" s="30"/>
      <c r="EP18" s="30"/>
      <c r="EQ18" s="30"/>
      <c r="ER18" s="30"/>
      <c r="ES18" s="30"/>
      <c r="ET18" s="85"/>
      <c r="EU18" s="85"/>
      <c r="EV18" s="85"/>
    </row>
    <row r="19" spans="2:152">
      <c r="B19" s="11">
        <f t="shared" si="1"/>
        <v>0.17</v>
      </c>
      <c r="C19" s="28">
        <v>0.42</v>
      </c>
      <c r="D19" s="16"/>
      <c r="E19" s="8"/>
      <c r="F19" s="27">
        <f t="shared" si="2"/>
        <v>-0.31821776957553388</v>
      </c>
      <c r="G19" s="27">
        <f t="shared" si="3"/>
        <v>-0.38824351592995709</v>
      </c>
      <c r="H19" s="27">
        <f t="shared" si="4"/>
        <v>-0.10174421113367665</v>
      </c>
      <c r="I19" s="27">
        <f t="shared" si="5"/>
        <v>4.8158781871124177</v>
      </c>
      <c r="J19" s="27">
        <f t="shared" si="6"/>
        <v>-0.6110842597067826</v>
      </c>
      <c r="K19" s="27">
        <f t="shared" si="7"/>
        <v>0.38267293871689267</v>
      </c>
      <c r="L19" s="27">
        <f t="shared" si="8"/>
        <v>0.19644444054012933</v>
      </c>
      <c r="M19" s="17">
        <f t="shared" si="9"/>
        <v>0.13074447196320307</v>
      </c>
      <c r="N19" s="17">
        <f t="shared" si="10"/>
        <v>0.13074447196320307</v>
      </c>
      <c r="O19" s="17">
        <f t="shared" si="11"/>
        <v>0.13074447196320307</v>
      </c>
      <c r="P19" s="17">
        <f t="shared" si="0"/>
        <v>0.13074447196320307</v>
      </c>
      <c r="Q19" s="17">
        <f t="shared" si="12"/>
        <v>0</v>
      </c>
      <c r="S19" s="81"/>
      <c r="T19" s="30"/>
      <c r="U19" s="30"/>
      <c r="W19" s="30"/>
      <c r="X19" s="30"/>
      <c r="Y19" s="30"/>
      <c r="Z19" s="30"/>
      <c r="AA19" s="30"/>
      <c r="AB19" s="30"/>
      <c r="AC19" s="30"/>
      <c r="AD19" s="85"/>
      <c r="AE19" s="85"/>
      <c r="AF19" s="85"/>
      <c r="AH19" s="81"/>
      <c r="AI19" s="30"/>
      <c r="AJ19" s="30"/>
      <c r="AL19" s="30"/>
      <c r="AM19" s="30"/>
      <c r="AN19" s="30"/>
      <c r="AO19" s="30"/>
      <c r="AP19" s="30"/>
      <c r="AQ19" s="30"/>
      <c r="AR19" s="30"/>
      <c r="AS19" s="85"/>
      <c r="AT19" s="85"/>
      <c r="AU19" s="85"/>
      <c r="AW19" s="81"/>
      <c r="AX19" s="30"/>
      <c r="AY19" s="30"/>
      <c r="BA19" s="30"/>
      <c r="BB19" s="30"/>
      <c r="BC19" s="30"/>
      <c r="BD19" s="30"/>
      <c r="BE19" s="30"/>
      <c r="BF19" s="30"/>
      <c r="BG19" s="30"/>
      <c r="BH19" s="85"/>
      <c r="BI19" s="85"/>
      <c r="BJ19" s="85"/>
      <c r="BL19" s="81"/>
      <c r="BM19" s="30"/>
      <c r="BN19" s="30"/>
      <c r="BP19" s="30"/>
      <c r="BQ19" s="30"/>
      <c r="BR19" s="30"/>
      <c r="BS19" s="30"/>
      <c r="BT19" s="30"/>
      <c r="BU19" s="30"/>
      <c r="BV19" s="30"/>
      <c r="BW19" s="85"/>
      <c r="BX19" s="85"/>
      <c r="BY19" s="85"/>
      <c r="CA19" s="81"/>
      <c r="CB19" s="30"/>
      <c r="CC19" s="30"/>
      <c r="CE19" s="30"/>
      <c r="CF19" s="30"/>
      <c r="CG19" s="30"/>
      <c r="CH19" s="30"/>
      <c r="CI19" s="30"/>
      <c r="CJ19" s="30"/>
      <c r="CK19" s="30"/>
      <c r="CL19" s="85"/>
      <c r="CM19" s="85"/>
      <c r="CN19" s="85"/>
      <c r="CP19" s="81"/>
      <c r="CQ19" s="30"/>
      <c r="CR19" s="30"/>
      <c r="CT19" s="30"/>
      <c r="CU19" s="30"/>
      <c r="CV19" s="30"/>
      <c r="CW19" s="30"/>
      <c r="CX19" s="30"/>
      <c r="CY19" s="30"/>
      <c r="CZ19" s="30"/>
      <c r="DA19" s="85"/>
      <c r="DB19" s="85"/>
      <c r="DC19" s="85"/>
      <c r="DE19" s="81"/>
      <c r="DF19" s="30"/>
      <c r="DG19" s="30"/>
      <c r="DI19" s="30"/>
      <c r="DJ19" s="30"/>
      <c r="DK19" s="30"/>
      <c r="DL19" s="30"/>
      <c r="DM19" s="30"/>
      <c r="DN19" s="30"/>
      <c r="DO19" s="30"/>
      <c r="DP19" s="85"/>
      <c r="DQ19" s="85"/>
      <c r="DR19" s="85"/>
      <c r="DT19" s="81"/>
      <c r="DU19" s="30"/>
      <c r="DV19" s="30"/>
      <c r="DX19" s="30"/>
      <c r="DY19" s="30"/>
      <c r="DZ19" s="30"/>
      <c r="EA19" s="30"/>
      <c r="EB19" s="30"/>
      <c r="EC19" s="30"/>
      <c r="ED19" s="30"/>
      <c r="EE19" s="85"/>
      <c r="EF19" s="85"/>
      <c r="EG19" s="85"/>
      <c r="EI19" s="81"/>
      <c r="EJ19" s="30"/>
      <c r="EK19" s="30"/>
      <c r="EM19" s="30"/>
      <c r="EN19" s="30"/>
      <c r="EO19" s="30"/>
      <c r="EP19" s="30"/>
      <c r="EQ19" s="30"/>
      <c r="ER19" s="30"/>
      <c r="ES19" s="30"/>
      <c r="ET19" s="85"/>
      <c r="EU19" s="85"/>
      <c r="EV19" s="85"/>
    </row>
    <row r="20" spans="2:152">
      <c r="B20" s="11">
        <f t="shared" si="1"/>
        <v>0.17</v>
      </c>
      <c r="C20" s="28">
        <v>0.48</v>
      </c>
      <c r="D20" s="16"/>
      <c r="E20" s="8"/>
      <c r="F20" s="27">
        <f t="shared" si="2"/>
        <v>-0.3361838588989845</v>
      </c>
      <c r="G20" s="27">
        <f t="shared" si="3"/>
        <v>-0.39143353031894168</v>
      </c>
      <c r="H20" s="27">
        <f t="shared" si="4"/>
        <v>-9.8554196744691999E-2</v>
      </c>
      <c r="I20" s="27">
        <f t="shared" si="5"/>
        <v>4.9717591259250336</v>
      </c>
      <c r="J20" s="27">
        <f t="shared" si="6"/>
        <v>-0.59795461808884631</v>
      </c>
      <c r="K20" s="27">
        <f t="shared" si="7"/>
        <v>0.38328213884624979</v>
      </c>
      <c r="L20" s="27">
        <f t="shared" si="8"/>
        <v>0.20733059041459589</v>
      </c>
      <c r="M20" s="17">
        <f t="shared" si="9"/>
        <v>0.13126187907346304</v>
      </c>
      <c r="N20" s="17">
        <f t="shared" si="10"/>
        <v>0.13126187907346304</v>
      </c>
      <c r="O20" s="17">
        <f t="shared" si="11"/>
        <v>0.13126187907346304</v>
      </c>
      <c r="P20" s="17">
        <f t="shared" si="0"/>
        <v>0.13126187907346304</v>
      </c>
      <c r="Q20" s="17">
        <f t="shared" si="12"/>
        <v>0</v>
      </c>
      <c r="S20" s="81"/>
      <c r="T20" s="30"/>
      <c r="U20" s="30"/>
      <c r="W20" s="30"/>
      <c r="X20" s="30"/>
      <c r="Y20" s="30"/>
      <c r="Z20" s="30"/>
      <c r="AA20" s="30"/>
      <c r="AB20" s="30"/>
      <c r="AC20" s="30"/>
      <c r="AD20" s="85"/>
      <c r="AE20" s="85"/>
      <c r="AF20" s="85"/>
      <c r="AH20" s="81"/>
      <c r="AI20" s="30"/>
      <c r="AJ20" s="30"/>
      <c r="AL20" s="30"/>
      <c r="AM20" s="30"/>
      <c r="AN20" s="30"/>
      <c r="AO20" s="30"/>
      <c r="AP20" s="30"/>
      <c r="AQ20" s="30"/>
      <c r="AR20" s="30"/>
      <c r="AS20" s="85"/>
      <c r="AT20" s="85"/>
      <c r="AU20" s="85"/>
      <c r="AW20" s="81"/>
      <c r="AX20" s="30"/>
      <c r="AY20" s="30"/>
      <c r="BA20" s="30"/>
      <c r="BB20" s="30"/>
      <c r="BC20" s="30"/>
      <c r="BD20" s="30"/>
      <c r="BE20" s="30"/>
      <c r="BF20" s="30"/>
      <c r="BG20" s="30"/>
      <c r="BH20" s="85"/>
      <c r="BI20" s="85"/>
      <c r="BJ20" s="85"/>
      <c r="BL20" s="81"/>
      <c r="BM20" s="30"/>
      <c r="BN20" s="30"/>
      <c r="BP20" s="30"/>
      <c r="BQ20" s="30"/>
      <c r="BR20" s="30"/>
      <c r="BS20" s="30"/>
      <c r="BT20" s="30"/>
      <c r="BU20" s="30"/>
      <c r="BV20" s="30"/>
      <c r="BW20" s="85"/>
      <c r="BX20" s="85"/>
      <c r="BY20" s="85"/>
      <c r="CA20" s="81"/>
      <c r="CB20" s="30"/>
      <c r="CC20" s="30"/>
      <c r="CE20" s="30"/>
      <c r="CF20" s="30"/>
      <c r="CG20" s="30"/>
      <c r="CH20" s="30"/>
      <c r="CI20" s="30"/>
      <c r="CJ20" s="30"/>
      <c r="CK20" s="30"/>
      <c r="CL20" s="85"/>
      <c r="CM20" s="85"/>
      <c r="CN20" s="85"/>
      <c r="CP20" s="81"/>
      <c r="CQ20" s="30"/>
      <c r="CR20" s="30"/>
      <c r="CT20" s="30"/>
      <c r="CU20" s="30"/>
      <c r="CV20" s="30"/>
      <c r="CW20" s="30"/>
      <c r="CX20" s="30"/>
      <c r="CY20" s="30"/>
      <c r="CZ20" s="30"/>
      <c r="DA20" s="85"/>
      <c r="DB20" s="85"/>
      <c r="DC20" s="85"/>
      <c r="DE20" s="81"/>
      <c r="DF20" s="30"/>
      <c r="DG20" s="30"/>
      <c r="DI20" s="30"/>
      <c r="DJ20" s="30"/>
      <c r="DK20" s="30"/>
      <c r="DL20" s="30"/>
      <c r="DM20" s="30"/>
      <c r="DN20" s="30"/>
      <c r="DO20" s="30"/>
      <c r="DP20" s="85"/>
      <c r="DQ20" s="85"/>
      <c r="DR20" s="85"/>
      <c r="DT20" s="81"/>
      <c r="DU20" s="30"/>
      <c r="DV20" s="30"/>
      <c r="DX20" s="30"/>
      <c r="DY20" s="30"/>
      <c r="DZ20" s="30"/>
      <c r="EA20" s="30"/>
      <c r="EB20" s="30"/>
      <c r="EC20" s="30"/>
      <c r="ED20" s="30"/>
      <c r="EE20" s="85"/>
      <c r="EF20" s="85"/>
      <c r="EG20" s="85"/>
      <c r="EI20" s="81"/>
      <c r="EJ20" s="30"/>
      <c r="EK20" s="30"/>
      <c r="EM20" s="30"/>
      <c r="EN20" s="30"/>
      <c r="EO20" s="30"/>
      <c r="EP20" s="30"/>
      <c r="EQ20" s="30"/>
      <c r="ER20" s="30"/>
      <c r="ES20" s="30"/>
      <c r="ET20" s="85"/>
      <c r="EU20" s="85"/>
      <c r="EV20" s="85"/>
    </row>
    <row r="21" spans="2:152">
      <c r="B21" s="11">
        <f t="shared" si="1"/>
        <v>0.17</v>
      </c>
      <c r="C21" s="28">
        <v>0.54</v>
      </c>
      <c r="D21" s="16"/>
      <c r="E21" s="8"/>
      <c r="F21" s="27">
        <f t="shared" si="2"/>
        <v>-0.35464643727987</v>
      </c>
      <c r="G21" s="27">
        <f t="shared" si="3"/>
        <v>-0.39462354470792643</v>
      </c>
      <c r="H21" s="27">
        <f t="shared" si="4"/>
        <v>-9.536418235570733E-2</v>
      </c>
      <c r="I21" s="27">
        <f t="shared" si="5"/>
        <v>5.138068769215522</v>
      </c>
      <c r="J21" s="27">
        <f t="shared" si="6"/>
        <v>-0.58503724837533677</v>
      </c>
      <c r="K21" s="27">
        <f t="shared" si="7"/>
        <v>0.38384472346735349</v>
      </c>
      <c r="L21" s="27">
        <f t="shared" si="8"/>
        <v>0.21851727363349618</v>
      </c>
      <c r="M21" s="17">
        <f t="shared" si="9"/>
        <v>0.13179575526634471</v>
      </c>
      <c r="N21" s="17">
        <f t="shared" si="10"/>
        <v>0.13179575526634471</v>
      </c>
      <c r="O21" s="17">
        <f t="shared" si="11"/>
        <v>0.13179575526634471</v>
      </c>
      <c r="P21" s="17">
        <f t="shared" si="0"/>
        <v>0.13179575526634471</v>
      </c>
      <c r="Q21" s="17">
        <f t="shared" si="12"/>
        <v>0</v>
      </c>
      <c r="S21" s="81"/>
      <c r="T21" s="30"/>
      <c r="U21" s="30"/>
      <c r="W21" s="30"/>
      <c r="X21" s="30"/>
      <c r="Y21" s="30"/>
      <c r="Z21" s="30"/>
      <c r="AA21" s="30"/>
      <c r="AB21" s="30"/>
      <c r="AC21" s="30"/>
      <c r="AD21" s="85"/>
      <c r="AE21" s="85"/>
      <c r="AF21" s="85"/>
      <c r="AH21" s="81"/>
      <c r="AI21" s="30"/>
      <c r="AJ21" s="30"/>
      <c r="AL21" s="30"/>
      <c r="AM21" s="30"/>
      <c r="AN21" s="30"/>
      <c r="AO21" s="30"/>
      <c r="AP21" s="30"/>
      <c r="AQ21" s="30"/>
      <c r="AR21" s="30"/>
      <c r="AS21" s="85"/>
      <c r="AT21" s="85"/>
      <c r="AU21" s="85"/>
      <c r="AW21" s="81"/>
      <c r="AX21" s="30"/>
      <c r="AY21" s="30"/>
      <c r="BA21" s="30"/>
      <c r="BB21" s="30"/>
      <c r="BC21" s="30"/>
      <c r="BD21" s="30"/>
      <c r="BE21" s="30"/>
      <c r="BF21" s="30"/>
      <c r="BG21" s="30"/>
      <c r="BH21" s="85"/>
      <c r="BI21" s="85"/>
      <c r="BJ21" s="85"/>
      <c r="BL21" s="81"/>
      <c r="BM21" s="30"/>
      <c r="BN21" s="30"/>
      <c r="BP21" s="30"/>
      <c r="BQ21" s="30"/>
      <c r="BR21" s="30"/>
      <c r="BS21" s="30"/>
      <c r="BT21" s="30"/>
      <c r="BU21" s="30"/>
      <c r="BV21" s="30"/>
      <c r="BW21" s="85"/>
      <c r="BX21" s="85"/>
      <c r="BY21" s="85"/>
      <c r="CA21" s="81"/>
      <c r="CB21" s="30"/>
      <c r="CC21" s="30"/>
      <c r="CE21" s="30"/>
      <c r="CF21" s="30"/>
      <c r="CG21" s="30"/>
      <c r="CH21" s="30"/>
      <c r="CI21" s="30"/>
      <c r="CJ21" s="30"/>
      <c r="CK21" s="30"/>
      <c r="CL21" s="85"/>
      <c r="CM21" s="85"/>
      <c r="CN21" s="85"/>
      <c r="CP21" s="81"/>
      <c r="CQ21" s="30"/>
      <c r="CR21" s="30"/>
      <c r="CT21" s="30"/>
      <c r="CU21" s="30"/>
      <c r="CV21" s="30"/>
      <c r="CW21" s="30"/>
      <c r="CX21" s="30"/>
      <c r="CY21" s="30"/>
      <c r="CZ21" s="30"/>
      <c r="DA21" s="85"/>
      <c r="DB21" s="85"/>
      <c r="DC21" s="85"/>
      <c r="DE21" s="81"/>
      <c r="DF21" s="30"/>
      <c r="DG21" s="30"/>
      <c r="DI21" s="30"/>
      <c r="DJ21" s="30"/>
      <c r="DK21" s="30"/>
      <c r="DL21" s="30"/>
      <c r="DM21" s="30"/>
      <c r="DN21" s="30"/>
      <c r="DO21" s="30"/>
      <c r="DP21" s="85"/>
      <c r="DQ21" s="85"/>
      <c r="DR21" s="85"/>
      <c r="DT21" s="81"/>
      <c r="DU21" s="30"/>
      <c r="DV21" s="30"/>
      <c r="DX21" s="30"/>
      <c r="DY21" s="30"/>
      <c r="DZ21" s="30"/>
      <c r="EA21" s="30"/>
      <c r="EB21" s="30"/>
      <c r="EC21" s="30"/>
      <c r="ED21" s="30"/>
      <c r="EE21" s="85"/>
      <c r="EF21" s="85"/>
      <c r="EG21" s="85"/>
      <c r="EI21" s="81"/>
      <c r="EJ21" s="30"/>
      <c r="EK21" s="30"/>
      <c r="EM21" s="30"/>
      <c r="EN21" s="30"/>
      <c r="EO21" s="30"/>
      <c r="EP21" s="30"/>
      <c r="EQ21" s="30"/>
      <c r="ER21" s="30"/>
      <c r="ES21" s="30"/>
      <c r="ET21" s="85"/>
      <c r="EU21" s="85"/>
      <c r="EV21" s="85"/>
    </row>
    <row r="22" spans="2:152">
      <c r="B22" s="11">
        <f t="shared" si="1"/>
        <v>0.17</v>
      </c>
      <c r="C22" s="28">
        <v>0.6</v>
      </c>
      <c r="D22" s="16"/>
      <c r="E22" s="8"/>
      <c r="F22" s="27">
        <f t="shared" si="2"/>
        <v>-0.37362637362637369</v>
      </c>
      <c r="G22" s="27">
        <f t="shared" si="3"/>
        <v>-0.39781355909691113</v>
      </c>
      <c r="H22" s="27">
        <f t="shared" si="4"/>
        <v>-9.2174167966722675E-2</v>
      </c>
      <c r="I22" s="27">
        <f t="shared" si="5"/>
        <v>5.3158898840348892</v>
      </c>
      <c r="J22" s="27">
        <f t="shared" si="6"/>
        <v>-0.57232704402515711</v>
      </c>
      <c r="K22" s="27">
        <f t="shared" si="7"/>
        <v>0.38435562946013224</v>
      </c>
      <c r="L22" s="27">
        <f t="shared" si="8"/>
        <v>0.23002097360830229</v>
      </c>
      <c r="M22" s="17">
        <f t="shared" si="9"/>
        <v>0.13234712780794658</v>
      </c>
      <c r="N22" s="17">
        <f t="shared" si="10"/>
        <v>0.13234712780794658</v>
      </c>
      <c r="O22" s="17">
        <f t="shared" si="11"/>
        <v>0.13234712780794658</v>
      </c>
      <c r="P22" s="17">
        <f t="shared" si="0"/>
        <v>0.13234712780794658</v>
      </c>
      <c r="Q22" s="17">
        <f t="shared" si="12"/>
        <v>0</v>
      </c>
      <c r="S22" s="81"/>
      <c r="T22" s="30"/>
      <c r="U22" s="30"/>
      <c r="W22" s="30"/>
      <c r="X22" s="30"/>
      <c r="Y22" s="30"/>
      <c r="Z22" s="30"/>
      <c r="AA22" s="30"/>
      <c r="AB22" s="30"/>
      <c r="AC22" s="30"/>
      <c r="AD22" s="85"/>
      <c r="AE22" s="85"/>
      <c r="AF22" s="85"/>
      <c r="AH22" s="81"/>
      <c r="AI22" s="30"/>
      <c r="AJ22" s="30"/>
      <c r="AL22" s="30"/>
      <c r="AM22" s="30"/>
      <c r="AN22" s="30"/>
      <c r="AO22" s="30"/>
      <c r="AP22" s="30"/>
      <c r="AQ22" s="30"/>
      <c r="AR22" s="30"/>
      <c r="AS22" s="85"/>
      <c r="AT22" s="85"/>
      <c r="AU22" s="85"/>
      <c r="AW22" s="81"/>
      <c r="AX22" s="30"/>
      <c r="AY22" s="30"/>
      <c r="BA22" s="30"/>
      <c r="BB22" s="30"/>
      <c r="BC22" s="30"/>
      <c r="BD22" s="30"/>
      <c r="BE22" s="30"/>
      <c r="BF22" s="30"/>
      <c r="BG22" s="30"/>
      <c r="BH22" s="85"/>
      <c r="BI22" s="85"/>
      <c r="BJ22" s="85"/>
      <c r="BL22" s="81"/>
      <c r="BM22" s="30"/>
      <c r="BN22" s="30"/>
      <c r="BP22" s="30"/>
      <c r="BQ22" s="30"/>
      <c r="BR22" s="30"/>
      <c r="BS22" s="30"/>
      <c r="BT22" s="30"/>
      <c r="BU22" s="30"/>
      <c r="BV22" s="30"/>
      <c r="BW22" s="85"/>
      <c r="BX22" s="85"/>
      <c r="BY22" s="85"/>
      <c r="CA22" s="81"/>
      <c r="CB22" s="30"/>
      <c r="CC22" s="30"/>
      <c r="CE22" s="30"/>
      <c r="CF22" s="30"/>
      <c r="CG22" s="30"/>
      <c r="CH22" s="30"/>
      <c r="CI22" s="30"/>
      <c r="CJ22" s="30"/>
      <c r="CK22" s="30"/>
      <c r="CL22" s="85"/>
      <c r="CM22" s="85"/>
      <c r="CN22" s="85"/>
      <c r="CP22" s="81"/>
      <c r="CQ22" s="30"/>
      <c r="CR22" s="30"/>
      <c r="CT22" s="30"/>
      <c r="CU22" s="30"/>
      <c r="CV22" s="30"/>
      <c r="CW22" s="30"/>
      <c r="CX22" s="30"/>
      <c r="CY22" s="30"/>
      <c r="CZ22" s="30"/>
      <c r="DA22" s="85"/>
      <c r="DB22" s="85"/>
      <c r="DC22" s="85"/>
      <c r="DE22" s="81"/>
      <c r="DF22" s="30"/>
      <c r="DG22" s="30"/>
      <c r="DI22" s="30"/>
      <c r="DJ22" s="30"/>
      <c r="DK22" s="30"/>
      <c r="DL22" s="30"/>
      <c r="DM22" s="30"/>
      <c r="DN22" s="30"/>
      <c r="DO22" s="30"/>
      <c r="DP22" s="85"/>
      <c r="DQ22" s="85"/>
      <c r="DR22" s="85"/>
      <c r="DT22" s="81"/>
      <c r="DU22" s="30"/>
      <c r="DV22" s="30"/>
      <c r="DX22" s="30"/>
      <c r="DY22" s="30"/>
      <c r="DZ22" s="30"/>
      <c r="EA22" s="30"/>
      <c r="EB22" s="30"/>
      <c r="EC22" s="30"/>
      <c r="ED22" s="30"/>
      <c r="EE22" s="85"/>
      <c r="EF22" s="85"/>
      <c r="EG22" s="85"/>
      <c r="EI22" s="81"/>
      <c r="EJ22" s="30"/>
      <c r="EK22" s="30"/>
      <c r="EM22" s="30"/>
      <c r="EN22" s="30"/>
      <c r="EO22" s="30"/>
      <c r="EP22" s="30"/>
      <c r="EQ22" s="30"/>
      <c r="ER22" s="30"/>
      <c r="ES22" s="30"/>
      <c r="ET22" s="85"/>
      <c r="EU22" s="85"/>
      <c r="EV22" s="85"/>
    </row>
    <row r="23" spans="2:152">
      <c r="B23" s="11">
        <f t="shared" si="1"/>
        <v>0.17</v>
      </c>
      <c r="C23" s="28">
        <v>0.66</v>
      </c>
      <c r="D23" s="16"/>
      <c r="E23" s="8"/>
      <c r="F23" s="27">
        <f t="shared" si="2"/>
        <v>-0.39314572304263035</v>
      </c>
      <c r="G23" s="27">
        <f t="shared" si="3"/>
        <v>-0.40100357348589571</v>
      </c>
      <c r="H23" s="27">
        <f t="shared" si="4"/>
        <v>-8.898415357773802E-2</v>
      </c>
      <c r="I23" s="27">
        <f t="shared" si="5"/>
        <v>5.5064605029430593</v>
      </c>
      <c r="J23" s="27">
        <f t="shared" si="6"/>
        <v>-0.55981906098892531</v>
      </c>
      <c r="K23" s="27">
        <f t="shared" si="7"/>
        <v>0.38480919134809105</v>
      </c>
      <c r="L23" s="27">
        <f t="shared" si="8"/>
        <v>0.24185963527663518</v>
      </c>
      <c r="M23" s="17">
        <f t="shared" si="9"/>
        <v>0.13291712396102501</v>
      </c>
      <c r="N23" s="17">
        <f t="shared" si="10"/>
        <v>0.13291712396102501</v>
      </c>
      <c r="O23" s="17">
        <f t="shared" si="11"/>
        <v>0.13291712396102501</v>
      </c>
      <c r="P23" s="17">
        <f t="shared" si="0"/>
        <v>0.13291712396102501</v>
      </c>
      <c r="Q23" s="17">
        <f t="shared" si="12"/>
        <v>0</v>
      </c>
      <c r="S23" s="81"/>
      <c r="T23" s="30"/>
      <c r="U23" s="30"/>
      <c r="W23" s="30"/>
      <c r="X23" s="30"/>
      <c r="Y23" s="30"/>
      <c r="Z23" s="30"/>
      <c r="AA23" s="30"/>
      <c r="AB23" s="30"/>
      <c r="AC23" s="30"/>
      <c r="AD23" s="85"/>
      <c r="AE23" s="85"/>
      <c r="AF23" s="85"/>
      <c r="AH23" s="81"/>
      <c r="AI23" s="30"/>
      <c r="AJ23" s="30"/>
      <c r="AL23" s="30"/>
      <c r="AM23" s="30"/>
      <c r="AN23" s="30"/>
      <c r="AO23" s="30"/>
      <c r="AP23" s="30"/>
      <c r="AQ23" s="30"/>
      <c r="AR23" s="30"/>
      <c r="AS23" s="85"/>
      <c r="AT23" s="85"/>
      <c r="AU23" s="85"/>
      <c r="AW23" s="81"/>
      <c r="AX23" s="30"/>
      <c r="AY23" s="30"/>
      <c r="BA23" s="30"/>
      <c r="BB23" s="30"/>
      <c r="BC23" s="30"/>
      <c r="BD23" s="30"/>
      <c r="BE23" s="30"/>
      <c r="BF23" s="30"/>
      <c r="BG23" s="30"/>
      <c r="BH23" s="85"/>
      <c r="BI23" s="85"/>
      <c r="BJ23" s="85"/>
      <c r="BL23" s="81"/>
      <c r="BM23" s="30"/>
      <c r="BN23" s="30"/>
      <c r="BP23" s="30"/>
      <c r="BQ23" s="30"/>
      <c r="BR23" s="30"/>
      <c r="BS23" s="30"/>
      <c r="BT23" s="30"/>
      <c r="BU23" s="30"/>
      <c r="BV23" s="30"/>
      <c r="BW23" s="85"/>
      <c r="BX23" s="85"/>
      <c r="BY23" s="85"/>
      <c r="CA23" s="81"/>
      <c r="CB23" s="30"/>
      <c r="CC23" s="30"/>
      <c r="CE23" s="30"/>
      <c r="CF23" s="30"/>
      <c r="CG23" s="30"/>
      <c r="CH23" s="30"/>
      <c r="CI23" s="30"/>
      <c r="CJ23" s="30"/>
      <c r="CK23" s="30"/>
      <c r="CL23" s="85"/>
      <c r="CM23" s="85"/>
      <c r="CN23" s="85"/>
      <c r="CP23" s="81"/>
      <c r="CQ23" s="30"/>
      <c r="CR23" s="30"/>
      <c r="CT23" s="30"/>
      <c r="CU23" s="30"/>
      <c r="CV23" s="30"/>
      <c r="CW23" s="30"/>
      <c r="CX23" s="30"/>
      <c r="CY23" s="30"/>
      <c r="CZ23" s="30"/>
      <c r="DA23" s="85"/>
      <c r="DB23" s="85"/>
      <c r="DC23" s="85"/>
      <c r="DE23" s="81"/>
      <c r="DF23" s="30"/>
      <c r="DG23" s="30"/>
      <c r="DI23" s="30"/>
      <c r="DJ23" s="30"/>
      <c r="DK23" s="30"/>
      <c r="DL23" s="30"/>
      <c r="DM23" s="30"/>
      <c r="DN23" s="30"/>
      <c r="DO23" s="30"/>
      <c r="DP23" s="85"/>
      <c r="DQ23" s="85"/>
      <c r="DR23" s="85"/>
      <c r="DT23" s="81"/>
      <c r="DU23" s="30"/>
      <c r="DV23" s="30"/>
      <c r="DX23" s="30"/>
      <c r="DY23" s="30"/>
      <c r="DZ23" s="30"/>
      <c r="EA23" s="30"/>
      <c r="EB23" s="30"/>
      <c r="EC23" s="30"/>
      <c r="ED23" s="30"/>
      <c r="EE23" s="85"/>
      <c r="EF23" s="85"/>
      <c r="EG23" s="85"/>
      <c r="EI23" s="81"/>
      <c r="EJ23" s="30"/>
      <c r="EK23" s="30"/>
      <c r="EM23" s="30"/>
      <c r="EN23" s="30"/>
      <c r="EO23" s="30"/>
      <c r="EP23" s="30"/>
      <c r="EQ23" s="30"/>
      <c r="ER23" s="30"/>
      <c r="ES23" s="30"/>
      <c r="ET23" s="85"/>
      <c r="EU23" s="85"/>
      <c r="EV23" s="85"/>
    </row>
    <row r="24" spans="2:152">
      <c r="B24" s="11">
        <f t="shared" si="1"/>
        <v>0.17</v>
      </c>
      <c r="C24" s="28">
        <v>0.72</v>
      </c>
      <c r="D24" s="16"/>
      <c r="E24" s="8"/>
      <c r="F24" s="27">
        <f t="shared" si="2"/>
        <v>-0.41322781232334649</v>
      </c>
      <c r="G24" s="27">
        <f t="shared" si="3"/>
        <v>-0.4041935878748803</v>
      </c>
      <c r="H24" s="27">
        <f t="shared" si="4"/>
        <v>-8.5794139188753338E-2</v>
      </c>
      <c r="I24" s="27">
        <f t="shared" si="5"/>
        <v>5.7112027895708009</v>
      </c>
      <c r="J24" s="27">
        <f t="shared" si="6"/>
        <v>-0.54750851129681222</v>
      </c>
      <c r="K24" s="27">
        <f t="shared" si="7"/>
        <v>0.38519905111367175</v>
      </c>
      <c r="L24" s="27">
        <f t="shared" si="8"/>
        <v>0.25405285112261494</v>
      </c>
      <c r="M24" s="17">
        <f t="shared" si="9"/>
        <v>0.13350698457439594</v>
      </c>
      <c r="N24" s="17">
        <f t="shared" si="10"/>
        <v>0.13350698457439594</v>
      </c>
      <c r="O24" s="17">
        <f t="shared" si="11"/>
        <v>0.13350698457439594</v>
      </c>
      <c r="P24" s="17">
        <f t="shared" si="0"/>
        <v>0.13350698457439594</v>
      </c>
      <c r="Q24" s="17">
        <f t="shared" si="12"/>
        <v>0</v>
      </c>
      <c r="S24" s="81"/>
      <c r="T24" s="30"/>
      <c r="U24" s="30"/>
      <c r="W24" s="30"/>
      <c r="X24" s="30"/>
      <c r="Y24" s="30"/>
      <c r="Z24" s="30"/>
      <c r="AA24" s="30"/>
      <c r="AB24" s="30"/>
      <c r="AC24" s="30"/>
      <c r="AD24" s="85"/>
      <c r="AE24" s="85"/>
      <c r="AF24" s="85"/>
      <c r="AH24" s="81"/>
      <c r="AI24" s="30"/>
      <c r="AJ24" s="30"/>
      <c r="AL24" s="30"/>
      <c r="AM24" s="30"/>
      <c r="AN24" s="30"/>
      <c r="AO24" s="30"/>
      <c r="AP24" s="30"/>
      <c r="AQ24" s="30"/>
      <c r="AR24" s="30"/>
      <c r="AS24" s="85"/>
      <c r="AT24" s="85"/>
      <c r="AU24" s="85"/>
      <c r="AW24" s="81"/>
      <c r="AX24" s="30"/>
      <c r="AY24" s="30"/>
      <c r="BA24" s="30"/>
      <c r="BB24" s="30"/>
      <c r="BC24" s="30"/>
      <c r="BD24" s="30"/>
      <c r="BE24" s="30"/>
      <c r="BF24" s="30"/>
      <c r="BG24" s="30"/>
      <c r="BH24" s="85"/>
      <c r="BI24" s="85"/>
      <c r="BJ24" s="85"/>
      <c r="BL24" s="81"/>
      <c r="BM24" s="30"/>
      <c r="BN24" s="30"/>
      <c r="BP24" s="30"/>
      <c r="BQ24" s="30"/>
      <c r="BR24" s="30"/>
      <c r="BS24" s="30"/>
      <c r="BT24" s="30"/>
      <c r="BU24" s="30"/>
      <c r="BV24" s="30"/>
      <c r="BW24" s="85"/>
      <c r="BX24" s="85"/>
      <c r="BY24" s="85"/>
      <c r="CA24" s="81"/>
      <c r="CB24" s="30"/>
      <c r="CC24" s="30"/>
      <c r="CE24" s="30"/>
      <c r="CF24" s="30"/>
      <c r="CG24" s="30"/>
      <c r="CH24" s="30"/>
      <c r="CI24" s="30"/>
      <c r="CJ24" s="30"/>
      <c r="CK24" s="30"/>
      <c r="CL24" s="85"/>
      <c r="CM24" s="85"/>
      <c r="CN24" s="85"/>
      <c r="CP24" s="81"/>
      <c r="CQ24" s="30"/>
      <c r="CR24" s="30"/>
      <c r="CT24" s="30"/>
      <c r="CU24" s="30"/>
      <c r="CV24" s="30"/>
      <c r="CW24" s="30"/>
      <c r="CX24" s="30"/>
      <c r="CY24" s="30"/>
      <c r="CZ24" s="30"/>
      <c r="DA24" s="85"/>
      <c r="DB24" s="85"/>
      <c r="DC24" s="85"/>
      <c r="DE24" s="81"/>
      <c r="DF24" s="30"/>
      <c r="DG24" s="30"/>
      <c r="DI24" s="30"/>
      <c r="DJ24" s="30"/>
      <c r="DK24" s="30"/>
      <c r="DL24" s="30"/>
      <c r="DM24" s="30"/>
      <c r="DN24" s="30"/>
      <c r="DO24" s="30"/>
      <c r="DP24" s="85"/>
      <c r="DQ24" s="85"/>
      <c r="DR24" s="85"/>
      <c r="DT24" s="81"/>
      <c r="DU24" s="30"/>
      <c r="DV24" s="30"/>
      <c r="DX24" s="30"/>
      <c r="DY24" s="30"/>
      <c r="DZ24" s="30"/>
      <c r="EA24" s="30"/>
      <c r="EB24" s="30"/>
      <c r="EC24" s="30"/>
      <c r="ED24" s="30"/>
      <c r="EE24" s="85"/>
      <c r="EF24" s="85"/>
      <c r="EG24" s="85"/>
      <c r="EI24" s="81"/>
      <c r="EJ24" s="30"/>
      <c r="EK24" s="30"/>
      <c r="EM24" s="30"/>
      <c r="EN24" s="30"/>
      <c r="EO24" s="30"/>
      <c r="EP24" s="30"/>
      <c r="EQ24" s="30"/>
      <c r="ER24" s="30"/>
      <c r="ES24" s="30"/>
      <c r="ET24" s="85"/>
      <c r="EU24" s="85"/>
      <c r="EV24" s="85"/>
    </row>
    <row r="25" spans="2:152">
      <c r="B25" s="11">
        <f t="shared" si="1"/>
        <v>0.17</v>
      </c>
      <c r="C25" s="28">
        <v>0.78</v>
      </c>
      <c r="D25" s="16"/>
      <c r="E25" s="8"/>
      <c r="F25" s="27">
        <f t="shared" si="2"/>
        <v>-0.43389733295096072</v>
      </c>
      <c r="G25" s="27">
        <f t="shared" si="3"/>
        <v>-0.40738360226386505</v>
      </c>
      <c r="H25" s="27">
        <f t="shared" si="4"/>
        <v>-8.2604124799768683E-2</v>
      </c>
      <c r="I25" s="27">
        <f t="shared" si="5"/>
        <v>5.9317585925806684</v>
      </c>
      <c r="J25" s="27">
        <f t="shared" si="6"/>
        <v>-0.53539075694764315</v>
      </c>
      <c r="K25" s="27">
        <f t="shared" si="7"/>
        <v>0.38551805106996301</v>
      </c>
      <c r="L25" s="27">
        <f t="shared" si="8"/>
        <v>0.26662207878725153</v>
      </c>
      <c r="M25" s="17">
        <f t="shared" si="9"/>
        <v>0.13411808009007134</v>
      </c>
      <c r="N25" s="17">
        <f t="shared" si="10"/>
        <v>0.13411808009007134</v>
      </c>
      <c r="O25" s="17">
        <f t="shared" si="11"/>
        <v>0.13411808009007134</v>
      </c>
      <c r="P25" s="17">
        <f t="shared" si="0"/>
        <v>0.13411808009007134</v>
      </c>
      <c r="Q25" s="17">
        <f t="shared" si="12"/>
        <v>0</v>
      </c>
      <c r="S25" s="81"/>
      <c r="T25" s="30"/>
      <c r="U25" s="30"/>
      <c r="W25" s="30"/>
      <c r="X25" s="30"/>
      <c r="Y25" s="30"/>
      <c r="Z25" s="30"/>
      <c r="AA25" s="30"/>
      <c r="AB25" s="30"/>
      <c r="AC25" s="30"/>
      <c r="AD25" s="85"/>
      <c r="AE25" s="85"/>
      <c r="AF25" s="85"/>
      <c r="AH25" s="81"/>
      <c r="AI25" s="30"/>
      <c r="AJ25" s="30"/>
      <c r="AL25" s="30"/>
      <c r="AM25" s="30"/>
      <c r="AN25" s="30"/>
      <c r="AO25" s="30"/>
      <c r="AP25" s="30"/>
      <c r="AQ25" s="30"/>
      <c r="AR25" s="30"/>
      <c r="AS25" s="85"/>
      <c r="AT25" s="85"/>
      <c r="AU25" s="85"/>
      <c r="AW25" s="81"/>
      <c r="AX25" s="30"/>
      <c r="AY25" s="30"/>
      <c r="BA25" s="30"/>
      <c r="BB25" s="30"/>
      <c r="BC25" s="30"/>
      <c r="BD25" s="30"/>
      <c r="BE25" s="30"/>
      <c r="BF25" s="30"/>
      <c r="BG25" s="30"/>
      <c r="BH25" s="85"/>
      <c r="BI25" s="85"/>
      <c r="BJ25" s="85"/>
      <c r="BL25" s="81"/>
      <c r="BM25" s="30"/>
      <c r="BN25" s="30"/>
      <c r="BP25" s="30"/>
      <c r="BQ25" s="30"/>
      <c r="BR25" s="30"/>
      <c r="BS25" s="30"/>
      <c r="BT25" s="30"/>
      <c r="BU25" s="30"/>
      <c r="BV25" s="30"/>
      <c r="BW25" s="85"/>
      <c r="BX25" s="85"/>
      <c r="BY25" s="85"/>
      <c r="CA25" s="81"/>
      <c r="CB25" s="30"/>
      <c r="CC25" s="30"/>
      <c r="CE25" s="30"/>
      <c r="CF25" s="30"/>
      <c r="CG25" s="30"/>
      <c r="CH25" s="30"/>
      <c r="CI25" s="30"/>
      <c r="CJ25" s="30"/>
      <c r="CK25" s="30"/>
      <c r="CL25" s="85"/>
      <c r="CM25" s="85"/>
      <c r="CN25" s="85"/>
      <c r="CP25" s="81"/>
      <c r="CQ25" s="30"/>
      <c r="CR25" s="30"/>
      <c r="CT25" s="30"/>
      <c r="CU25" s="30"/>
      <c r="CV25" s="30"/>
      <c r="CW25" s="30"/>
      <c r="CX25" s="30"/>
      <c r="CY25" s="30"/>
      <c r="CZ25" s="30"/>
      <c r="DA25" s="85"/>
      <c r="DB25" s="85"/>
      <c r="DC25" s="85"/>
      <c r="DE25" s="81"/>
      <c r="DF25" s="30"/>
      <c r="DG25" s="30"/>
      <c r="DI25" s="30"/>
      <c r="DJ25" s="30"/>
      <c r="DK25" s="30"/>
      <c r="DL25" s="30"/>
      <c r="DM25" s="30"/>
      <c r="DN25" s="30"/>
      <c r="DO25" s="30"/>
      <c r="DP25" s="85"/>
      <c r="DQ25" s="85"/>
      <c r="DR25" s="85"/>
      <c r="DT25" s="81"/>
      <c r="DU25" s="30"/>
      <c r="DV25" s="30"/>
      <c r="DX25" s="30"/>
      <c r="DY25" s="30"/>
      <c r="DZ25" s="30"/>
      <c r="EA25" s="30"/>
      <c r="EB25" s="30"/>
      <c r="EC25" s="30"/>
      <c r="ED25" s="30"/>
      <c r="EE25" s="85"/>
      <c r="EF25" s="85"/>
      <c r="EG25" s="85"/>
      <c r="EI25" s="81"/>
      <c r="EJ25" s="30"/>
      <c r="EK25" s="30"/>
      <c r="EM25" s="30"/>
      <c r="EN25" s="30"/>
      <c r="EO25" s="30"/>
      <c r="EP25" s="30"/>
      <c r="EQ25" s="30"/>
      <c r="ER25" s="30"/>
      <c r="ES25" s="30"/>
      <c r="ET25" s="85"/>
      <c r="EU25" s="85"/>
      <c r="EV25" s="85"/>
    </row>
    <row r="26" spans="2:152">
      <c r="B26" s="11">
        <f t="shared" si="1"/>
        <v>0.17</v>
      </c>
      <c r="C26" s="28">
        <v>0.84</v>
      </c>
      <c r="D26" s="16"/>
      <c r="E26" s="8"/>
      <c r="F26" s="27">
        <f t="shared" si="2"/>
        <v>-0.4551804423748545</v>
      </c>
      <c r="G26" s="27">
        <f t="shared" si="3"/>
        <v>-0.41057361665284975</v>
      </c>
      <c r="H26" s="27">
        <f t="shared" si="4"/>
        <v>-7.9414110410784014E-2</v>
      </c>
      <c r="I26" s="27">
        <f t="shared" si="5"/>
        <v>6.1700335687081633</v>
      </c>
      <c r="J26" s="27">
        <f t="shared" si="6"/>
        <v>-0.52346130408287628</v>
      </c>
      <c r="K26" s="27">
        <f t="shared" si="7"/>
        <v>0.38575810586969156</v>
      </c>
      <c r="L26" s="27">
        <f t="shared" si="8"/>
        <v>0.27959089709540236</v>
      </c>
      <c r="M26" s="17">
        <f t="shared" si="9"/>
        <v>0.13475192950859796</v>
      </c>
      <c r="N26" s="17">
        <f t="shared" si="10"/>
        <v>0.13475192950859796</v>
      </c>
      <c r="O26" s="17">
        <f t="shared" si="11"/>
        <v>0.13475192950859796</v>
      </c>
      <c r="P26" s="17">
        <f t="shared" si="0"/>
        <v>0.13475192950859796</v>
      </c>
      <c r="Q26" s="17">
        <f t="shared" si="12"/>
        <v>0</v>
      </c>
      <c r="S26" s="81"/>
      <c r="T26" s="30"/>
      <c r="U26" s="30"/>
      <c r="W26" s="30"/>
      <c r="X26" s="30"/>
      <c r="Y26" s="30"/>
      <c r="Z26" s="30"/>
      <c r="AA26" s="30"/>
      <c r="AB26" s="30"/>
      <c r="AC26" s="30"/>
      <c r="AD26" s="85"/>
      <c r="AE26" s="85"/>
      <c r="AF26" s="85"/>
      <c r="AH26" s="81"/>
      <c r="AI26" s="30"/>
      <c r="AJ26" s="30"/>
      <c r="AL26" s="30"/>
      <c r="AM26" s="30"/>
      <c r="AN26" s="30"/>
      <c r="AO26" s="30"/>
      <c r="AP26" s="30"/>
      <c r="AQ26" s="30"/>
      <c r="AR26" s="30"/>
      <c r="AS26" s="85"/>
      <c r="AT26" s="85"/>
      <c r="AU26" s="85"/>
      <c r="AW26" s="81"/>
      <c r="AX26" s="30"/>
      <c r="AY26" s="30"/>
      <c r="BA26" s="30"/>
      <c r="BB26" s="30"/>
      <c r="BC26" s="30"/>
      <c r="BD26" s="30"/>
      <c r="BE26" s="30"/>
      <c r="BF26" s="30"/>
      <c r="BG26" s="30"/>
      <c r="BH26" s="85"/>
      <c r="BI26" s="85"/>
      <c r="BJ26" s="85"/>
      <c r="BL26" s="81"/>
      <c r="BM26" s="30"/>
      <c r="BN26" s="30"/>
      <c r="BP26" s="30"/>
      <c r="BQ26" s="30"/>
      <c r="BR26" s="30"/>
      <c r="BS26" s="30"/>
      <c r="BT26" s="30"/>
      <c r="BU26" s="30"/>
      <c r="BV26" s="30"/>
      <c r="BW26" s="85"/>
      <c r="BX26" s="85"/>
      <c r="BY26" s="85"/>
      <c r="CA26" s="81"/>
      <c r="CB26" s="30"/>
      <c r="CC26" s="30"/>
      <c r="CE26" s="30"/>
      <c r="CF26" s="30"/>
      <c r="CG26" s="30"/>
      <c r="CH26" s="30"/>
      <c r="CI26" s="30"/>
      <c r="CJ26" s="30"/>
      <c r="CK26" s="30"/>
      <c r="CL26" s="85"/>
      <c r="CM26" s="85"/>
      <c r="CN26" s="85"/>
      <c r="CP26" s="81"/>
      <c r="CQ26" s="30"/>
      <c r="CR26" s="30"/>
      <c r="CT26" s="30"/>
      <c r="CU26" s="30"/>
      <c r="CV26" s="30"/>
      <c r="CW26" s="30"/>
      <c r="CX26" s="30"/>
      <c r="CY26" s="30"/>
      <c r="CZ26" s="30"/>
      <c r="DA26" s="85"/>
      <c r="DB26" s="85"/>
      <c r="DC26" s="85"/>
      <c r="DE26" s="81"/>
      <c r="DF26" s="30"/>
      <c r="DG26" s="30"/>
      <c r="DI26" s="30"/>
      <c r="DJ26" s="30"/>
      <c r="DK26" s="30"/>
      <c r="DL26" s="30"/>
      <c r="DM26" s="30"/>
      <c r="DN26" s="30"/>
      <c r="DO26" s="30"/>
      <c r="DP26" s="85"/>
      <c r="DQ26" s="85"/>
      <c r="DR26" s="85"/>
      <c r="DT26" s="81"/>
      <c r="DU26" s="30"/>
      <c r="DV26" s="30"/>
      <c r="DX26" s="30"/>
      <c r="DY26" s="30"/>
      <c r="DZ26" s="30"/>
      <c r="EA26" s="30"/>
      <c r="EB26" s="30"/>
      <c r="EC26" s="30"/>
      <c r="ED26" s="30"/>
      <c r="EE26" s="85"/>
      <c r="EF26" s="85"/>
      <c r="EG26" s="85"/>
      <c r="EI26" s="81"/>
      <c r="EJ26" s="30"/>
      <c r="EK26" s="30"/>
      <c r="EM26" s="30"/>
      <c r="EN26" s="30"/>
      <c r="EO26" s="30"/>
      <c r="EP26" s="30"/>
      <c r="EQ26" s="30"/>
      <c r="ER26" s="30"/>
      <c r="ES26" s="30"/>
      <c r="ET26" s="85"/>
      <c r="EU26" s="85"/>
      <c r="EV26" s="85"/>
    </row>
    <row r="27" spans="2:152">
      <c r="B27" s="11">
        <f t="shared" si="1"/>
        <v>0.17</v>
      </c>
      <c r="C27" s="28">
        <v>0.9</v>
      </c>
      <c r="D27" s="16"/>
      <c r="E27" s="8"/>
      <c r="F27" s="27">
        <f t="shared" si="2"/>
        <v>-0.47710487444608568</v>
      </c>
      <c r="G27" s="27">
        <f t="shared" si="3"/>
        <v>-0.41376363104183439</v>
      </c>
      <c r="H27" s="27">
        <f t="shared" si="4"/>
        <v>-7.6224096021799345E-2</v>
      </c>
      <c r="I27" s="27">
        <f t="shared" si="5"/>
        <v>6.4282523852234608</v>
      </c>
      <c r="J27" s="27">
        <f t="shared" si="6"/>
        <v>-0.51171579743008322</v>
      </c>
      <c r="K27" s="27">
        <f t="shared" si="7"/>
        <v>0.38591004863704648</v>
      </c>
      <c r="L27" s="27">
        <f t="shared" si="8"/>
        <v>0.29298530914362481</v>
      </c>
      <c r="M27" s="17">
        <f t="shared" si="9"/>
        <v>0.1354102230006696</v>
      </c>
      <c r="N27" s="17">
        <f t="shared" si="10"/>
        <v>0.1354102230006696</v>
      </c>
      <c r="O27" s="17">
        <f t="shared" si="11"/>
        <v>0.1354102230006696</v>
      </c>
      <c r="P27" s="17">
        <f t="shared" si="0"/>
        <v>0.1354102230006696</v>
      </c>
      <c r="Q27" s="17">
        <f t="shared" si="12"/>
        <v>0</v>
      </c>
      <c r="S27" s="81"/>
      <c r="T27" s="30"/>
      <c r="U27" s="30"/>
      <c r="W27" s="30"/>
      <c r="X27" s="30"/>
      <c r="Y27" s="30"/>
      <c r="Z27" s="30"/>
      <c r="AA27" s="30"/>
      <c r="AB27" s="30"/>
      <c r="AC27" s="30"/>
      <c r="AD27" s="85"/>
      <c r="AE27" s="85"/>
      <c r="AF27" s="85"/>
      <c r="AH27" s="81"/>
      <c r="AI27" s="30"/>
      <c r="AJ27" s="30"/>
      <c r="AL27" s="30"/>
      <c r="AM27" s="30"/>
      <c r="AN27" s="30"/>
      <c r="AO27" s="30"/>
      <c r="AP27" s="30"/>
      <c r="AQ27" s="30"/>
      <c r="AR27" s="30"/>
      <c r="AS27" s="85"/>
      <c r="AT27" s="85"/>
      <c r="AU27" s="85"/>
      <c r="AW27" s="81"/>
      <c r="AX27" s="30"/>
      <c r="AY27" s="30"/>
      <c r="BA27" s="30"/>
      <c r="BB27" s="30"/>
      <c r="BC27" s="30"/>
      <c r="BD27" s="30"/>
      <c r="BE27" s="30"/>
      <c r="BF27" s="30"/>
      <c r="BG27" s="30"/>
      <c r="BH27" s="85"/>
      <c r="BI27" s="85"/>
      <c r="BJ27" s="85"/>
      <c r="BL27" s="81"/>
      <c r="BM27" s="30"/>
      <c r="BN27" s="30"/>
      <c r="BP27" s="30"/>
      <c r="BQ27" s="30"/>
      <c r="BR27" s="30"/>
      <c r="BS27" s="30"/>
      <c r="BT27" s="30"/>
      <c r="BU27" s="30"/>
      <c r="BV27" s="30"/>
      <c r="BW27" s="85"/>
      <c r="BX27" s="85"/>
      <c r="BY27" s="85"/>
      <c r="CA27" s="81"/>
      <c r="CB27" s="30"/>
      <c r="CC27" s="30"/>
      <c r="CE27" s="30"/>
      <c r="CF27" s="30"/>
      <c r="CG27" s="30"/>
      <c r="CH27" s="30"/>
      <c r="CI27" s="30"/>
      <c r="CJ27" s="30"/>
      <c r="CK27" s="30"/>
      <c r="CL27" s="85"/>
      <c r="CM27" s="85"/>
      <c r="CN27" s="85"/>
      <c r="CP27" s="81"/>
      <c r="CQ27" s="30"/>
      <c r="CR27" s="30"/>
      <c r="CT27" s="30"/>
      <c r="CU27" s="30"/>
      <c r="CV27" s="30"/>
      <c r="CW27" s="30"/>
      <c r="CX27" s="30"/>
      <c r="CY27" s="30"/>
      <c r="CZ27" s="30"/>
      <c r="DA27" s="85"/>
      <c r="DB27" s="85"/>
      <c r="DC27" s="85"/>
      <c r="DE27" s="81"/>
      <c r="DF27" s="30"/>
      <c r="DG27" s="30"/>
      <c r="DI27" s="30"/>
      <c r="DJ27" s="30"/>
      <c r="DK27" s="30"/>
      <c r="DL27" s="30"/>
      <c r="DM27" s="30"/>
      <c r="DN27" s="30"/>
      <c r="DO27" s="30"/>
      <c r="DP27" s="85"/>
      <c r="DQ27" s="85"/>
      <c r="DR27" s="85"/>
      <c r="DT27" s="81"/>
      <c r="DU27" s="30"/>
      <c r="DV27" s="30"/>
      <c r="DX27" s="30"/>
      <c r="DY27" s="30"/>
      <c r="DZ27" s="30"/>
      <c r="EA27" s="30"/>
      <c r="EB27" s="30"/>
      <c r="EC27" s="30"/>
      <c r="ED27" s="30"/>
      <c r="EE27" s="85"/>
      <c r="EF27" s="85"/>
      <c r="EG27" s="85"/>
      <c r="EI27" s="81"/>
      <c r="EJ27" s="30"/>
      <c r="EK27" s="30"/>
      <c r="EM27" s="30"/>
      <c r="EN27" s="30"/>
      <c r="EO27" s="30"/>
      <c r="EP27" s="30"/>
      <c r="EQ27" s="30"/>
      <c r="ER27" s="30"/>
      <c r="ES27" s="30"/>
      <c r="ET27" s="85"/>
      <c r="EU27" s="85"/>
      <c r="EV27" s="85"/>
    </row>
    <row r="28" spans="2:152">
      <c r="B28" s="11">
        <f t="shared" si="1"/>
        <v>0.17</v>
      </c>
      <c r="C28" s="28">
        <v>0.96</v>
      </c>
      <c r="D28" s="16"/>
      <c r="E28" s="8"/>
      <c r="F28" s="27">
        <f t="shared" si="2"/>
        <v>-0.49970005998800238</v>
      </c>
      <c r="G28" s="27">
        <f t="shared" si="3"/>
        <v>-0.41695364543081909</v>
      </c>
      <c r="H28" s="27">
        <f t="shared" si="4"/>
        <v>-7.3034081632814676E-2</v>
      </c>
      <c r="I28" s="27">
        <f t="shared" si="5"/>
        <v>6.7090283893359617</v>
      </c>
      <c r="J28" s="27">
        <f t="shared" si="6"/>
        <v>-0.50015001500150014</v>
      </c>
      <c r="K28" s="27">
        <f t="shared" si="7"/>
        <v>0.38596344474823552</v>
      </c>
      <c r="L28" s="27">
        <f t="shared" si="8"/>
        <v>0.30683410349413304</v>
      </c>
      <c r="M28" s="17">
        <f t="shared" si="9"/>
        <v>0.136094849048955</v>
      </c>
      <c r="N28" s="17">
        <f t="shared" si="10"/>
        <v>0.136094849048955</v>
      </c>
      <c r="O28" s="17">
        <f t="shared" si="11"/>
        <v>0.136094849048955</v>
      </c>
      <c r="P28" s="17">
        <f t="shared" si="0"/>
        <v>0.136094849048955</v>
      </c>
      <c r="Q28" s="17">
        <f t="shared" si="12"/>
        <v>0</v>
      </c>
      <c r="S28" s="81"/>
      <c r="T28" s="30"/>
      <c r="U28" s="30"/>
      <c r="W28" s="30"/>
      <c r="X28" s="30"/>
      <c r="Y28" s="30"/>
      <c r="Z28" s="30"/>
      <c r="AA28" s="30"/>
      <c r="AB28" s="30"/>
      <c r="AC28" s="30"/>
      <c r="AD28" s="85"/>
      <c r="AE28" s="85"/>
      <c r="AF28" s="85"/>
      <c r="AH28" s="81"/>
      <c r="AI28" s="30"/>
      <c r="AJ28" s="30"/>
      <c r="AL28" s="30"/>
      <c r="AM28" s="30"/>
      <c r="AN28" s="30"/>
      <c r="AO28" s="30"/>
      <c r="AP28" s="30"/>
      <c r="AQ28" s="30"/>
      <c r="AR28" s="30"/>
      <c r="AS28" s="85"/>
      <c r="AT28" s="85"/>
      <c r="AU28" s="85"/>
      <c r="AW28" s="81"/>
      <c r="AX28" s="30"/>
      <c r="AY28" s="30"/>
      <c r="BA28" s="30"/>
      <c r="BB28" s="30"/>
      <c r="BC28" s="30"/>
      <c r="BD28" s="30"/>
      <c r="BE28" s="30"/>
      <c r="BF28" s="30"/>
      <c r="BG28" s="30"/>
      <c r="BH28" s="85"/>
      <c r="BI28" s="85"/>
      <c r="BJ28" s="85"/>
      <c r="BL28" s="81"/>
      <c r="BM28" s="30"/>
      <c r="BN28" s="30"/>
      <c r="BP28" s="30"/>
      <c r="BQ28" s="30"/>
      <c r="BR28" s="30"/>
      <c r="BS28" s="30"/>
      <c r="BT28" s="30"/>
      <c r="BU28" s="30"/>
      <c r="BV28" s="30"/>
      <c r="BW28" s="85"/>
      <c r="BX28" s="85"/>
      <c r="BY28" s="85"/>
      <c r="CA28" s="81"/>
      <c r="CB28" s="30"/>
      <c r="CC28" s="30"/>
      <c r="CE28" s="30"/>
      <c r="CF28" s="30"/>
      <c r="CG28" s="30"/>
      <c r="CH28" s="30"/>
      <c r="CI28" s="30"/>
      <c r="CJ28" s="30"/>
      <c r="CK28" s="30"/>
      <c r="CL28" s="85"/>
      <c r="CM28" s="85"/>
      <c r="CN28" s="85"/>
      <c r="CP28" s="81"/>
      <c r="CQ28" s="30"/>
      <c r="CR28" s="30"/>
      <c r="CT28" s="30"/>
      <c r="CU28" s="30"/>
      <c r="CV28" s="30"/>
      <c r="CW28" s="30"/>
      <c r="CX28" s="30"/>
      <c r="CY28" s="30"/>
      <c r="CZ28" s="30"/>
      <c r="DA28" s="85"/>
      <c r="DB28" s="85"/>
      <c r="DC28" s="85"/>
      <c r="DE28" s="81"/>
      <c r="DF28" s="30"/>
      <c r="DG28" s="30"/>
      <c r="DI28" s="30"/>
      <c r="DJ28" s="30"/>
      <c r="DK28" s="30"/>
      <c r="DL28" s="30"/>
      <c r="DM28" s="30"/>
      <c r="DN28" s="30"/>
      <c r="DO28" s="30"/>
      <c r="DP28" s="85"/>
      <c r="DQ28" s="85"/>
      <c r="DR28" s="85"/>
      <c r="DT28" s="81"/>
      <c r="DU28" s="30"/>
      <c r="DV28" s="30"/>
      <c r="DX28" s="30"/>
      <c r="DY28" s="30"/>
      <c r="DZ28" s="30"/>
      <c r="EA28" s="30"/>
      <c r="EB28" s="30"/>
      <c r="EC28" s="30"/>
      <c r="ED28" s="30"/>
      <c r="EE28" s="85"/>
      <c r="EF28" s="85"/>
      <c r="EG28" s="85"/>
      <c r="EI28" s="81"/>
      <c r="EJ28" s="30"/>
      <c r="EK28" s="30"/>
      <c r="EM28" s="30"/>
      <c r="EN28" s="30"/>
      <c r="EO28" s="30"/>
      <c r="EP28" s="30"/>
      <c r="EQ28" s="30"/>
      <c r="ER28" s="30"/>
      <c r="ES28" s="30"/>
      <c r="ET28" s="85"/>
      <c r="EU28" s="85"/>
      <c r="EV28" s="85"/>
    </row>
    <row r="29" spans="2:152">
      <c r="B29" s="11">
        <f t="shared" si="1"/>
        <v>0.17</v>
      </c>
      <c r="C29" s="28">
        <v>1.02</v>
      </c>
      <c r="D29" s="16"/>
      <c r="E29" s="8"/>
      <c r="F29" s="27">
        <f t="shared" si="2"/>
        <v>-0.52299725860493462</v>
      </c>
      <c r="G29" s="27">
        <f t="shared" si="3"/>
        <v>-0.42014365981980367</v>
      </c>
      <c r="H29" s="27">
        <f t="shared" si="4"/>
        <v>-6.9844067243830021E-2</v>
      </c>
      <c r="I29" s="27">
        <f t="shared" si="5"/>
        <v>7.0154523698205571</v>
      </c>
      <c r="J29" s="27">
        <f t="shared" si="6"/>
        <v>-0.48875986303409258</v>
      </c>
      <c r="K29" s="27">
        <f t="shared" si="7"/>
        <v>0.38590636482040935</v>
      </c>
      <c r="L29" s="27">
        <f t="shared" si="8"/>
        <v>0.32116928772566478</v>
      </c>
      <c r="M29" s="17">
        <f t="shared" si="9"/>
        <v>0.13680792726684943</v>
      </c>
      <c r="N29" s="17">
        <f t="shared" si="10"/>
        <v>0.13680792726684943</v>
      </c>
      <c r="O29" s="17">
        <f t="shared" si="11"/>
        <v>0.13680792726684943</v>
      </c>
      <c r="P29" s="17">
        <f t="shared" si="0"/>
        <v>0.13680792726684943</v>
      </c>
      <c r="Q29" s="17">
        <f t="shared" si="12"/>
        <v>0</v>
      </c>
      <c r="S29" s="81"/>
      <c r="T29" s="30"/>
      <c r="U29" s="30"/>
      <c r="W29" s="30"/>
      <c r="X29" s="30"/>
      <c r="Y29" s="30"/>
      <c r="Z29" s="30"/>
      <c r="AA29" s="30"/>
      <c r="AB29" s="30"/>
      <c r="AC29" s="30"/>
      <c r="AD29" s="85"/>
      <c r="AE29" s="85"/>
      <c r="AF29" s="85"/>
      <c r="AH29" s="81"/>
      <c r="AI29" s="30"/>
      <c r="AJ29" s="30"/>
      <c r="AL29" s="30"/>
      <c r="AM29" s="30"/>
      <c r="AN29" s="30"/>
      <c r="AO29" s="30"/>
      <c r="AP29" s="30"/>
      <c r="AQ29" s="30"/>
      <c r="AR29" s="30"/>
      <c r="AS29" s="85"/>
      <c r="AT29" s="85"/>
      <c r="AU29" s="85"/>
      <c r="AW29" s="81"/>
      <c r="AX29" s="30"/>
      <c r="AY29" s="30"/>
      <c r="BA29" s="30"/>
      <c r="BB29" s="30"/>
      <c r="BC29" s="30"/>
      <c r="BD29" s="30"/>
      <c r="BE29" s="30"/>
      <c r="BF29" s="30"/>
      <c r="BG29" s="30"/>
      <c r="BH29" s="85"/>
      <c r="BI29" s="85"/>
      <c r="BJ29" s="85"/>
      <c r="BL29" s="81"/>
      <c r="BM29" s="30"/>
      <c r="BN29" s="30"/>
      <c r="BP29" s="30"/>
      <c r="BQ29" s="30"/>
      <c r="BR29" s="30"/>
      <c r="BS29" s="30"/>
      <c r="BT29" s="30"/>
      <c r="BU29" s="30"/>
      <c r="BV29" s="30"/>
      <c r="BW29" s="85"/>
      <c r="BX29" s="85"/>
      <c r="BY29" s="85"/>
      <c r="CA29" s="81"/>
      <c r="CB29" s="30"/>
      <c r="CC29" s="30"/>
      <c r="CE29" s="30"/>
      <c r="CF29" s="30"/>
      <c r="CG29" s="30"/>
      <c r="CH29" s="30"/>
      <c r="CI29" s="30"/>
      <c r="CJ29" s="30"/>
      <c r="CK29" s="30"/>
      <c r="CL29" s="85"/>
      <c r="CM29" s="85"/>
      <c r="CN29" s="85"/>
      <c r="CP29" s="81"/>
      <c r="CQ29" s="30"/>
      <c r="CR29" s="30"/>
      <c r="CT29" s="30"/>
      <c r="CU29" s="30"/>
      <c r="CV29" s="30"/>
      <c r="CW29" s="30"/>
      <c r="CX29" s="30"/>
      <c r="CY29" s="30"/>
      <c r="CZ29" s="30"/>
      <c r="DA29" s="85"/>
      <c r="DB29" s="85"/>
      <c r="DC29" s="85"/>
      <c r="DE29" s="81"/>
      <c r="DF29" s="30"/>
      <c r="DG29" s="30"/>
      <c r="DI29" s="30"/>
      <c r="DJ29" s="30"/>
      <c r="DK29" s="30"/>
      <c r="DL29" s="30"/>
      <c r="DM29" s="30"/>
      <c r="DN29" s="30"/>
      <c r="DO29" s="30"/>
      <c r="DP29" s="85"/>
      <c r="DQ29" s="85"/>
      <c r="DR29" s="85"/>
      <c r="DT29" s="81"/>
      <c r="DU29" s="30"/>
      <c r="DV29" s="30"/>
      <c r="DX29" s="30"/>
      <c r="DY29" s="30"/>
      <c r="DZ29" s="30"/>
      <c r="EA29" s="30"/>
      <c r="EB29" s="30"/>
      <c r="EC29" s="30"/>
      <c r="ED29" s="30"/>
      <c r="EE29" s="85"/>
      <c r="EF29" s="85"/>
      <c r="EG29" s="85"/>
      <c r="EI29" s="81"/>
      <c r="EJ29" s="30"/>
      <c r="EK29" s="30"/>
      <c r="EM29" s="30"/>
      <c r="EN29" s="30"/>
      <c r="EO29" s="30"/>
      <c r="EP29" s="30"/>
      <c r="EQ29" s="30"/>
      <c r="ER29" s="30"/>
      <c r="ES29" s="30"/>
      <c r="ET29" s="85"/>
      <c r="EU29" s="85"/>
      <c r="EV29" s="85"/>
    </row>
    <row r="30" spans="2:152">
      <c r="B30" s="11">
        <f t="shared" si="1"/>
        <v>0.17</v>
      </c>
      <c r="C30" s="28">
        <v>1.08</v>
      </c>
      <c r="D30" s="16"/>
      <c r="E30" s="8"/>
      <c r="F30" s="27">
        <f t="shared" si="2"/>
        <v>-0.54702970297029707</v>
      </c>
      <c r="G30" s="27">
        <f t="shared" si="3"/>
        <v>-0.42333367420878842</v>
      </c>
      <c r="H30" s="27">
        <f t="shared" si="4"/>
        <v>-6.6654052854845353E-2</v>
      </c>
      <c r="I30" s="27">
        <f t="shared" si="5"/>
        <v>7.3512068070443606</v>
      </c>
      <c r="J30" s="27">
        <f t="shared" si="6"/>
        <v>-0.47754137115839235</v>
      </c>
      <c r="K30" s="27">
        <f t="shared" si="7"/>
        <v>0.38572510578860059</v>
      </c>
      <c r="L30" s="27">
        <f t="shared" si="8"/>
        <v>0.33602661292257247</v>
      </c>
      <c r="M30" s="17">
        <f t="shared" si="9"/>
        <v>0.13755184839752507</v>
      </c>
      <c r="N30" s="17">
        <f t="shared" si="10"/>
        <v>0.13755184839752507</v>
      </c>
      <c r="O30" s="17">
        <f t="shared" si="11"/>
        <v>0.13755184839752507</v>
      </c>
      <c r="P30" s="17">
        <f t="shared" si="0"/>
        <v>0.13755184839752507</v>
      </c>
      <c r="Q30" s="17">
        <f t="shared" si="12"/>
        <v>0</v>
      </c>
      <c r="S30" s="81"/>
      <c r="T30" s="30"/>
      <c r="U30" s="30"/>
      <c r="W30" s="30"/>
      <c r="X30" s="30"/>
      <c r="Y30" s="30"/>
      <c r="Z30" s="30"/>
      <c r="AA30" s="30"/>
      <c r="AB30" s="30"/>
      <c r="AC30" s="30"/>
      <c r="AD30" s="85"/>
      <c r="AE30" s="85"/>
      <c r="AF30" s="85"/>
      <c r="AH30" s="81"/>
      <c r="AI30" s="30"/>
      <c r="AJ30" s="30"/>
      <c r="AL30" s="30"/>
      <c r="AM30" s="30"/>
      <c r="AN30" s="30"/>
      <c r="AO30" s="30"/>
      <c r="AP30" s="30"/>
      <c r="AQ30" s="30"/>
      <c r="AR30" s="30"/>
      <c r="AS30" s="85"/>
      <c r="AT30" s="85"/>
      <c r="AU30" s="85"/>
      <c r="AW30" s="81"/>
      <c r="AX30" s="30"/>
      <c r="AY30" s="30"/>
      <c r="BA30" s="30"/>
      <c r="BB30" s="30"/>
      <c r="BC30" s="30"/>
      <c r="BD30" s="30"/>
      <c r="BE30" s="30"/>
      <c r="BF30" s="30"/>
      <c r="BG30" s="30"/>
      <c r="BH30" s="85"/>
      <c r="BI30" s="85"/>
      <c r="BJ30" s="85"/>
      <c r="BL30" s="81"/>
      <c r="BM30" s="30"/>
      <c r="BN30" s="30"/>
      <c r="BP30" s="30"/>
      <c r="BQ30" s="30"/>
      <c r="BR30" s="30"/>
      <c r="BS30" s="30"/>
      <c r="BT30" s="30"/>
      <c r="BU30" s="30"/>
      <c r="BV30" s="30"/>
      <c r="BW30" s="85"/>
      <c r="BX30" s="85"/>
      <c r="BY30" s="85"/>
      <c r="CA30" s="81"/>
      <c r="CB30" s="30"/>
      <c r="CC30" s="30"/>
      <c r="CE30" s="30"/>
      <c r="CF30" s="30"/>
      <c r="CG30" s="30"/>
      <c r="CH30" s="30"/>
      <c r="CI30" s="30"/>
      <c r="CJ30" s="30"/>
      <c r="CK30" s="30"/>
      <c r="CL30" s="85"/>
      <c r="CM30" s="85"/>
      <c r="CN30" s="85"/>
      <c r="CP30" s="81"/>
      <c r="CQ30" s="30"/>
      <c r="CR30" s="30"/>
      <c r="CT30" s="30"/>
      <c r="CU30" s="30"/>
      <c r="CV30" s="30"/>
      <c r="CW30" s="30"/>
      <c r="CX30" s="30"/>
      <c r="CY30" s="30"/>
      <c r="CZ30" s="30"/>
      <c r="DA30" s="85"/>
      <c r="DB30" s="85"/>
      <c r="DC30" s="85"/>
      <c r="DE30" s="81"/>
      <c r="DF30" s="30"/>
      <c r="DG30" s="30"/>
      <c r="DI30" s="30"/>
      <c r="DJ30" s="30"/>
      <c r="DK30" s="30"/>
      <c r="DL30" s="30"/>
      <c r="DM30" s="30"/>
      <c r="DN30" s="30"/>
      <c r="DO30" s="30"/>
      <c r="DP30" s="85"/>
      <c r="DQ30" s="85"/>
      <c r="DR30" s="85"/>
      <c r="DT30" s="81"/>
      <c r="DU30" s="30"/>
      <c r="DV30" s="30"/>
      <c r="DX30" s="30"/>
      <c r="DY30" s="30"/>
      <c r="DZ30" s="30"/>
      <c r="EA30" s="30"/>
      <c r="EB30" s="30"/>
      <c r="EC30" s="30"/>
      <c r="ED30" s="30"/>
      <c r="EE30" s="85"/>
      <c r="EF30" s="85"/>
      <c r="EG30" s="85"/>
      <c r="EI30" s="81"/>
      <c r="EJ30" s="30"/>
      <c r="EK30" s="30"/>
      <c r="EM30" s="30"/>
      <c r="EN30" s="30"/>
      <c r="EO30" s="30"/>
      <c r="EP30" s="30"/>
      <c r="EQ30" s="30"/>
      <c r="ER30" s="30"/>
      <c r="ES30" s="30"/>
      <c r="ET30" s="85"/>
      <c r="EU30" s="85"/>
      <c r="EV30" s="85"/>
    </row>
    <row r="31" spans="2:152">
      <c r="B31" s="11">
        <f t="shared" si="1"/>
        <v>0.17</v>
      </c>
      <c r="C31" s="28">
        <v>1.1399999999999999</v>
      </c>
      <c r="D31" s="16"/>
      <c r="E31" s="8"/>
      <c r="F31" s="27">
        <f t="shared" si="2"/>
        <v>-0.57183275699465563</v>
      </c>
      <c r="G31" s="27">
        <f t="shared" si="3"/>
        <v>-0.42652368859777301</v>
      </c>
      <c r="H31" s="27">
        <f t="shared" si="4"/>
        <v>-6.3464038465860698E-2</v>
      </c>
      <c r="I31" s="27">
        <f t="shared" si="5"/>
        <v>7.7207145795994929</v>
      </c>
      <c r="J31" s="27">
        <f t="shared" si="6"/>
        <v>-0.46649068778413266</v>
      </c>
      <c r="K31" s="27">
        <f t="shared" si="7"/>
        <v>0.38540384525077392</v>
      </c>
      <c r="L31" s="27">
        <f t="shared" si="8"/>
        <v>0.35144621360856393</v>
      </c>
      <c r="M31" s="17">
        <f t="shared" si="9"/>
        <v>0.13832932348698737</v>
      </c>
      <c r="N31" s="17">
        <f t="shared" si="10"/>
        <v>0.13832932348698737</v>
      </c>
      <c r="O31" s="17">
        <f t="shared" si="11"/>
        <v>0.13832932348698737</v>
      </c>
      <c r="P31" s="17">
        <f t="shared" si="0"/>
        <v>0.13832932348698737</v>
      </c>
      <c r="Q31" s="17">
        <f t="shared" si="12"/>
        <v>0</v>
      </c>
      <c r="S31" s="81"/>
      <c r="T31" s="30"/>
      <c r="U31" s="30"/>
      <c r="W31" s="30"/>
      <c r="X31" s="30"/>
      <c r="Y31" s="30"/>
      <c r="Z31" s="30"/>
      <c r="AA31" s="30"/>
      <c r="AB31" s="30"/>
      <c r="AC31" s="30"/>
      <c r="AD31" s="85"/>
      <c r="AE31" s="85"/>
      <c r="AF31" s="85"/>
      <c r="AH31" s="81"/>
      <c r="AI31" s="30"/>
      <c r="AJ31" s="30"/>
      <c r="AL31" s="30"/>
      <c r="AM31" s="30"/>
      <c r="AN31" s="30"/>
      <c r="AO31" s="30"/>
      <c r="AP31" s="30"/>
      <c r="AQ31" s="30"/>
      <c r="AR31" s="30"/>
      <c r="AS31" s="85"/>
      <c r="AT31" s="85"/>
      <c r="AU31" s="85"/>
      <c r="AW31" s="81"/>
      <c r="AX31" s="30"/>
      <c r="AY31" s="30"/>
      <c r="BA31" s="30"/>
      <c r="BB31" s="30"/>
      <c r="BC31" s="30"/>
      <c r="BD31" s="30"/>
      <c r="BE31" s="30"/>
      <c r="BF31" s="30"/>
      <c r="BG31" s="30"/>
      <c r="BH31" s="85"/>
      <c r="BI31" s="85"/>
      <c r="BJ31" s="85"/>
      <c r="BL31" s="81"/>
      <c r="BM31" s="30"/>
      <c r="BN31" s="30"/>
      <c r="BP31" s="30"/>
      <c r="BQ31" s="30"/>
      <c r="BR31" s="30"/>
      <c r="BS31" s="30"/>
      <c r="BT31" s="30"/>
      <c r="BU31" s="30"/>
      <c r="BV31" s="30"/>
      <c r="BW31" s="85"/>
      <c r="BX31" s="85"/>
      <c r="BY31" s="85"/>
      <c r="CA31" s="81"/>
      <c r="CB31" s="30"/>
      <c r="CC31" s="30"/>
      <c r="CE31" s="30"/>
      <c r="CF31" s="30"/>
      <c r="CG31" s="30"/>
      <c r="CH31" s="30"/>
      <c r="CI31" s="30"/>
      <c r="CJ31" s="30"/>
      <c r="CK31" s="30"/>
      <c r="CL31" s="85"/>
      <c r="CM31" s="85"/>
      <c r="CN31" s="85"/>
      <c r="CP31" s="81"/>
      <c r="CQ31" s="30"/>
      <c r="CR31" s="30"/>
      <c r="CT31" s="30"/>
      <c r="CU31" s="30"/>
      <c r="CV31" s="30"/>
      <c r="CW31" s="30"/>
      <c r="CX31" s="30"/>
      <c r="CY31" s="30"/>
      <c r="CZ31" s="30"/>
      <c r="DA31" s="85"/>
      <c r="DB31" s="85"/>
      <c r="DC31" s="85"/>
      <c r="DE31" s="81"/>
      <c r="DF31" s="30"/>
      <c r="DG31" s="30"/>
      <c r="DI31" s="30"/>
      <c r="DJ31" s="30"/>
      <c r="DK31" s="30"/>
      <c r="DL31" s="30"/>
      <c r="DM31" s="30"/>
      <c r="DN31" s="30"/>
      <c r="DO31" s="30"/>
      <c r="DP31" s="85"/>
      <c r="DQ31" s="85"/>
      <c r="DR31" s="85"/>
      <c r="DT31" s="81"/>
      <c r="DU31" s="30"/>
      <c r="DV31" s="30"/>
      <c r="DX31" s="30"/>
      <c r="DY31" s="30"/>
      <c r="DZ31" s="30"/>
      <c r="EA31" s="30"/>
      <c r="EB31" s="30"/>
      <c r="EC31" s="30"/>
      <c r="ED31" s="30"/>
      <c r="EE31" s="85"/>
      <c r="EF31" s="85"/>
      <c r="EG31" s="85"/>
      <c r="EI31" s="81"/>
      <c r="EJ31" s="30"/>
      <c r="EK31" s="30"/>
      <c r="EM31" s="30"/>
      <c r="EN31" s="30"/>
      <c r="EO31" s="30"/>
      <c r="EP31" s="30"/>
      <c r="EQ31" s="30"/>
      <c r="ER31" s="30"/>
      <c r="ES31" s="30"/>
      <c r="ET31" s="85"/>
      <c r="EU31" s="85"/>
      <c r="EV31" s="85"/>
    </row>
    <row r="32" spans="2:152">
      <c r="B32" s="11">
        <f t="shared" si="1"/>
        <v>0.17</v>
      </c>
      <c r="C32" s="28">
        <v>1.2</v>
      </c>
      <c r="D32" s="16"/>
      <c r="E32" s="8"/>
      <c r="F32" s="27">
        <f t="shared" si="2"/>
        <v>-0.59744408945686922</v>
      </c>
      <c r="G32" s="27">
        <f t="shared" si="3"/>
        <v>-0.42971370298675776</v>
      </c>
      <c r="H32" s="27">
        <f t="shared" si="4"/>
        <v>-6.0274024076876029E-2</v>
      </c>
      <c r="I32" s="27">
        <f t="shared" si="5"/>
        <v>8.1293348928998466</v>
      </c>
      <c r="J32" s="27">
        <f t="shared" si="6"/>
        <v>-0.45560407569141181</v>
      </c>
      <c r="K32" s="27">
        <f t="shared" si="7"/>
        <v>0.38492420908282721</v>
      </c>
      <c r="L32" s="27">
        <f t="shared" si="8"/>
        <v>0.36747339585147398</v>
      </c>
      <c r="M32" s="17">
        <f t="shared" si="9"/>
        <v>0.13914344490833916</v>
      </c>
      <c r="N32" s="17">
        <f t="shared" si="10"/>
        <v>0.13914344490833916</v>
      </c>
      <c r="O32" s="17">
        <f t="shared" si="11"/>
        <v>0.13914344490833916</v>
      </c>
      <c r="P32" s="17">
        <f t="shared" si="0"/>
        <v>0.13914344490833916</v>
      </c>
      <c r="Q32" s="17">
        <f t="shared" si="12"/>
        <v>0</v>
      </c>
      <c r="S32" s="81"/>
      <c r="T32" s="30"/>
      <c r="U32" s="30"/>
      <c r="W32" s="30"/>
      <c r="X32" s="30"/>
      <c r="Y32" s="30"/>
      <c r="Z32" s="30"/>
      <c r="AA32" s="30"/>
      <c r="AB32" s="30"/>
      <c r="AC32" s="30"/>
      <c r="AD32" s="85"/>
      <c r="AE32" s="85"/>
      <c r="AF32" s="85"/>
      <c r="AH32" s="81"/>
      <c r="AI32" s="30"/>
      <c r="AJ32" s="30"/>
      <c r="AL32" s="30"/>
      <c r="AM32" s="30"/>
      <c r="AN32" s="30"/>
      <c r="AO32" s="30"/>
      <c r="AP32" s="30"/>
      <c r="AQ32" s="30"/>
      <c r="AR32" s="30"/>
      <c r="AS32" s="85"/>
      <c r="AT32" s="85"/>
      <c r="AU32" s="85"/>
      <c r="AW32" s="81"/>
      <c r="AX32" s="30"/>
      <c r="AY32" s="30"/>
      <c r="BA32" s="30"/>
      <c r="BB32" s="30"/>
      <c r="BC32" s="30"/>
      <c r="BD32" s="30"/>
      <c r="BE32" s="30"/>
      <c r="BF32" s="30"/>
      <c r="BG32" s="30"/>
      <c r="BH32" s="85"/>
      <c r="BI32" s="85"/>
      <c r="BJ32" s="85"/>
      <c r="BL32" s="81"/>
      <c r="BM32" s="30"/>
      <c r="BN32" s="30"/>
      <c r="BP32" s="30"/>
      <c r="BQ32" s="30"/>
      <c r="BR32" s="30"/>
      <c r="BS32" s="30"/>
      <c r="BT32" s="30"/>
      <c r="BU32" s="30"/>
      <c r="BV32" s="30"/>
      <c r="BW32" s="85"/>
      <c r="BX32" s="85"/>
      <c r="BY32" s="85"/>
      <c r="CA32" s="81"/>
      <c r="CB32" s="30"/>
      <c r="CC32" s="30"/>
      <c r="CE32" s="30"/>
      <c r="CF32" s="30"/>
      <c r="CG32" s="30"/>
      <c r="CH32" s="30"/>
      <c r="CI32" s="30"/>
      <c r="CJ32" s="30"/>
      <c r="CK32" s="30"/>
      <c r="CL32" s="85"/>
      <c r="CM32" s="85"/>
      <c r="CN32" s="85"/>
      <c r="CP32" s="81"/>
      <c r="CQ32" s="30"/>
      <c r="CR32" s="30"/>
      <c r="CT32" s="30"/>
      <c r="CU32" s="30"/>
      <c r="CV32" s="30"/>
      <c r="CW32" s="30"/>
      <c r="CX32" s="30"/>
      <c r="CY32" s="30"/>
      <c r="CZ32" s="30"/>
      <c r="DA32" s="85"/>
      <c r="DB32" s="85"/>
      <c r="DC32" s="85"/>
      <c r="DE32" s="81"/>
      <c r="DF32" s="30"/>
      <c r="DG32" s="30"/>
      <c r="DI32" s="30"/>
      <c r="DJ32" s="30"/>
      <c r="DK32" s="30"/>
      <c r="DL32" s="30"/>
      <c r="DM32" s="30"/>
      <c r="DN32" s="30"/>
      <c r="DO32" s="30"/>
      <c r="DP32" s="85"/>
      <c r="DQ32" s="85"/>
      <c r="DR32" s="85"/>
      <c r="DT32" s="81"/>
      <c r="DU32" s="30"/>
      <c r="DV32" s="30"/>
      <c r="DX32" s="30"/>
      <c r="DY32" s="30"/>
      <c r="DZ32" s="30"/>
      <c r="EA32" s="30"/>
      <c r="EB32" s="30"/>
      <c r="EC32" s="30"/>
      <c r="ED32" s="30"/>
      <c r="EE32" s="85"/>
      <c r="EF32" s="85"/>
      <c r="EG32" s="85"/>
      <c r="EI32" s="81"/>
      <c r="EJ32" s="30"/>
      <c r="EK32" s="30"/>
      <c r="EM32" s="30"/>
      <c r="EN32" s="30"/>
      <c r="EO32" s="30"/>
      <c r="EP32" s="30"/>
      <c r="EQ32" s="30"/>
      <c r="ER32" s="30"/>
      <c r="ES32" s="30"/>
      <c r="ET32" s="85"/>
      <c r="EU32" s="85"/>
      <c r="EV32" s="85"/>
    </row>
    <row r="33" spans="2:152">
      <c r="B33" s="11">
        <f t="shared" si="1"/>
        <v>0.17</v>
      </c>
      <c r="C33" s="28">
        <v>1.26</v>
      </c>
      <c r="D33" s="16"/>
      <c r="E33" s="8"/>
      <c r="F33" s="27">
        <f t="shared" si="2"/>
        <v>-0.62390386489119842</v>
      </c>
      <c r="G33" s="27">
        <f t="shared" si="3"/>
        <v>-0.43290371737574235</v>
      </c>
      <c r="H33" s="27">
        <f t="shared" si="4"/>
        <v>-5.708400968789136E-2</v>
      </c>
      <c r="I33" s="27">
        <f t="shared" si="5"/>
        <v>8.5836249020112145</v>
      </c>
      <c r="J33" s="27">
        <f t="shared" si="6"/>
        <v>-0.44487790781678954</v>
      </c>
      <c r="K33" s="27">
        <f t="shared" si="7"/>
        <v>0.38426472496681463</v>
      </c>
      <c r="L33" s="27">
        <f t="shared" si="8"/>
        <v>0.38415961784304936</v>
      </c>
      <c r="M33" s="17">
        <f t="shared" si="9"/>
        <v>0.13999776288175014</v>
      </c>
      <c r="N33" s="17">
        <f t="shared" si="10"/>
        <v>0.13999776288175014</v>
      </c>
      <c r="O33" s="17">
        <f t="shared" si="11"/>
        <v>0.13999776288175014</v>
      </c>
      <c r="P33" s="17">
        <f t="shared" si="0"/>
        <v>0.13999776288175014</v>
      </c>
      <c r="Q33" s="17">
        <f t="shared" si="12"/>
        <v>0</v>
      </c>
      <c r="S33" s="81"/>
      <c r="T33" s="30"/>
      <c r="U33" s="30"/>
      <c r="W33" s="30"/>
      <c r="X33" s="30"/>
      <c r="Y33" s="30"/>
      <c r="Z33" s="30"/>
      <c r="AA33" s="30"/>
      <c r="AB33" s="30"/>
      <c r="AC33" s="30"/>
      <c r="AD33" s="85"/>
      <c r="AE33" s="85"/>
      <c r="AF33" s="85"/>
      <c r="AH33" s="81"/>
      <c r="AI33" s="30"/>
      <c r="AJ33" s="30"/>
      <c r="AL33" s="30"/>
      <c r="AM33" s="30"/>
      <c r="AN33" s="30"/>
      <c r="AO33" s="30"/>
      <c r="AP33" s="30"/>
      <c r="AQ33" s="30"/>
      <c r="AR33" s="30"/>
      <c r="AS33" s="85"/>
      <c r="AT33" s="85"/>
      <c r="AU33" s="85"/>
      <c r="AW33" s="81"/>
      <c r="AX33" s="30"/>
      <c r="AY33" s="30"/>
      <c r="BA33" s="30"/>
      <c r="BB33" s="30"/>
      <c r="BC33" s="30"/>
      <c r="BD33" s="30"/>
      <c r="BE33" s="30"/>
      <c r="BF33" s="30"/>
      <c r="BG33" s="30"/>
      <c r="BH33" s="85"/>
      <c r="BI33" s="85"/>
      <c r="BJ33" s="85"/>
      <c r="BL33" s="81"/>
      <c r="BM33" s="30"/>
      <c r="BN33" s="30"/>
      <c r="BP33" s="30"/>
      <c r="BQ33" s="30"/>
      <c r="BR33" s="30"/>
      <c r="BS33" s="30"/>
      <c r="BT33" s="30"/>
      <c r="BU33" s="30"/>
      <c r="BV33" s="30"/>
      <c r="BW33" s="85"/>
      <c r="BX33" s="85"/>
      <c r="BY33" s="85"/>
      <c r="CA33" s="81"/>
      <c r="CB33" s="30"/>
      <c r="CC33" s="30"/>
      <c r="CE33" s="30"/>
      <c r="CF33" s="30"/>
      <c r="CG33" s="30"/>
      <c r="CH33" s="30"/>
      <c r="CI33" s="30"/>
      <c r="CJ33" s="30"/>
      <c r="CK33" s="30"/>
      <c r="CL33" s="85"/>
      <c r="CM33" s="85"/>
      <c r="CN33" s="85"/>
      <c r="CP33" s="81"/>
      <c r="CQ33" s="30"/>
      <c r="CR33" s="30"/>
      <c r="CT33" s="30"/>
      <c r="CU33" s="30"/>
      <c r="CV33" s="30"/>
      <c r="CW33" s="30"/>
      <c r="CX33" s="30"/>
      <c r="CY33" s="30"/>
      <c r="CZ33" s="30"/>
      <c r="DA33" s="85"/>
      <c r="DB33" s="85"/>
      <c r="DC33" s="85"/>
      <c r="DE33" s="81"/>
      <c r="DF33" s="30"/>
      <c r="DG33" s="30"/>
      <c r="DI33" s="30"/>
      <c r="DJ33" s="30"/>
      <c r="DK33" s="30"/>
      <c r="DL33" s="30"/>
      <c r="DM33" s="30"/>
      <c r="DN33" s="30"/>
      <c r="DO33" s="30"/>
      <c r="DP33" s="85"/>
      <c r="DQ33" s="85"/>
      <c r="DR33" s="85"/>
      <c r="DT33" s="81"/>
      <c r="DU33" s="30"/>
      <c r="DV33" s="30"/>
      <c r="DX33" s="30"/>
      <c r="DY33" s="30"/>
      <c r="DZ33" s="30"/>
      <c r="EA33" s="30"/>
      <c r="EB33" s="30"/>
      <c r="EC33" s="30"/>
      <c r="ED33" s="30"/>
      <c r="EE33" s="85"/>
      <c r="EF33" s="85"/>
      <c r="EG33" s="85"/>
      <c r="EI33" s="81"/>
      <c r="EJ33" s="30"/>
      <c r="EK33" s="30"/>
      <c r="EM33" s="30"/>
      <c r="EN33" s="30"/>
      <c r="EO33" s="30"/>
      <c r="EP33" s="30"/>
      <c r="EQ33" s="30"/>
      <c r="ER33" s="30"/>
      <c r="ES33" s="30"/>
      <c r="ET33" s="85"/>
      <c r="EU33" s="85"/>
      <c r="EV33" s="85"/>
    </row>
    <row r="34" spans="2:152">
      <c r="B34" s="11">
        <f t="shared" si="1"/>
        <v>0.17</v>
      </c>
      <c r="C34" s="28">
        <v>1.32</v>
      </c>
      <c r="D34" s="16"/>
      <c r="E34" s="8"/>
      <c r="F34" s="27">
        <f t="shared" si="2"/>
        <v>-0.65125495376486153</v>
      </c>
      <c r="G34" s="27">
        <f t="shared" si="3"/>
        <v>-0.43609373176472704</v>
      </c>
      <c r="H34" s="27">
        <f t="shared" si="4"/>
        <v>-5.3893995298906691E-2</v>
      </c>
      <c r="I34" s="27">
        <f t="shared" si="5"/>
        <v>9.0916942480524128</v>
      </c>
      <c r="J34" s="27">
        <f t="shared" si="6"/>
        <v>-0.43430866322432576</v>
      </c>
      <c r="K34" s="27">
        <f t="shared" si="7"/>
        <v>0.38340012384354011</v>
      </c>
      <c r="L34" s="27">
        <f t="shared" si="8"/>
        <v>0.40156372383769467</v>
      </c>
      <c r="M34" s="17">
        <f t="shared" si="9"/>
        <v>0.14089638252649317</v>
      </c>
      <c r="N34" s="17">
        <f t="shared" si="10"/>
        <v>0.14089638252649317</v>
      </c>
      <c r="O34" s="17">
        <f t="shared" si="11"/>
        <v>0.14089638252649317</v>
      </c>
      <c r="P34" s="17">
        <f t="shared" si="0"/>
        <v>0.14089638252649317</v>
      </c>
      <c r="Q34" s="17">
        <f t="shared" si="12"/>
        <v>0</v>
      </c>
      <c r="S34" s="81"/>
      <c r="T34" s="30"/>
      <c r="U34" s="30"/>
      <c r="W34" s="30"/>
      <c r="X34" s="30"/>
      <c r="Y34" s="30"/>
      <c r="Z34" s="30"/>
      <c r="AA34" s="30"/>
      <c r="AB34" s="30"/>
      <c r="AC34" s="30"/>
      <c r="AD34" s="85"/>
      <c r="AE34" s="85"/>
      <c r="AF34" s="85"/>
      <c r="AH34" s="81"/>
      <c r="AI34" s="30"/>
      <c r="AJ34" s="30"/>
      <c r="AL34" s="30"/>
      <c r="AM34" s="30"/>
      <c r="AN34" s="30"/>
      <c r="AO34" s="30"/>
      <c r="AP34" s="30"/>
      <c r="AQ34" s="30"/>
      <c r="AR34" s="30"/>
      <c r="AS34" s="85"/>
      <c r="AT34" s="85"/>
      <c r="AU34" s="85"/>
      <c r="AW34" s="81"/>
      <c r="AX34" s="30"/>
      <c r="AY34" s="30"/>
      <c r="BA34" s="30"/>
      <c r="BB34" s="30"/>
      <c r="BC34" s="30"/>
      <c r="BD34" s="30"/>
      <c r="BE34" s="30"/>
      <c r="BF34" s="30"/>
      <c r="BG34" s="30"/>
      <c r="BH34" s="85"/>
      <c r="BI34" s="85"/>
      <c r="BJ34" s="85"/>
      <c r="BL34" s="81"/>
      <c r="BM34" s="30"/>
      <c r="BN34" s="30"/>
      <c r="BP34" s="30"/>
      <c r="BQ34" s="30"/>
      <c r="BR34" s="30"/>
      <c r="BS34" s="30"/>
      <c r="BT34" s="30"/>
      <c r="BU34" s="30"/>
      <c r="BV34" s="30"/>
      <c r="BW34" s="85"/>
      <c r="BX34" s="85"/>
      <c r="BY34" s="85"/>
      <c r="CA34" s="81"/>
      <c r="CB34" s="30"/>
      <c r="CC34" s="30"/>
      <c r="CE34" s="30"/>
      <c r="CF34" s="30"/>
      <c r="CG34" s="30"/>
      <c r="CH34" s="30"/>
      <c r="CI34" s="30"/>
      <c r="CJ34" s="30"/>
      <c r="CK34" s="30"/>
      <c r="CL34" s="85"/>
      <c r="CM34" s="85"/>
      <c r="CN34" s="85"/>
      <c r="CP34" s="81"/>
      <c r="CQ34" s="30"/>
      <c r="CR34" s="30"/>
      <c r="CT34" s="30"/>
      <c r="CU34" s="30"/>
      <c r="CV34" s="30"/>
      <c r="CW34" s="30"/>
      <c r="CX34" s="30"/>
      <c r="CY34" s="30"/>
      <c r="CZ34" s="30"/>
      <c r="DA34" s="85"/>
      <c r="DB34" s="85"/>
      <c r="DC34" s="85"/>
      <c r="DE34" s="81"/>
      <c r="DF34" s="30"/>
      <c r="DG34" s="30"/>
      <c r="DI34" s="30"/>
      <c r="DJ34" s="30"/>
      <c r="DK34" s="30"/>
      <c r="DL34" s="30"/>
      <c r="DM34" s="30"/>
      <c r="DN34" s="30"/>
      <c r="DO34" s="30"/>
      <c r="DP34" s="85"/>
      <c r="DQ34" s="85"/>
      <c r="DR34" s="85"/>
      <c r="DT34" s="81"/>
      <c r="DU34" s="30"/>
      <c r="DV34" s="30"/>
      <c r="DX34" s="30"/>
      <c r="DY34" s="30"/>
      <c r="DZ34" s="30"/>
      <c r="EA34" s="30"/>
      <c r="EB34" s="30"/>
      <c r="EC34" s="30"/>
      <c r="ED34" s="30"/>
      <c r="EE34" s="85"/>
      <c r="EF34" s="85"/>
      <c r="EG34" s="85"/>
      <c r="EI34" s="81"/>
      <c r="EJ34" s="30"/>
      <c r="EK34" s="30"/>
      <c r="EM34" s="30"/>
      <c r="EN34" s="30"/>
      <c r="EO34" s="30"/>
      <c r="EP34" s="30"/>
      <c r="EQ34" s="30"/>
      <c r="ER34" s="30"/>
      <c r="ES34" s="30"/>
      <c r="ET34" s="85"/>
      <c r="EU34" s="85"/>
      <c r="EV34" s="85"/>
    </row>
    <row r="35" spans="2:152">
      <c r="B35" s="11">
        <f t="shared" si="1"/>
        <v>0.17</v>
      </c>
      <c r="C35" s="28">
        <v>1.38</v>
      </c>
      <c r="D35" s="16"/>
      <c r="E35" s="8"/>
      <c r="F35" s="27">
        <f t="shared" si="2"/>
        <v>-0.6795431642593216</v>
      </c>
      <c r="G35" s="27">
        <f t="shared" si="3"/>
        <v>-0.43928374615371163</v>
      </c>
      <c r="H35" s="27">
        <f t="shared" si="4"/>
        <v>-5.0703980909922036E-2</v>
      </c>
      <c r="I35" s="27">
        <f t="shared" si="5"/>
        <v>9.6636934274277095</v>
      </c>
      <c r="J35" s="27">
        <f t="shared" si="6"/>
        <v>-0.42389292325217143</v>
      </c>
      <c r="K35" s="27">
        <f t="shared" si="7"/>
        <v>0.38230043565458899</v>
      </c>
      <c r="L35" s="27">
        <f t="shared" si="8"/>
        <v>0.41975351651688508</v>
      </c>
      <c r="M35" s="17">
        <f t="shared" si="9"/>
        <v>0.14184408852121311</v>
      </c>
      <c r="N35" s="17">
        <f t="shared" si="10"/>
        <v>0.14184408852121311</v>
      </c>
      <c r="O35" s="17">
        <f t="shared" si="11"/>
        <v>0.14184408852121311</v>
      </c>
      <c r="P35" s="17">
        <f t="shared" si="0"/>
        <v>0.14184408852121311</v>
      </c>
      <c r="Q35" s="17">
        <f t="shared" si="12"/>
        <v>0</v>
      </c>
      <c r="S35" s="81"/>
      <c r="T35" s="30"/>
      <c r="U35" s="30"/>
      <c r="W35" s="30"/>
      <c r="X35" s="30"/>
      <c r="Y35" s="30"/>
      <c r="Z35" s="30"/>
      <c r="AA35" s="30"/>
      <c r="AB35" s="30"/>
      <c r="AC35" s="30"/>
      <c r="AD35" s="85"/>
      <c r="AE35" s="85"/>
      <c r="AF35" s="85"/>
      <c r="AH35" s="81"/>
      <c r="AI35" s="30"/>
      <c r="AJ35" s="30"/>
      <c r="AL35" s="30"/>
      <c r="AM35" s="30"/>
      <c r="AN35" s="30"/>
      <c r="AO35" s="30"/>
      <c r="AP35" s="30"/>
      <c r="AQ35" s="30"/>
      <c r="AR35" s="30"/>
      <c r="AS35" s="85"/>
      <c r="AT35" s="85"/>
      <c r="AU35" s="85"/>
      <c r="AW35" s="81"/>
      <c r="AX35" s="30"/>
      <c r="AY35" s="30"/>
      <c r="BA35" s="30"/>
      <c r="BB35" s="30"/>
      <c r="BC35" s="30"/>
      <c r="BD35" s="30"/>
      <c r="BE35" s="30"/>
      <c r="BF35" s="30"/>
      <c r="BG35" s="30"/>
      <c r="BH35" s="85"/>
      <c r="BI35" s="85"/>
      <c r="BJ35" s="85"/>
      <c r="BL35" s="81"/>
      <c r="BM35" s="30"/>
      <c r="BN35" s="30"/>
      <c r="BP35" s="30"/>
      <c r="BQ35" s="30"/>
      <c r="BR35" s="30"/>
      <c r="BS35" s="30"/>
      <c r="BT35" s="30"/>
      <c r="BU35" s="30"/>
      <c r="BV35" s="30"/>
      <c r="BW35" s="85"/>
      <c r="BX35" s="85"/>
      <c r="BY35" s="85"/>
      <c r="CA35" s="81"/>
      <c r="CB35" s="30"/>
      <c r="CC35" s="30"/>
      <c r="CE35" s="30"/>
      <c r="CF35" s="30"/>
      <c r="CG35" s="30"/>
      <c r="CH35" s="30"/>
      <c r="CI35" s="30"/>
      <c r="CJ35" s="30"/>
      <c r="CK35" s="30"/>
      <c r="CL35" s="85"/>
      <c r="CM35" s="85"/>
      <c r="CN35" s="85"/>
      <c r="CP35" s="81"/>
      <c r="CQ35" s="30"/>
      <c r="CR35" s="30"/>
      <c r="CT35" s="30"/>
      <c r="CU35" s="30"/>
      <c r="CV35" s="30"/>
      <c r="CW35" s="30"/>
      <c r="CX35" s="30"/>
      <c r="CY35" s="30"/>
      <c r="CZ35" s="30"/>
      <c r="DA35" s="85"/>
      <c r="DB35" s="85"/>
      <c r="DC35" s="85"/>
      <c r="DE35" s="81"/>
      <c r="DF35" s="30"/>
      <c r="DG35" s="30"/>
      <c r="DI35" s="30"/>
      <c r="DJ35" s="30"/>
      <c r="DK35" s="30"/>
      <c r="DL35" s="30"/>
      <c r="DM35" s="30"/>
      <c r="DN35" s="30"/>
      <c r="DO35" s="30"/>
      <c r="DP35" s="85"/>
      <c r="DQ35" s="85"/>
      <c r="DR35" s="85"/>
      <c r="DT35" s="81"/>
      <c r="DU35" s="30"/>
      <c r="DV35" s="30"/>
      <c r="DX35" s="30"/>
      <c r="DY35" s="30"/>
      <c r="DZ35" s="30"/>
      <c r="EA35" s="30"/>
      <c r="EB35" s="30"/>
      <c r="EC35" s="30"/>
      <c r="ED35" s="30"/>
      <c r="EE35" s="85"/>
      <c r="EF35" s="85"/>
      <c r="EG35" s="85"/>
      <c r="EI35" s="81"/>
      <c r="EJ35" s="30"/>
      <c r="EK35" s="30"/>
      <c r="EM35" s="30"/>
      <c r="EN35" s="30"/>
      <c r="EO35" s="30"/>
      <c r="EP35" s="30"/>
      <c r="EQ35" s="30"/>
      <c r="ER35" s="30"/>
      <c r="ES35" s="30"/>
      <c r="ET35" s="85"/>
      <c r="EU35" s="85"/>
      <c r="EV35" s="85"/>
    </row>
    <row r="36" spans="2:152">
      <c r="B36" s="11">
        <f t="shared" si="1"/>
        <v>0.17</v>
      </c>
      <c r="C36" s="28">
        <v>1.44</v>
      </c>
      <c r="D36" s="16"/>
      <c r="E36" s="8"/>
      <c r="F36" s="27">
        <f t="shared" si="2"/>
        <v>-0.70881749829118257</v>
      </c>
      <c r="G36" s="27">
        <f t="shared" si="3"/>
        <v>-0.44247376054269638</v>
      </c>
      <c r="H36" s="27">
        <f t="shared" si="4"/>
        <v>-4.7513966520937374E-2</v>
      </c>
      <c r="I36" s="27">
        <f t="shared" si="5"/>
        <v>10.312498891199015</v>
      </c>
      <c r="J36" s="27">
        <f t="shared" si="6"/>
        <v>-0.41362736782584103</v>
      </c>
      <c r="K36" s="27">
        <f t="shared" si="7"/>
        <v>0.38092980224198703</v>
      </c>
      <c r="L36" s="27">
        <f t="shared" si="8"/>
        <v>0.43880778884146243</v>
      </c>
      <c r="M36" s="17">
        <f t="shared" si="9"/>
        <v>0.1428465074992675</v>
      </c>
      <c r="N36" s="17">
        <f t="shared" si="10"/>
        <v>0.1428465074992675</v>
      </c>
      <c r="O36" s="17">
        <f t="shared" si="11"/>
        <v>0.1428465074992675</v>
      </c>
      <c r="P36" s="17">
        <f t="shared" si="0"/>
        <v>0.1428465074992675</v>
      </c>
      <c r="Q36" s="17">
        <f t="shared" si="12"/>
        <v>0</v>
      </c>
      <c r="S36" s="81"/>
      <c r="T36" s="30"/>
      <c r="U36" s="30"/>
      <c r="W36" s="30"/>
      <c r="X36" s="30"/>
      <c r="Y36" s="30"/>
      <c r="Z36" s="30"/>
      <c r="AA36" s="30"/>
      <c r="AB36" s="30"/>
      <c r="AC36" s="30"/>
      <c r="AD36" s="85"/>
      <c r="AE36" s="85"/>
      <c r="AF36" s="85"/>
      <c r="AH36" s="81"/>
      <c r="AI36" s="30"/>
      <c r="AJ36" s="30"/>
      <c r="AL36" s="30"/>
      <c r="AM36" s="30"/>
      <c r="AN36" s="30"/>
      <c r="AO36" s="30"/>
      <c r="AP36" s="30"/>
      <c r="AQ36" s="30"/>
      <c r="AR36" s="30"/>
      <c r="AS36" s="85"/>
      <c r="AT36" s="85"/>
      <c r="AU36" s="85"/>
      <c r="AW36" s="81"/>
      <c r="AX36" s="30"/>
      <c r="AY36" s="30"/>
      <c r="BA36" s="30"/>
      <c r="BB36" s="30"/>
      <c r="BC36" s="30"/>
      <c r="BD36" s="30"/>
      <c r="BE36" s="30"/>
      <c r="BF36" s="30"/>
      <c r="BG36" s="30"/>
      <c r="BH36" s="85"/>
      <c r="BI36" s="85"/>
      <c r="BJ36" s="85"/>
      <c r="BL36" s="81"/>
      <c r="BM36" s="30"/>
      <c r="BN36" s="30"/>
      <c r="BP36" s="30"/>
      <c r="BQ36" s="30"/>
      <c r="BR36" s="30"/>
      <c r="BS36" s="30"/>
      <c r="BT36" s="30"/>
      <c r="BU36" s="30"/>
      <c r="BV36" s="30"/>
      <c r="BW36" s="85"/>
      <c r="BX36" s="85"/>
      <c r="BY36" s="85"/>
      <c r="CA36" s="81"/>
      <c r="CB36" s="30"/>
      <c r="CC36" s="30"/>
      <c r="CE36" s="30"/>
      <c r="CF36" s="30"/>
      <c r="CG36" s="30"/>
      <c r="CH36" s="30"/>
      <c r="CI36" s="30"/>
      <c r="CJ36" s="30"/>
      <c r="CK36" s="30"/>
      <c r="CL36" s="85"/>
      <c r="CM36" s="85"/>
      <c r="CN36" s="85"/>
      <c r="CP36" s="81"/>
      <c r="CQ36" s="30"/>
      <c r="CR36" s="30"/>
      <c r="CT36" s="30"/>
      <c r="CU36" s="30"/>
      <c r="CV36" s="30"/>
      <c r="CW36" s="30"/>
      <c r="CX36" s="30"/>
      <c r="CY36" s="30"/>
      <c r="CZ36" s="30"/>
      <c r="DA36" s="85"/>
      <c r="DB36" s="85"/>
      <c r="DC36" s="85"/>
      <c r="DE36" s="81"/>
      <c r="DF36" s="30"/>
      <c r="DG36" s="30"/>
      <c r="DI36" s="30"/>
      <c r="DJ36" s="30"/>
      <c r="DK36" s="30"/>
      <c r="DL36" s="30"/>
      <c r="DM36" s="30"/>
      <c r="DN36" s="30"/>
      <c r="DO36" s="30"/>
      <c r="DP36" s="85"/>
      <c r="DQ36" s="85"/>
      <c r="DR36" s="85"/>
      <c r="DT36" s="81"/>
      <c r="DU36" s="30"/>
      <c r="DV36" s="30"/>
      <c r="DX36" s="30"/>
      <c r="DY36" s="30"/>
      <c r="DZ36" s="30"/>
      <c r="EA36" s="30"/>
      <c r="EB36" s="30"/>
      <c r="EC36" s="30"/>
      <c r="ED36" s="30"/>
      <c r="EE36" s="85"/>
      <c r="EF36" s="85"/>
      <c r="EG36" s="85"/>
      <c r="EI36" s="81"/>
      <c r="EJ36" s="30"/>
      <c r="EK36" s="30"/>
      <c r="EM36" s="30"/>
      <c r="EN36" s="30"/>
      <c r="EO36" s="30"/>
      <c r="EP36" s="30"/>
      <c r="EQ36" s="30"/>
      <c r="ER36" s="30"/>
      <c r="ES36" s="30"/>
      <c r="ET36" s="85"/>
      <c r="EU36" s="85"/>
      <c r="EV36" s="85"/>
    </row>
    <row r="37" spans="2:152">
      <c r="B37" s="11">
        <f t="shared" si="1"/>
        <v>0.17</v>
      </c>
      <c r="C37" s="28">
        <v>1.5</v>
      </c>
      <c r="D37" s="16"/>
      <c r="E37" s="8"/>
      <c r="F37" s="27">
        <f t="shared" si="2"/>
        <v>-0.73913043478260887</v>
      </c>
      <c r="G37" s="27">
        <f t="shared" si="3"/>
        <v>-0.44566377493168097</v>
      </c>
      <c r="H37" s="27">
        <f t="shared" si="4"/>
        <v>-4.4323952131952706E-2</v>
      </c>
      <c r="I37" s="27">
        <f t="shared" si="5"/>
        <v>11.054693985882325</v>
      </c>
      <c r="J37" s="27">
        <f t="shared" si="6"/>
        <v>-0.40350877192982459</v>
      </c>
      <c r="K37" s="27">
        <f t="shared" si="7"/>
        <v>0.37924489417846896</v>
      </c>
      <c r="L37" s="27">
        <f t="shared" si="8"/>
        <v>0.45881899125939263</v>
      </c>
      <c r="M37" s="17">
        <f t="shared" si="9"/>
        <v>0.1439103229728321</v>
      </c>
      <c r="N37" s="17">
        <f t="shared" si="10"/>
        <v>0.1439103229728321</v>
      </c>
      <c r="O37" s="17">
        <f t="shared" si="11"/>
        <v>0.1439103229728321</v>
      </c>
      <c r="P37" s="17">
        <f t="shared" si="0"/>
        <v>0.1439103229728321</v>
      </c>
      <c r="Q37" s="17">
        <f t="shared" si="12"/>
        <v>0</v>
      </c>
      <c r="S37" s="81"/>
      <c r="T37" s="30"/>
      <c r="U37" s="30"/>
      <c r="W37" s="30"/>
      <c r="X37" s="30"/>
      <c r="Y37" s="30"/>
      <c r="Z37" s="30"/>
      <c r="AA37" s="30"/>
      <c r="AB37" s="30"/>
      <c r="AC37" s="30"/>
      <c r="AD37" s="85"/>
      <c r="AE37" s="85"/>
      <c r="AF37" s="85"/>
      <c r="AH37" s="81"/>
      <c r="AI37" s="30"/>
      <c r="AJ37" s="30"/>
      <c r="AL37" s="30"/>
      <c r="AM37" s="30"/>
      <c r="AN37" s="30"/>
      <c r="AO37" s="30"/>
      <c r="AP37" s="30"/>
      <c r="AQ37" s="30"/>
      <c r="AR37" s="30"/>
      <c r="AS37" s="85"/>
      <c r="AT37" s="85"/>
      <c r="AU37" s="85"/>
      <c r="AW37" s="81"/>
      <c r="AX37" s="30"/>
      <c r="AY37" s="30"/>
      <c r="BA37" s="30"/>
      <c r="BB37" s="30"/>
      <c r="BC37" s="30"/>
      <c r="BD37" s="30"/>
      <c r="BE37" s="30"/>
      <c r="BF37" s="30"/>
      <c r="BG37" s="30"/>
      <c r="BH37" s="85"/>
      <c r="BI37" s="85"/>
      <c r="BJ37" s="85"/>
      <c r="BL37" s="81"/>
      <c r="BM37" s="30"/>
      <c r="BN37" s="30"/>
      <c r="BP37" s="30"/>
      <c r="BQ37" s="30"/>
      <c r="BR37" s="30"/>
      <c r="BS37" s="30"/>
      <c r="BT37" s="30"/>
      <c r="BU37" s="30"/>
      <c r="BV37" s="30"/>
      <c r="BW37" s="85"/>
      <c r="BX37" s="85"/>
      <c r="BY37" s="85"/>
      <c r="CA37" s="81"/>
      <c r="CB37" s="30"/>
      <c r="CC37" s="30"/>
      <c r="CE37" s="30"/>
      <c r="CF37" s="30"/>
      <c r="CG37" s="30"/>
      <c r="CH37" s="30"/>
      <c r="CI37" s="30"/>
      <c r="CJ37" s="30"/>
      <c r="CK37" s="30"/>
      <c r="CL37" s="85"/>
      <c r="CM37" s="85"/>
      <c r="CN37" s="85"/>
      <c r="CP37" s="81"/>
      <c r="CQ37" s="30"/>
      <c r="CR37" s="30"/>
      <c r="CT37" s="30"/>
      <c r="CU37" s="30"/>
      <c r="CV37" s="30"/>
      <c r="CW37" s="30"/>
      <c r="CX37" s="30"/>
      <c r="CY37" s="30"/>
      <c r="CZ37" s="30"/>
      <c r="DA37" s="85"/>
      <c r="DB37" s="85"/>
      <c r="DC37" s="85"/>
      <c r="DE37" s="81"/>
      <c r="DF37" s="30"/>
      <c r="DG37" s="30"/>
      <c r="DI37" s="30"/>
      <c r="DJ37" s="30"/>
      <c r="DK37" s="30"/>
      <c r="DL37" s="30"/>
      <c r="DM37" s="30"/>
      <c r="DN37" s="30"/>
      <c r="DO37" s="30"/>
      <c r="DP37" s="85"/>
      <c r="DQ37" s="85"/>
      <c r="DR37" s="85"/>
      <c r="DT37" s="81"/>
      <c r="DU37" s="30"/>
      <c r="DV37" s="30"/>
      <c r="DX37" s="30"/>
      <c r="DY37" s="30"/>
      <c r="DZ37" s="30"/>
      <c r="EA37" s="30"/>
      <c r="EB37" s="30"/>
      <c r="EC37" s="30"/>
      <c r="ED37" s="30"/>
      <c r="EE37" s="85"/>
      <c r="EF37" s="85"/>
      <c r="EG37" s="85"/>
      <c r="EI37" s="81"/>
      <c r="EJ37" s="30"/>
      <c r="EK37" s="30"/>
      <c r="EM37" s="30"/>
      <c r="EN37" s="30"/>
      <c r="EO37" s="30"/>
      <c r="EP37" s="30"/>
      <c r="EQ37" s="30"/>
      <c r="ER37" s="30"/>
      <c r="ES37" s="30"/>
      <c r="ET37" s="85"/>
      <c r="EU37" s="85"/>
      <c r="EV37" s="85"/>
    </row>
    <row r="38" spans="2:152">
      <c r="B38" s="11">
        <f t="shared" si="1"/>
        <v>0.17</v>
      </c>
      <c r="C38" s="28">
        <v>1.56</v>
      </c>
      <c r="D38" s="16"/>
      <c r="E38" s="8"/>
      <c r="F38" s="27">
        <f t="shared" si="2"/>
        <v>-0.77053824362606238</v>
      </c>
      <c r="G38" s="27">
        <f t="shared" si="3"/>
        <v>-0.44885378932066572</v>
      </c>
      <c r="H38" s="27">
        <f t="shared" si="4"/>
        <v>-4.1133937742968037E-2</v>
      </c>
      <c r="I38" s="27">
        <f t="shared" si="5"/>
        <v>11.912006337088371</v>
      </c>
      <c r="J38" s="27">
        <f t="shared" si="6"/>
        <v>-0.3935340022296544</v>
      </c>
      <c r="K38" s="27">
        <f t="shared" si="7"/>
        <v>0.37719276142611208</v>
      </c>
      <c r="L38" s="27">
        <f t="shared" si="8"/>
        <v>0.47989679572832156</v>
      </c>
      <c r="M38" s="17">
        <f t="shared" si="9"/>
        <v>0.14504356490222023</v>
      </c>
      <c r="N38" s="17">
        <f t="shared" si="10"/>
        <v>0.14504356490222023</v>
      </c>
      <c r="O38" s="17">
        <f t="shared" si="11"/>
        <v>0.14504356490222023</v>
      </c>
      <c r="P38" s="17">
        <f t="shared" si="0"/>
        <v>0.14504356490222023</v>
      </c>
      <c r="Q38" s="17">
        <f t="shared" si="12"/>
        <v>0</v>
      </c>
      <c r="S38" s="81"/>
      <c r="T38" s="30"/>
      <c r="U38" s="30"/>
      <c r="W38" s="30"/>
      <c r="X38" s="30"/>
      <c r="Y38" s="30"/>
      <c r="Z38" s="30"/>
      <c r="AA38" s="30"/>
      <c r="AB38" s="30"/>
      <c r="AC38" s="30"/>
      <c r="AD38" s="85"/>
      <c r="AE38" s="85"/>
      <c r="AF38" s="85"/>
      <c r="AH38" s="81"/>
      <c r="AI38" s="30"/>
      <c r="AJ38" s="30"/>
      <c r="AL38" s="30"/>
      <c r="AM38" s="30"/>
      <c r="AN38" s="30"/>
      <c r="AO38" s="30"/>
      <c r="AP38" s="30"/>
      <c r="AQ38" s="30"/>
      <c r="AR38" s="30"/>
      <c r="AS38" s="85"/>
      <c r="AT38" s="85"/>
      <c r="AU38" s="85"/>
      <c r="AW38" s="81"/>
      <c r="AX38" s="30"/>
      <c r="AY38" s="30"/>
      <c r="BA38" s="30"/>
      <c r="BB38" s="30"/>
      <c r="BC38" s="30"/>
      <c r="BD38" s="30"/>
      <c r="BE38" s="30"/>
      <c r="BF38" s="30"/>
      <c r="BG38" s="30"/>
      <c r="BH38" s="85"/>
      <c r="BI38" s="85"/>
      <c r="BJ38" s="85"/>
      <c r="BL38" s="81"/>
      <c r="BM38" s="30"/>
      <c r="BN38" s="30"/>
      <c r="BP38" s="30"/>
      <c r="BQ38" s="30"/>
      <c r="BR38" s="30"/>
      <c r="BS38" s="30"/>
      <c r="BT38" s="30"/>
      <c r="BU38" s="30"/>
      <c r="BV38" s="30"/>
      <c r="BW38" s="85"/>
      <c r="BX38" s="85"/>
      <c r="BY38" s="85"/>
      <c r="CA38" s="81"/>
      <c r="CB38" s="30"/>
      <c r="CC38" s="30"/>
      <c r="CE38" s="30"/>
      <c r="CF38" s="30"/>
      <c r="CG38" s="30"/>
      <c r="CH38" s="30"/>
      <c r="CI38" s="30"/>
      <c r="CJ38" s="30"/>
      <c r="CK38" s="30"/>
      <c r="CL38" s="85"/>
      <c r="CM38" s="85"/>
      <c r="CN38" s="85"/>
      <c r="CP38" s="81"/>
      <c r="CQ38" s="30"/>
      <c r="CR38" s="30"/>
      <c r="CT38" s="30"/>
      <c r="CU38" s="30"/>
      <c r="CV38" s="30"/>
      <c r="CW38" s="30"/>
      <c r="CX38" s="30"/>
      <c r="CY38" s="30"/>
      <c r="CZ38" s="30"/>
      <c r="DA38" s="85"/>
      <c r="DB38" s="85"/>
      <c r="DC38" s="85"/>
      <c r="DE38" s="81"/>
      <c r="DF38" s="30"/>
      <c r="DG38" s="30"/>
      <c r="DI38" s="30"/>
      <c r="DJ38" s="30"/>
      <c r="DK38" s="30"/>
      <c r="DL38" s="30"/>
      <c r="DM38" s="30"/>
      <c r="DN38" s="30"/>
      <c r="DO38" s="30"/>
      <c r="DP38" s="85"/>
      <c r="DQ38" s="85"/>
      <c r="DR38" s="85"/>
      <c r="DT38" s="81"/>
      <c r="DU38" s="30"/>
      <c r="DV38" s="30"/>
      <c r="DX38" s="30"/>
      <c r="DY38" s="30"/>
      <c r="DZ38" s="30"/>
      <c r="EA38" s="30"/>
      <c r="EB38" s="30"/>
      <c r="EC38" s="30"/>
      <c r="ED38" s="30"/>
      <c r="EE38" s="85"/>
      <c r="EF38" s="85"/>
      <c r="EG38" s="85"/>
      <c r="EI38" s="81"/>
      <c r="EJ38" s="30"/>
      <c r="EK38" s="30"/>
      <c r="EM38" s="30"/>
      <c r="EN38" s="30"/>
      <c r="EO38" s="30"/>
      <c r="EP38" s="30"/>
      <c r="EQ38" s="30"/>
      <c r="ER38" s="30"/>
      <c r="ES38" s="30"/>
      <c r="ET38" s="85"/>
      <c r="EU38" s="85"/>
      <c r="EV38" s="85"/>
    </row>
    <row r="39" spans="2:152">
      <c r="B39" s="11">
        <f t="shared" si="1"/>
        <v>0.17</v>
      </c>
      <c r="C39" s="28">
        <v>1.62</v>
      </c>
      <c r="D39" s="16"/>
      <c r="E39" s="8"/>
      <c r="F39" s="27">
        <f t="shared" si="2"/>
        <v>-0.80310133429498753</v>
      </c>
      <c r="G39" s="27">
        <f t="shared" si="3"/>
        <v>-0.45204380370965042</v>
      </c>
      <c r="H39" s="27">
        <f t="shared" si="4"/>
        <v>-3.7943923353983375E-2</v>
      </c>
      <c r="I39" s="27">
        <f t="shared" si="5"/>
        <v>12.913470293846</v>
      </c>
      <c r="J39" s="27">
        <f t="shared" si="6"/>
        <v>-0.38370001383700009</v>
      </c>
      <c r="K39" s="27">
        <f t="shared" si="7"/>
        <v>0.37470785549100583</v>
      </c>
      <c r="L39" s="27">
        <f t="shared" si="8"/>
        <v>0.50217295557934738</v>
      </c>
      <c r="M39" s="17">
        <f t="shared" si="9"/>
        <v>0.14625600785129569</v>
      </c>
      <c r="N39" s="17">
        <f t="shared" si="10"/>
        <v>0.14625600785129569</v>
      </c>
      <c r="O39" s="17">
        <f t="shared" si="11"/>
        <v>0.14625600785129569</v>
      </c>
      <c r="P39" s="17">
        <f t="shared" si="0"/>
        <v>0.14625600785129569</v>
      </c>
      <c r="Q39" s="17">
        <f t="shared" si="12"/>
        <v>0</v>
      </c>
      <c r="S39" s="81"/>
      <c r="T39" s="30"/>
      <c r="U39" s="30"/>
      <c r="W39" s="30"/>
      <c r="X39" s="30"/>
      <c r="Y39" s="30"/>
      <c r="Z39" s="30"/>
      <c r="AA39" s="30"/>
      <c r="AB39" s="30"/>
      <c r="AC39" s="30"/>
      <c r="AD39" s="85"/>
      <c r="AE39" s="85"/>
      <c r="AF39" s="85"/>
      <c r="AH39" s="81"/>
      <c r="AI39" s="30"/>
      <c r="AJ39" s="30"/>
      <c r="AL39" s="30"/>
      <c r="AM39" s="30"/>
      <c r="AN39" s="30"/>
      <c r="AO39" s="30"/>
      <c r="AP39" s="30"/>
      <c r="AQ39" s="30"/>
      <c r="AR39" s="30"/>
      <c r="AS39" s="85"/>
      <c r="AT39" s="85"/>
      <c r="AU39" s="85"/>
      <c r="AW39" s="81"/>
      <c r="AX39" s="30"/>
      <c r="AY39" s="30"/>
      <c r="BA39" s="30"/>
      <c r="BB39" s="30"/>
      <c r="BC39" s="30"/>
      <c r="BD39" s="30"/>
      <c r="BE39" s="30"/>
      <c r="BF39" s="30"/>
      <c r="BG39" s="30"/>
      <c r="BH39" s="85"/>
      <c r="BI39" s="85"/>
      <c r="BJ39" s="85"/>
      <c r="BL39" s="81"/>
      <c r="BM39" s="30"/>
      <c r="BN39" s="30"/>
      <c r="BP39" s="30"/>
      <c r="BQ39" s="30"/>
      <c r="BR39" s="30"/>
      <c r="BS39" s="30"/>
      <c r="BT39" s="30"/>
      <c r="BU39" s="30"/>
      <c r="BV39" s="30"/>
      <c r="BW39" s="85"/>
      <c r="BX39" s="85"/>
      <c r="BY39" s="85"/>
      <c r="CA39" s="81"/>
      <c r="CB39" s="30"/>
      <c r="CC39" s="30"/>
      <c r="CE39" s="30"/>
      <c r="CF39" s="30"/>
      <c r="CG39" s="30"/>
      <c r="CH39" s="30"/>
      <c r="CI39" s="30"/>
      <c r="CJ39" s="30"/>
      <c r="CK39" s="30"/>
      <c r="CL39" s="85"/>
      <c r="CM39" s="85"/>
      <c r="CN39" s="85"/>
      <c r="CP39" s="81"/>
      <c r="CQ39" s="30"/>
      <c r="CR39" s="30"/>
      <c r="CT39" s="30"/>
      <c r="CU39" s="30"/>
      <c r="CV39" s="30"/>
      <c r="CW39" s="30"/>
      <c r="CX39" s="30"/>
      <c r="CY39" s="30"/>
      <c r="CZ39" s="30"/>
      <c r="DA39" s="85"/>
      <c r="DB39" s="85"/>
      <c r="DC39" s="85"/>
      <c r="DE39" s="81"/>
      <c r="DF39" s="30"/>
      <c r="DG39" s="30"/>
      <c r="DI39" s="30"/>
      <c r="DJ39" s="30"/>
      <c r="DK39" s="30"/>
      <c r="DL39" s="30"/>
      <c r="DM39" s="30"/>
      <c r="DN39" s="30"/>
      <c r="DO39" s="30"/>
      <c r="DP39" s="85"/>
      <c r="DQ39" s="85"/>
      <c r="DR39" s="85"/>
      <c r="DT39" s="81"/>
      <c r="DU39" s="30"/>
      <c r="DV39" s="30"/>
      <c r="DX39" s="30"/>
      <c r="DY39" s="30"/>
      <c r="DZ39" s="30"/>
      <c r="EA39" s="30"/>
      <c r="EB39" s="30"/>
      <c r="EC39" s="30"/>
      <c r="ED39" s="30"/>
      <c r="EE39" s="85"/>
      <c r="EF39" s="85"/>
      <c r="EG39" s="85"/>
      <c r="EI39" s="81"/>
      <c r="EJ39" s="30"/>
      <c r="EK39" s="30"/>
      <c r="EM39" s="30"/>
      <c r="EN39" s="30"/>
      <c r="EO39" s="30"/>
      <c r="EP39" s="30"/>
      <c r="EQ39" s="30"/>
      <c r="ER39" s="30"/>
      <c r="ES39" s="30"/>
      <c r="ET39" s="85"/>
      <c r="EU39" s="85"/>
      <c r="EV39" s="85"/>
    </row>
    <row r="40" spans="2:152">
      <c r="B40" s="11">
        <f t="shared" si="1"/>
        <v>0.17</v>
      </c>
      <c r="C40" s="28">
        <v>1.68</v>
      </c>
      <c r="D40" s="16"/>
      <c r="E40" s="8"/>
      <c r="F40" s="27">
        <f t="shared" si="2"/>
        <v>-0.8368846436443792</v>
      </c>
      <c r="G40" s="27">
        <f t="shared" si="3"/>
        <v>-0.455233818098635</v>
      </c>
      <c r="H40" s="27">
        <f t="shared" si="4"/>
        <v>-3.4753908964998713E-2</v>
      </c>
      <c r="I40" s="27">
        <f t="shared" si="5"/>
        <v>14.098780299997596</v>
      </c>
      <c r="J40" s="27">
        <f t="shared" si="6"/>
        <v>-0.37400384721077218</v>
      </c>
      <c r="K40" s="27">
        <f t="shared" si="7"/>
        <v>0.37170780619960242</v>
      </c>
      <c r="L40" s="27">
        <f t="shared" si="8"/>
        <v>0.52580808871319096</v>
      </c>
      <c r="M40" s="17">
        <f t="shared" si="9"/>
        <v>0.14755973139791442</v>
      </c>
      <c r="N40" s="17">
        <f t="shared" si="10"/>
        <v>0.14755973139791442</v>
      </c>
      <c r="O40" s="17">
        <f t="shared" si="11"/>
        <v>0.14755973139791442</v>
      </c>
      <c r="P40" s="17">
        <f t="shared" si="0"/>
        <v>0.14755973139791442</v>
      </c>
      <c r="Q40" s="17">
        <f t="shared" si="12"/>
        <v>0</v>
      </c>
      <c r="S40" s="81"/>
      <c r="T40" s="30"/>
      <c r="U40" s="30"/>
      <c r="W40" s="30"/>
      <c r="X40" s="30"/>
      <c r="Y40" s="30"/>
      <c r="Z40" s="30"/>
      <c r="AA40" s="30"/>
      <c r="AB40" s="30"/>
      <c r="AC40" s="30"/>
      <c r="AD40" s="85"/>
      <c r="AE40" s="85"/>
      <c r="AF40" s="85"/>
      <c r="AH40" s="81"/>
      <c r="AI40" s="30"/>
      <c r="AJ40" s="30"/>
      <c r="AL40" s="30"/>
      <c r="AM40" s="30"/>
      <c r="AN40" s="30"/>
      <c r="AO40" s="30"/>
      <c r="AP40" s="30"/>
      <c r="AQ40" s="30"/>
      <c r="AR40" s="30"/>
      <c r="AS40" s="85"/>
      <c r="AT40" s="85"/>
      <c r="AU40" s="85"/>
      <c r="AW40" s="81"/>
      <c r="AX40" s="30"/>
      <c r="AY40" s="30"/>
      <c r="BA40" s="30"/>
      <c r="BB40" s="30"/>
      <c r="BC40" s="30"/>
      <c r="BD40" s="30"/>
      <c r="BE40" s="30"/>
      <c r="BF40" s="30"/>
      <c r="BG40" s="30"/>
      <c r="BH40" s="85"/>
      <c r="BI40" s="85"/>
      <c r="BJ40" s="85"/>
      <c r="BL40" s="81"/>
      <c r="BM40" s="30"/>
      <c r="BN40" s="30"/>
      <c r="BP40" s="30"/>
      <c r="BQ40" s="30"/>
      <c r="BR40" s="30"/>
      <c r="BS40" s="30"/>
      <c r="BT40" s="30"/>
      <c r="BU40" s="30"/>
      <c r="BV40" s="30"/>
      <c r="BW40" s="85"/>
      <c r="BX40" s="85"/>
      <c r="BY40" s="85"/>
      <c r="CA40" s="81"/>
      <c r="CB40" s="30"/>
      <c r="CC40" s="30"/>
      <c r="CE40" s="30"/>
      <c r="CF40" s="30"/>
      <c r="CG40" s="30"/>
      <c r="CH40" s="30"/>
      <c r="CI40" s="30"/>
      <c r="CJ40" s="30"/>
      <c r="CK40" s="30"/>
      <c r="CL40" s="85"/>
      <c r="CM40" s="85"/>
      <c r="CN40" s="85"/>
      <c r="CP40" s="81"/>
      <c r="CQ40" s="30"/>
      <c r="CR40" s="30"/>
      <c r="CT40" s="30"/>
      <c r="CU40" s="30"/>
      <c r="CV40" s="30"/>
      <c r="CW40" s="30"/>
      <c r="CX40" s="30"/>
      <c r="CY40" s="30"/>
      <c r="CZ40" s="30"/>
      <c r="DA40" s="85"/>
      <c r="DB40" s="85"/>
      <c r="DC40" s="85"/>
      <c r="DE40" s="81"/>
      <c r="DF40" s="30"/>
      <c r="DG40" s="30"/>
      <c r="DI40" s="30"/>
      <c r="DJ40" s="30"/>
      <c r="DK40" s="30"/>
      <c r="DL40" s="30"/>
      <c r="DM40" s="30"/>
      <c r="DN40" s="30"/>
      <c r="DO40" s="30"/>
      <c r="DP40" s="85"/>
      <c r="DQ40" s="85"/>
      <c r="DR40" s="85"/>
      <c r="DT40" s="81"/>
      <c r="DU40" s="30"/>
      <c r="DV40" s="30"/>
      <c r="DX40" s="30"/>
      <c r="DY40" s="30"/>
      <c r="DZ40" s="30"/>
      <c r="EA40" s="30"/>
      <c r="EB40" s="30"/>
      <c r="EC40" s="30"/>
      <c r="ED40" s="30"/>
      <c r="EE40" s="85"/>
      <c r="EF40" s="85"/>
      <c r="EG40" s="85"/>
      <c r="EI40" s="81"/>
      <c r="EJ40" s="30"/>
      <c r="EK40" s="30"/>
      <c r="EM40" s="30"/>
      <c r="EN40" s="30"/>
      <c r="EO40" s="30"/>
      <c r="EP40" s="30"/>
      <c r="EQ40" s="30"/>
      <c r="ER40" s="30"/>
      <c r="ES40" s="30"/>
      <c r="ET40" s="85"/>
      <c r="EU40" s="85"/>
      <c r="EV40" s="85"/>
    </row>
    <row r="41" spans="2:152">
      <c r="B41" s="11">
        <f t="shared" si="1"/>
        <v>0.17</v>
      </c>
      <c r="C41" s="28">
        <v>1.74</v>
      </c>
      <c r="D41" s="16"/>
      <c r="E41" s="8"/>
      <c r="F41" s="27">
        <f t="shared" si="2"/>
        <v>-0.87195806813927379</v>
      </c>
      <c r="G41" s="27">
        <f t="shared" si="3"/>
        <v>-0.45842383248761975</v>
      </c>
      <c r="H41" s="27">
        <f t="shared" si="4"/>
        <v>-3.1563894576014058E-2</v>
      </c>
      <c r="I41" s="27">
        <f t="shared" si="5"/>
        <v>15.523677722456462</v>
      </c>
      <c r="J41" s="27">
        <f t="shared" si="6"/>
        <v>-0.36444262518761084</v>
      </c>
      <c r="K41" s="27">
        <f t="shared" si="7"/>
        <v>0.36808726731616431</v>
      </c>
      <c r="L41" s="27">
        <f t="shared" si="8"/>
        <v>0.55100140562360667</v>
      </c>
      <c r="M41" s="17">
        <f t="shared" si="9"/>
        <v>0.14896993064534778</v>
      </c>
      <c r="N41" s="17">
        <f t="shared" si="10"/>
        <v>0.14896993064534778</v>
      </c>
      <c r="O41" s="17">
        <f t="shared" si="11"/>
        <v>0.14896993064534778</v>
      </c>
      <c r="P41" s="17">
        <f t="shared" si="0"/>
        <v>0.14896993064534778</v>
      </c>
      <c r="Q41" s="17">
        <f t="shared" si="12"/>
        <v>0</v>
      </c>
      <c r="S41" s="81"/>
      <c r="T41" s="30"/>
      <c r="U41" s="30"/>
      <c r="W41" s="30"/>
      <c r="X41" s="30"/>
      <c r="Y41" s="30"/>
      <c r="Z41" s="30"/>
      <c r="AA41" s="30"/>
      <c r="AB41" s="30"/>
      <c r="AC41" s="30"/>
      <c r="AD41" s="85"/>
      <c r="AE41" s="85"/>
      <c r="AF41" s="85"/>
      <c r="AH41" s="81"/>
      <c r="AI41" s="30"/>
      <c r="AJ41" s="30"/>
      <c r="AL41" s="30"/>
      <c r="AM41" s="30"/>
      <c r="AN41" s="30"/>
      <c r="AO41" s="30"/>
      <c r="AP41" s="30"/>
      <c r="AQ41" s="30"/>
      <c r="AR41" s="30"/>
      <c r="AS41" s="85"/>
      <c r="AT41" s="85"/>
      <c r="AU41" s="85"/>
      <c r="AW41" s="81"/>
      <c r="AX41" s="30"/>
      <c r="AY41" s="30"/>
      <c r="BA41" s="30"/>
      <c r="BB41" s="30"/>
      <c r="BC41" s="30"/>
      <c r="BD41" s="30"/>
      <c r="BE41" s="30"/>
      <c r="BF41" s="30"/>
      <c r="BG41" s="30"/>
      <c r="BH41" s="85"/>
      <c r="BI41" s="85"/>
      <c r="BJ41" s="85"/>
      <c r="BL41" s="81"/>
      <c r="BM41" s="30"/>
      <c r="BN41" s="30"/>
      <c r="BP41" s="30"/>
      <c r="BQ41" s="30"/>
      <c r="BR41" s="30"/>
      <c r="BS41" s="30"/>
      <c r="BT41" s="30"/>
      <c r="BU41" s="30"/>
      <c r="BV41" s="30"/>
      <c r="BW41" s="85"/>
      <c r="BX41" s="85"/>
      <c r="BY41" s="85"/>
      <c r="CA41" s="81"/>
      <c r="CB41" s="30"/>
      <c r="CC41" s="30"/>
      <c r="CE41" s="30"/>
      <c r="CF41" s="30"/>
      <c r="CG41" s="30"/>
      <c r="CH41" s="30"/>
      <c r="CI41" s="30"/>
      <c r="CJ41" s="30"/>
      <c r="CK41" s="30"/>
      <c r="CL41" s="85"/>
      <c r="CM41" s="85"/>
      <c r="CN41" s="85"/>
      <c r="CP41" s="81"/>
      <c r="CQ41" s="30"/>
      <c r="CR41" s="30"/>
      <c r="CT41" s="30"/>
      <c r="CU41" s="30"/>
      <c r="CV41" s="30"/>
      <c r="CW41" s="30"/>
      <c r="CX41" s="30"/>
      <c r="CY41" s="30"/>
      <c r="CZ41" s="30"/>
      <c r="DA41" s="85"/>
      <c r="DB41" s="85"/>
      <c r="DC41" s="85"/>
      <c r="DE41" s="81"/>
      <c r="DF41" s="30"/>
      <c r="DG41" s="30"/>
      <c r="DI41" s="30"/>
      <c r="DJ41" s="30"/>
      <c r="DK41" s="30"/>
      <c r="DL41" s="30"/>
      <c r="DM41" s="30"/>
      <c r="DN41" s="30"/>
      <c r="DO41" s="30"/>
      <c r="DP41" s="85"/>
      <c r="DQ41" s="85"/>
      <c r="DR41" s="85"/>
      <c r="DT41" s="81"/>
      <c r="DU41" s="30"/>
      <c r="DV41" s="30"/>
      <c r="DX41" s="30"/>
      <c r="DY41" s="30"/>
      <c r="DZ41" s="30"/>
      <c r="EA41" s="30"/>
      <c r="EB41" s="30"/>
      <c r="EC41" s="30"/>
      <c r="ED41" s="30"/>
      <c r="EE41" s="85"/>
      <c r="EF41" s="85"/>
      <c r="EG41" s="85"/>
      <c r="EI41" s="81"/>
      <c r="EJ41" s="30"/>
      <c r="EK41" s="30"/>
      <c r="EM41" s="30"/>
      <c r="EN41" s="30"/>
      <c r="EO41" s="30"/>
      <c r="EP41" s="30"/>
      <c r="EQ41" s="30"/>
      <c r="ER41" s="30"/>
      <c r="ES41" s="30"/>
      <c r="ET41" s="85"/>
      <c r="EU41" s="85"/>
      <c r="EV41" s="85"/>
    </row>
    <row r="42" spans="2:152">
      <c r="B42" s="11">
        <f t="shared" si="1"/>
        <v>0.17</v>
      </c>
      <c r="C42" s="28">
        <v>1.8</v>
      </c>
      <c r="D42" s="16"/>
      <c r="E42" s="8"/>
      <c r="F42" s="27">
        <f t="shared" si="2"/>
        <v>-0.90839694656488545</v>
      </c>
      <c r="G42" s="27">
        <f t="shared" si="3"/>
        <v>-0.46161384687660434</v>
      </c>
      <c r="H42" s="27">
        <f t="shared" si="4"/>
        <v>-2.8373880187029382E-2</v>
      </c>
      <c r="I42" s="27">
        <f t="shared" si="5"/>
        <v>17.26897145662943</v>
      </c>
      <c r="J42" s="27">
        <f t="shared" si="6"/>
        <v>-0.3550135501355014</v>
      </c>
      <c r="K42" s="27">
        <f t="shared" si="7"/>
        <v>0.36370865630091664</v>
      </c>
      <c r="L42" s="27">
        <f t="shared" si="8"/>
        <v>0.57800511374191543</v>
      </c>
      <c r="M42" s="17">
        <f t="shared" si="9"/>
        <v>0.15050612654224491</v>
      </c>
      <c r="N42" s="17">
        <f t="shared" si="10"/>
        <v>0.15050612654224491</v>
      </c>
      <c r="O42" s="17">
        <f t="shared" si="11"/>
        <v>0.15050612654224491</v>
      </c>
      <c r="P42" s="17">
        <f t="shared" si="0"/>
        <v>0.15050612654224491</v>
      </c>
      <c r="Q42" s="17">
        <f t="shared" si="12"/>
        <v>0</v>
      </c>
      <c r="S42" s="81"/>
      <c r="T42" s="30"/>
      <c r="U42" s="30"/>
      <c r="W42" s="30"/>
      <c r="X42" s="30"/>
      <c r="Y42" s="30"/>
      <c r="Z42" s="30"/>
      <c r="AA42" s="30"/>
      <c r="AB42" s="30"/>
      <c r="AC42" s="30"/>
      <c r="AD42" s="85"/>
      <c r="AE42" s="85"/>
      <c r="AF42" s="85"/>
      <c r="AH42" s="81"/>
      <c r="AI42" s="30"/>
      <c r="AJ42" s="30"/>
      <c r="AL42" s="30"/>
      <c r="AM42" s="30"/>
      <c r="AN42" s="30"/>
      <c r="AO42" s="30"/>
      <c r="AP42" s="30"/>
      <c r="AQ42" s="30"/>
      <c r="AR42" s="30"/>
      <c r="AS42" s="85"/>
      <c r="AT42" s="85"/>
      <c r="AU42" s="85"/>
      <c r="AW42" s="81"/>
      <c r="AX42" s="30"/>
      <c r="AY42" s="30"/>
      <c r="BA42" s="30"/>
      <c r="BB42" s="30"/>
      <c r="BC42" s="30"/>
      <c r="BD42" s="30"/>
      <c r="BE42" s="30"/>
      <c r="BF42" s="30"/>
      <c r="BG42" s="30"/>
      <c r="BH42" s="85"/>
      <c r="BI42" s="85"/>
      <c r="BJ42" s="85"/>
      <c r="BL42" s="81"/>
      <c r="BM42" s="30"/>
      <c r="BN42" s="30"/>
      <c r="BP42" s="30"/>
      <c r="BQ42" s="30"/>
      <c r="BR42" s="30"/>
      <c r="BS42" s="30"/>
      <c r="BT42" s="30"/>
      <c r="BU42" s="30"/>
      <c r="BV42" s="30"/>
      <c r="BW42" s="85"/>
      <c r="BX42" s="85"/>
      <c r="BY42" s="85"/>
      <c r="CA42" s="81"/>
      <c r="CB42" s="30"/>
      <c r="CC42" s="30"/>
      <c r="CE42" s="30"/>
      <c r="CF42" s="30"/>
      <c r="CG42" s="30"/>
      <c r="CH42" s="30"/>
      <c r="CI42" s="30"/>
      <c r="CJ42" s="30"/>
      <c r="CK42" s="30"/>
      <c r="CL42" s="85"/>
      <c r="CM42" s="85"/>
      <c r="CN42" s="85"/>
      <c r="CP42" s="81"/>
      <c r="CQ42" s="30"/>
      <c r="CR42" s="30"/>
      <c r="CT42" s="30"/>
      <c r="CU42" s="30"/>
      <c r="CV42" s="30"/>
      <c r="CW42" s="30"/>
      <c r="CX42" s="30"/>
      <c r="CY42" s="30"/>
      <c r="CZ42" s="30"/>
      <c r="DA42" s="85"/>
      <c r="DB42" s="85"/>
      <c r="DC42" s="85"/>
      <c r="DE42" s="81"/>
      <c r="DF42" s="30"/>
      <c r="DG42" s="30"/>
      <c r="DI42" s="30"/>
      <c r="DJ42" s="30"/>
      <c r="DK42" s="30"/>
      <c r="DL42" s="30"/>
      <c r="DM42" s="30"/>
      <c r="DN42" s="30"/>
      <c r="DO42" s="30"/>
      <c r="DP42" s="85"/>
      <c r="DQ42" s="85"/>
      <c r="DR42" s="85"/>
      <c r="DT42" s="81"/>
      <c r="DU42" s="30"/>
      <c r="DV42" s="30"/>
      <c r="DX42" s="30"/>
      <c r="DY42" s="30"/>
      <c r="DZ42" s="30"/>
      <c r="EA42" s="30"/>
      <c r="EB42" s="30"/>
      <c r="EC42" s="30"/>
      <c r="ED42" s="30"/>
      <c r="EE42" s="85"/>
      <c r="EF42" s="85"/>
      <c r="EG42" s="85"/>
      <c r="EI42" s="81"/>
      <c r="EJ42" s="30"/>
      <c r="EK42" s="30"/>
      <c r="EM42" s="30"/>
      <c r="EN42" s="30"/>
      <c r="EO42" s="30"/>
      <c r="EP42" s="30"/>
      <c r="EQ42" s="30"/>
      <c r="ER42" s="30"/>
      <c r="ES42" s="30"/>
      <c r="ET42" s="85"/>
      <c r="EU42" s="85"/>
      <c r="EV42" s="85"/>
    </row>
    <row r="43" spans="2:152">
      <c r="B43" s="11">
        <f t="shared" si="1"/>
        <v>0.17</v>
      </c>
      <c r="C43" s="28">
        <v>1.86</v>
      </c>
      <c r="D43" s="16"/>
      <c r="E43" s="8"/>
      <c r="F43" s="27">
        <f t="shared" si="2"/>
        <v>-0.94628260023355415</v>
      </c>
      <c r="G43" s="27">
        <f t="shared" si="3"/>
        <v>-0.46480386126558909</v>
      </c>
      <c r="H43" s="27">
        <f t="shared" si="4"/>
        <v>-2.5183865798044706E-2</v>
      </c>
      <c r="I43" s="27">
        <f t="shared" si="5"/>
        <v>19.456414316728004</v>
      </c>
      <c r="J43" s="27">
        <f t="shared" si="6"/>
        <v>-0.34571390122459955</v>
      </c>
      <c r="K43" s="27">
        <f t="shared" si="7"/>
        <v>0.35838767720665937</v>
      </c>
      <c r="L43" s="27">
        <f t="shared" si="8"/>
        <v>0.60714657715477283</v>
      </c>
      <c r="M43" s="17">
        <f t="shared" si="9"/>
        <v>0.15219404363948472</v>
      </c>
      <c r="N43" s="17">
        <f t="shared" si="10"/>
        <v>0.15219404363948472</v>
      </c>
      <c r="O43" s="17">
        <f t="shared" si="11"/>
        <v>0.15219404363948472</v>
      </c>
      <c r="P43" s="17">
        <f t="shared" si="0"/>
        <v>0.15219404363948472</v>
      </c>
      <c r="Q43" s="17">
        <f t="shared" si="12"/>
        <v>0</v>
      </c>
      <c r="S43" s="81"/>
      <c r="T43" s="30"/>
      <c r="U43" s="30"/>
      <c r="W43" s="30"/>
      <c r="X43" s="30"/>
      <c r="Y43" s="30"/>
      <c r="Z43" s="30"/>
      <c r="AA43" s="30"/>
      <c r="AB43" s="30"/>
      <c r="AC43" s="30"/>
      <c r="AD43" s="85"/>
      <c r="AE43" s="85"/>
      <c r="AF43" s="85"/>
      <c r="AH43" s="81"/>
      <c r="AI43" s="30"/>
      <c r="AJ43" s="30"/>
      <c r="AL43" s="30"/>
      <c r="AM43" s="30"/>
      <c r="AN43" s="30"/>
      <c r="AO43" s="30"/>
      <c r="AP43" s="30"/>
      <c r="AQ43" s="30"/>
      <c r="AR43" s="30"/>
      <c r="AS43" s="85"/>
      <c r="AT43" s="85"/>
      <c r="AU43" s="85"/>
      <c r="AW43" s="81"/>
      <c r="AX43" s="30"/>
      <c r="AY43" s="30"/>
      <c r="BA43" s="30"/>
      <c r="BB43" s="30"/>
      <c r="BC43" s="30"/>
      <c r="BD43" s="30"/>
      <c r="BE43" s="30"/>
      <c r="BF43" s="30"/>
      <c r="BG43" s="30"/>
      <c r="BH43" s="85"/>
      <c r="BI43" s="85"/>
      <c r="BJ43" s="85"/>
      <c r="BL43" s="81"/>
      <c r="BM43" s="30"/>
      <c r="BN43" s="30"/>
      <c r="BP43" s="30"/>
      <c r="BQ43" s="30"/>
      <c r="BR43" s="30"/>
      <c r="BS43" s="30"/>
      <c r="BT43" s="30"/>
      <c r="BU43" s="30"/>
      <c r="BV43" s="30"/>
      <c r="BW43" s="85"/>
      <c r="BX43" s="85"/>
      <c r="BY43" s="85"/>
      <c r="CA43" s="81"/>
      <c r="CB43" s="30"/>
      <c r="CC43" s="30"/>
      <c r="CE43" s="30"/>
      <c r="CF43" s="30"/>
      <c r="CG43" s="30"/>
      <c r="CH43" s="30"/>
      <c r="CI43" s="30"/>
      <c r="CJ43" s="30"/>
      <c r="CK43" s="30"/>
      <c r="CL43" s="85"/>
      <c r="CM43" s="85"/>
      <c r="CN43" s="85"/>
      <c r="CP43" s="81"/>
      <c r="CQ43" s="30"/>
      <c r="CR43" s="30"/>
      <c r="CT43" s="30"/>
      <c r="CU43" s="30"/>
      <c r="CV43" s="30"/>
      <c r="CW43" s="30"/>
      <c r="CX43" s="30"/>
      <c r="CY43" s="30"/>
      <c r="CZ43" s="30"/>
      <c r="DA43" s="85"/>
      <c r="DB43" s="85"/>
      <c r="DC43" s="85"/>
      <c r="DE43" s="81"/>
      <c r="DF43" s="30"/>
      <c r="DG43" s="30"/>
      <c r="DI43" s="30"/>
      <c r="DJ43" s="30"/>
      <c r="DK43" s="30"/>
      <c r="DL43" s="30"/>
      <c r="DM43" s="30"/>
      <c r="DN43" s="30"/>
      <c r="DO43" s="30"/>
      <c r="DP43" s="85"/>
      <c r="DQ43" s="85"/>
      <c r="DR43" s="85"/>
      <c r="DT43" s="81"/>
      <c r="DU43" s="30"/>
      <c r="DV43" s="30"/>
      <c r="DX43" s="30"/>
      <c r="DY43" s="30"/>
      <c r="DZ43" s="30"/>
      <c r="EA43" s="30"/>
      <c r="EB43" s="30"/>
      <c r="EC43" s="30"/>
      <c r="ED43" s="30"/>
      <c r="EE43" s="85"/>
      <c r="EF43" s="85"/>
      <c r="EG43" s="85"/>
      <c r="EI43" s="81"/>
      <c r="EJ43" s="30"/>
      <c r="EK43" s="30"/>
      <c r="EM43" s="30"/>
      <c r="EN43" s="30"/>
      <c r="EO43" s="30"/>
      <c r="EP43" s="30"/>
      <c r="EQ43" s="30"/>
      <c r="ER43" s="30"/>
      <c r="ES43" s="30"/>
      <c r="ET43" s="85"/>
      <c r="EU43" s="85"/>
      <c r="EV43" s="85"/>
    </row>
    <row r="44" spans="2:152">
      <c r="B44" s="11">
        <f t="shared" si="1"/>
        <v>0.17</v>
      </c>
      <c r="C44" s="28">
        <v>1.92</v>
      </c>
      <c r="D44" s="16"/>
      <c r="E44" s="8"/>
      <c r="F44" s="27">
        <f t="shared" si="2"/>
        <v>-0.98570293884034943</v>
      </c>
      <c r="G44" s="27">
        <f t="shared" si="3"/>
        <v>-0.46799387565457368</v>
      </c>
      <c r="H44" s="27">
        <f t="shared" si="4"/>
        <v>-2.1993851409060051E-2</v>
      </c>
      <c r="I44" s="27">
        <f t="shared" si="5"/>
        <v>22.278395809375628</v>
      </c>
      <c r="J44" s="27">
        <f t="shared" si="6"/>
        <v>-0.33654103180967659</v>
      </c>
      <c r="K44" s="27">
        <f t="shared" si="7"/>
        <v>0.35186960728132166</v>
      </c>
      <c r="L44" s="27">
        <f t="shared" si="8"/>
        <v>0.63886403285455107</v>
      </c>
      <c r="M44" s="17">
        <f t="shared" si="9"/>
        <v>0.15406866211340509</v>
      </c>
      <c r="N44" s="17">
        <f t="shared" si="10"/>
        <v>0.15406866211340509</v>
      </c>
      <c r="O44" s="17">
        <f t="shared" si="11"/>
        <v>0.15406866211340509</v>
      </c>
      <c r="P44" s="17">
        <f t="shared" si="0"/>
        <v>0.15406866211340509</v>
      </c>
      <c r="Q44" s="17">
        <f t="shared" si="12"/>
        <v>0</v>
      </c>
      <c r="S44" s="81"/>
      <c r="T44" s="30"/>
      <c r="U44" s="30"/>
      <c r="W44" s="30"/>
      <c r="X44" s="30"/>
      <c r="Y44" s="30"/>
      <c r="Z44" s="30"/>
      <c r="AA44" s="30"/>
      <c r="AB44" s="30"/>
      <c r="AC44" s="30"/>
      <c r="AD44" s="85"/>
      <c r="AE44" s="85"/>
      <c r="AF44" s="85"/>
      <c r="AH44" s="81"/>
      <c r="AI44" s="30"/>
      <c r="AJ44" s="30"/>
      <c r="AL44" s="30"/>
      <c r="AM44" s="30"/>
      <c r="AN44" s="30"/>
      <c r="AO44" s="30"/>
      <c r="AP44" s="30"/>
      <c r="AQ44" s="30"/>
      <c r="AR44" s="30"/>
      <c r="AS44" s="85"/>
      <c r="AT44" s="85"/>
      <c r="AU44" s="85"/>
      <c r="AW44" s="81"/>
      <c r="AX44" s="30"/>
      <c r="AY44" s="30"/>
      <c r="BA44" s="30"/>
      <c r="BB44" s="30"/>
      <c r="BC44" s="30"/>
      <c r="BD44" s="30"/>
      <c r="BE44" s="30"/>
      <c r="BF44" s="30"/>
      <c r="BG44" s="30"/>
      <c r="BH44" s="85"/>
      <c r="BI44" s="85"/>
      <c r="BJ44" s="85"/>
      <c r="BL44" s="81"/>
      <c r="BM44" s="30"/>
      <c r="BN44" s="30"/>
      <c r="BP44" s="30"/>
      <c r="BQ44" s="30"/>
      <c r="BR44" s="30"/>
      <c r="BS44" s="30"/>
      <c r="BT44" s="30"/>
      <c r="BU44" s="30"/>
      <c r="BV44" s="30"/>
      <c r="BW44" s="85"/>
      <c r="BX44" s="85"/>
      <c r="BY44" s="85"/>
      <c r="CA44" s="81"/>
      <c r="CB44" s="30"/>
      <c r="CC44" s="30"/>
      <c r="CE44" s="30"/>
      <c r="CF44" s="30"/>
      <c r="CG44" s="30"/>
      <c r="CH44" s="30"/>
      <c r="CI44" s="30"/>
      <c r="CJ44" s="30"/>
      <c r="CK44" s="30"/>
      <c r="CL44" s="85"/>
      <c r="CM44" s="85"/>
      <c r="CN44" s="85"/>
      <c r="CP44" s="81"/>
      <c r="CQ44" s="30"/>
      <c r="CR44" s="30"/>
      <c r="CT44" s="30"/>
      <c r="CU44" s="30"/>
      <c r="CV44" s="30"/>
      <c r="CW44" s="30"/>
      <c r="CX44" s="30"/>
      <c r="CY44" s="30"/>
      <c r="CZ44" s="30"/>
      <c r="DA44" s="85"/>
      <c r="DB44" s="85"/>
      <c r="DC44" s="85"/>
      <c r="DE44" s="81"/>
      <c r="DF44" s="30"/>
      <c r="DG44" s="30"/>
      <c r="DI44" s="30"/>
      <c r="DJ44" s="30"/>
      <c r="DK44" s="30"/>
      <c r="DL44" s="30"/>
      <c r="DM44" s="30"/>
      <c r="DN44" s="30"/>
      <c r="DO44" s="30"/>
      <c r="DP44" s="85"/>
      <c r="DQ44" s="85"/>
      <c r="DR44" s="85"/>
      <c r="DT44" s="81"/>
      <c r="DU44" s="30"/>
      <c r="DV44" s="30"/>
      <c r="DX44" s="30"/>
      <c r="DY44" s="30"/>
      <c r="DZ44" s="30"/>
      <c r="EA44" s="30"/>
      <c r="EB44" s="30"/>
      <c r="EC44" s="30"/>
      <c r="ED44" s="30"/>
      <c r="EE44" s="85"/>
      <c r="EF44" s="85"/>
      <c r="EG44" s="85"/>
      <c r="EI44" s="81"/>
      <c r="EJ44" s="30"/>
      <c r="EK44" s="30"/>
      <c r="EM44" s="30"/>
      <c r="EN44" s="30"/>
      <c r="EO44" s="30"/>
      <c r="EP44" s="30"/>
      <c r="EQ44" s="30"/>
      <c r="ER44" s="30"/>
      <c r="ES44" s="30"/>
      <c r="ET44" s="85"/>
      <c r="EU44" s="85"/>
      <c r="EV44" s="85"/>
    </row>
    <row r="45" spans="2:152">
      <c r="B45" s="11">
        <f t="shared" si="1"/>
        <v>0.17</v>
      </c>
      <c r="C45" s="28">
        <v>1.98</v>
      </c>
      <c r="D45" s="16"/>
      <c r="E45" s="8"/>
      <c r="F45" s="27">
        <f t="shared" si="2"/>
        <v>-1.0267531414673694</v>
      </c>
      <c r="G45" s="27">
        <f t="shared" si="3"/>
        <v>-0.47118389004355837</v>
      </c>
      <c r="H45" s="27">
        <f t="shared" si="4"/>
        <v>-1.8803837020075393E-2</v>
      </c>
      <c r="I45" s="27">
        <f t="shared" si="5"/>
        <v>26.057858645579199</v>
      </c>
      <c r="J45" s="27">
        <f t="shared" si="6"/>
        <v>-0.32749236691889017</v>
      </c>
      <c r="K45" s="27">
        <f t="shared" si="7"/>
        <v>0.34378812859116953</v>
      </c>
      <c r="L45" s="27">
        <f t="shared" si="8"/>
        <v>0.67376760043719819</v>
      </c>
      <c r="M45" s="17">
        <f t="shared" si="9"/>
        <v>0.15617947456486031</v>
      </c>
      <c r="N45" s="17">
        <f t="shared" si="10"/>
        <v>0.15617947456486031</v>
      </c>
      <c r="O45" s="17">
        <f t="shared" si="11"/>
        <v>0.15617947456486031</v>
      </c>
      <c r="P45" s="17">
        <f t="shared" ref="P45:P76" si="13">IF(ISERROR(O45),0,IF(L45&lt;0,0,O45))</f>
        <v>0.15617947456486031</v>
      </c>
      <c r="Q45" s="17">
        <f t="shared" ref="Q45:Q76" si="14">IF($P$10=P45,C45,0)</f>
        <v>0</v>
      </c>
      <c r="S45" s="81"/>
      <c r="T45" s="30"/>
      <c r="U45" s="30"/>
      <c r="W45" s="30"/>
      <c r="X45" s="30"/>
      <c r="Y45" s="30"/>
      <c r="Z45" s="30"/>
      <c r="AA45" s="30"/>
      <c r="AB45" s="30"/>
      <c r="AC45" s="30"/>
      <c r="AD45" s="85"/>
      <c r="AE45" s="85"/>
      <c r="AF45" s="85"/>
      <c r="AH45" s="81"/>
      <c r="AI45" s="30"/>
      <c r="AJ45" s="30"/>
      <c r="AL45" s="30"/>
      <c r="AM45" s="30"/>
      <c r="AN45" s="30"/>
      <c r="AO45" s="30"/>
      <c r="AP45" s="30"/>
      <c r="AQ45" s="30"/>
      <c r="AR45" s="30"/>
      <c r="AS45" s="85"/>
      <c r="AT45" s="85"/>
      <c r="AU45" s="85"/>
      <c r="AW45" s="81"/>
      <c r="AX45" s="30"/>
      <c r="AY45" s="30"/>
      <c r="BA45" s="30"/>
      <c r="BB45" s="30"/>
      <c r="BC45" s="30"/>
      <c r="BD45" s="30"/>
      <c r="BE45" s="30"/>
      <c r="BF45" s="30"/>
      <c r="BG45" s="30"/>
      <c r="BH45" s="85"/>
      <c r="BI45" s="85"/>
      <c r="BJ45" s="85"/>
      <c r="BL45" s="81"/>
      <c r="BM45" s="30"/>
      <c r="BN45" s="30"/>
      <c r="BP45" s="30"/>
      <c r="BQ45" s="30"/>
      <c r="BR45" s="30"/>
      <c r="BS45" s="30"/>
      <c r="BT45" s="30"/>
      <c r="BU45" s="30"/>
      <c r="BV45" s="30"/>
      <c r="BW45" s="85"/>
      <c r="BX45" s="85"/>
      <c r="BY45" s="85"/>
      <c r="CA45" s="81"/>
      <c r="CB45" s="30"/>
      <c r="CC45" s="30"/>
      <c r="CE45" s="30"/>
      <c r="CF45" s="30"/>
      <c r="CG45" s="30"/>
      <c r="CH45" s="30"/>
      <c r="CI45" s="30"/>
      <c r="CJ45" s="30"/>
      <c r="CK45" s="30"/>
      <c r="CL45" s="85"/>
      <c r="CM45" s="85"/>
      <c r="CN45" s="85"/>
      <c r="CP45" s="81"/>
      <c r="CQ45" s="30"/>
      <c r="CR45" s="30"/>
      <c r="CT45" s="30"/>
      <c r="CU45" s="30"/>
      <c r="CV45" s="30"/>
      <c r="CW45" s="30"/>
      <c r="CX45" s="30"/>
      <c r="CY45" s="30"/>
      <c r="CZ45" s="30"/>
      <c r="DA45" s="85"/>
      <c r="DB45" s="85"/>
      <c r="DC45" s="85"/>
      <c r="DE45" s="81"/>
      <c r="DF45" s="30"/>
      <c r="DG45" s="30"/>
      <c r="DI45" s="30"/>
      <c r="DJ45" s="30"/>
      <c r="DK45" s="30"/>
      <c r="DL45" s="30"/>
      <c r="DM45" s="30"/>
      <c r="DN45" s="30"/>
      <c r="DO45" s="30"/>
      <c r="DP45" s="85"/>
      <c r="DQ45" s="85"/>
      <c r="DR45" s="85"/>
      <c r="DT45" s="81"/>
      <c r="DU45" s="30"/>
      <c r="DV45" s="30"/>
      <c r="DX45" s="30"/>
      <c r="DY45" s="30"/>
      <c r="DZ45" s="30"/>
      <c r="EA45" s="30"/>
      <c r="EB45" s="30"/>
      <c r="EC45" s="30"/>
      <c r="ED45" s="30"/>
      <c r="EE45" s="85"/>
      <c r="EF45" s="85"/>
      <c r="EG45" s="85"/>
      <c r="EI45" s="81"/>
      <c r="EJ45" s="30"/>
      <c r="EK45" s="30"/>
      <c r="EM45" s="30"/>
      <c r="EN45" s="30"/>
      <c r="EO45" s="30"/>
      <c r="EP45" s="30"/>
      <c r="EQ45" s="30"/>
      <c r="ER45" s="30"/>
      <c r="ES45" s="30"/>
      <c r="ET45" s="85"/>
      <c r="EU45" s="85"/>
      <c r="EV45" s="85"/>
    </row>
    <row r="46" spans="2:152">
      <c r="B46" s="11">
        <f t="shared" si="1"/>
        <v>0.17</v>
      </c>
      <c r="C46" s="28">
        <v>2.04</v>
      </c>
      <c r="D46" s="16"/>
      <c r="E46" s="8"/>
      <c r="F46" s="27">
        <f t="shared" si="2"/>
        <v>-1.0695364238410598</v>
      </c>
      <c r="G46" s="27">
        <f t="shared" si="3"/>
        <v>-0.47437390443254296</v>
      </c>
      <c r="H46" s="27">
        <f t="shared" si="4"/>
        <v>-1.5613822631090717E-2</v>
      </c>
      <c r="I46" s="27">
        <f t="shared" si="5"/>
        <v>31.381663455556055</v>
      </c>
      <c r="J46" s="27">
        <f t="shared" si="6"/>
        <v>-0.31856540084388185</v>
      </c>
      <c r="K46" s="27">
        <f t="shared" si="7"/>
        <v>0.33358830962109981</v>
      </c>
      <c r="L46" s="27">
        <f t="shared" si="8"/>
        <v>0.71275157613372453</v>
      </c>
      <c r="M46" s="17">
        <f t="shared" si="9"/>
        <v>0.15860024036091194</v>
      </c>
      <c r="N46" s="17">
        <f t="shared" si="10"/>
        <v>0.15860024036091194</v>
      </c>
      <c r="O46" s="17">
        <f t="shared" si="11"/>
        <v>0.15860024036091194</v>
      </c>
      <c r="P46" s="17">
        <f t="shared" si="13"/>
        <v>0.15860024036091194</v>
      </c>
      <c r="Q46" s="17">
        <f t="shared" si="14"/>
        <v>0</v>
      </c>
      <c r="S46" s="81"/>
      <c r="T46" s="30"/>
      <c r="U46" s="30"/>
      <c r="W46" s="30"/>
      <c r="X46" s="30"/>
      <c r="Y46" s="30"/>
      <c r="Z46" s="30"/>
      <c r="AA46" s="30"/>
      <c r="AB46" s="30"/>
      <c r="AC46" s="30"/>
      <c r="AD46" s="85"/>
      <c r="AE46" s="85"/>
      <c r="AF46" s="85"/>
      <c r="AH46" s="81"/>
      <c r="AI46" s="30"/>
      <c r="AJ46" s="30"/>
      <c r="AL46" s="30"/>
      <c r="AM46" s="30"/>
      <c r="AN46" s="30"/>
      <c r="AO46" s="30"/>
      <c r="AP46" s="30"/>
      <c r="AQ46" s="30"/>
      <c r="AR46" s="30"/>
      <c r="AS46" s="85"/>
      <c r="AT46" s="85"/>
      <c r="AU46" s="85"/>
      <c r="AW46" s="81"/>
      <c r="AX46" s="30"/>
      <c r="AY46" s="30"/>
      <c r="BA46" s="30"/>
      <c r="BB46" s="30"/>
      <c r="BC46" s="30"/>
      <c r="BD46" s="30"/>
      <c r="BE46" s="30"/>
      <c r="BF46" s="30"/>
      <c r="BG46" s="30"/>
      <c r="BH46" s="85"/>
      <c r="BI46" s="85"/>
      <c r="BJ46" s="85"/>
      <c r="BL46" s="81"/>
      <c r="BM46" s="30"/>
      <c r="BN46" s="30"/>
      <c r="BP46" s="30"/>
      <c r="BQ46" s="30"/>
      <c r="BR46" s="30"/>
      <c r="BS46" s="30"/>
      <c r="BT46" s="30"/>
      <c r="BU46" s="30"/>
      <c r="BV46" s="30"/>
      <c r="BW46" s="85"/>
      <c r="BX46" s="85"/>
      <c r="BY46" s="85"/>
      <c r="CA46" s="81"/>
      <c r="CB46" s="30"/>
      <c r="CC46" s="30"/>
      <c r="CE46" s="30"/>
      <c r="CF46" s="30"/>
      <c r="CG46" s="30"/>
      <c r="CH46" s="30"/>
      <c r="CI46" s="30"/>
      <c r="CJ46" s="30"/>
      <c r="CK46" s="30"/>
      <c r="CL46" s="85"/>
      <c r="CM46" s="85"/>
      <c r="CN46" s="85"/>
      <c r="CP46" s="81"/>
      <c r="CQ46" s="30"/>
      <c r="CR46" s="30"/>
      <c r="CT46" s="30"/>
      <c r="CU46" s="30"/>
      <c r="CV46" s="30"/>
      <c r="CW46" s="30"/>
      <c r="CX46" s="30"/>
      <c r="CY46" s="30"/>
      <c r="CZ46" s="30"/>
      <c r="DA46" s="85"/>
      <c r="DB46" s="85"/>
      <c r="DC46" s="85"/>
      <c r="DE46" s="81"/>
      <c r="DF46" s="30"/>
      <c r="DG46" s="30"/>
      <c r="DI46" s="30"/>
      <c r="DJ46" s="30"/>
      <c r="DK46" s="30"/>
      <c r="DL46" s="30"/>
      <c r="DM46" s="30"/>
      <c r="DN46" s="30"/>
      <c r="DO46" s="30"/>
      <c r="DP46" s="85"/>
      <c r="DQ46" s="85"/>
      <c r="DR46" s="85"/>
      <c r="DT46" s="81"/>
      <c r="DU46" s="30"/>
      <c r="DV46" s="30"/>
      <c r="DX46" s="30"/>
      <c r="DY46" s="30"/>
      <c r="DZ46" s="30"/>
      <c r="EA46" s="30"/>
      <c r="EB46" s="30"/>
      <c r="EC46" s="30"/>
      <c r="ED46" s="30"/>
      <c r="EE46" s="85"/>
      <c r="EF46" s="85"/>
      <c r="EG46" s="85"/>
      <c r="EI46" s="81"/>
      <c r="EJ46" s="30"/>
      <c r="EK46" s="30"/>
      <c r="EM46" s="30"/>
      <c r="EN46" s="30"/>
      <c r="EO46" s="30"/>
      <c r="EP46" s="30"/>
      <c r="EQ46" s="30"/>
      <c r="ER46" s="30"/>
      <c r="ES46" s="30"/>
      <c r="ET46" s="85"/>
      <c r="EU46" s="85"/>
      <c r="EV46" s="85"/>
    </row>
    <row r="47" spans="2:152">
      <c r="B47" s="11">
        <f t="shared" si="1"/>
        <v>0.17</v>
      </c>
      <c r="C47" s="28">
        <v>2.1</v>
      </c>
      <c r="D47" s="16"/>
      <c r="E47" s="8"/>
      <c r="F47" s="27">
        <f t="shared" si="2"/>
        <v>-1.1141649048625795</v>
      </c>
      <c r="G47" s="27">
        <f t="shared" si="3"/>
        <v>-0.47756391882152771</v>
      </c>
      <c r="H47" s="27">
        <f t="shared" si="4"/>
        <v>-1.2423808242106061E-2</v>
      </c>
      <c r="I47" s="27">
        <f t="shared" si="5"/>
        <v>39.439414832804275</v>
      </c>
      <c r="J47" s="27">
        <f t="shared" si="6"/>
        <v>-0.30975769482645704</v>
      </c>
      <c r="K47" s="27">
        <f t="shared" si="7"/>
        <v>0.32036735731843896</v>
      </c>
      <c r="L47" s="27">
        <f t="shared" si="8"/>
        <v>0.757222838674805</v>
      </c>
      <c r="M47" s="17">
        <f t="shared" si="9"/>
        <v>0.16144898113164949</v>
      </c>
      <c r="N47" s="17">
        <f t="shared" si="10"/>
        <v>0.16144898113164949</v>
      </c>
      <c r="O47" s="17">
        <f t="shared" si="11"/>
        <v>0.16144898113164949</v>
      </c>
      <c r="P47" s="17">
        <f t="shared" si="13"/>
        <v>0.16144898113164949</v>
      </c>
      <c r="Q47" s="17">
        <f t="shared" si="14"/>
        <v>0</v>
      </c>
      <c r="S47" s="81"/>
      <c r="T47" s="30"/>
      <c r="U47" s="30"/>
      <c r="W47" s="30"/>
      <c r="X47" s="30"/>
      <c r="Y47" s="30"/>
      <c r="Z47" s="30"/>
      <c r="AA47" s="30"/>
      <c r="AB47" s="30"/>
      <c r="AC47" s="30"/>
      <c r="AD47" s="85"/>
      <c r="AE47" s="85"/>
      <c r="AF47" s="85"/>
      <c r="AH47" s="81"/>
      <c r="AI47" s="30"/>
      <c r="AJ47" s="30"/>
      <c r="AL47" s="30"/>
      <c r="AM47" s="30"/>
      <c r="AN47" s="30"/>
      <c r="AO47" s="30"/>
      <c r="AP47" s="30"/>
      <c r="AQ47" s="30"/>
      <c r="AR47" s="30"/>
      <c r="AS47" s="85"/>
      <c r="AT47" s="85"/>
      <c r="AU47" s="85"/>
      <c r="AW47" s="81"/>
      <c r="AX47" s="30"/>
      <c r="AY47" s="30"/>
      <c r="BA47" s="30"/>
      <c r="BB47" s="30"/>
      <c r="BC47" s="30"/>
      <c r="BD47" s="30"/>
      <c r="BE47" s="30"/>
      <c r="BF47" s="30"/>
      <c r="BG47" s="30"/>
      <c r="BH47" s="85"/>
      <c r="BI47" s="85"/>
      <c r="BJ47" s="85"/>
      <c r="BL47" s="81"/>
      <c r="BM47" s="30"/>
      <c r="BN47" s="30"/>
      <c r="BP47" s="30"/>
      <c r="BQ47" s="30"/>
      <c r="BR47" s="30"/>
      <c r="BS47" s="30"/>
      <c r="BT47" s="30"/>
      <c r="BU47" s="30"/>
      <c r="BV47" s="30"/>
      <c r="BW47" s="85"/>
      <c r="BX47" s="85"/>
      <c r="BY47" s="85"/>
      <c r="CA47" s="81"/>
      <c r="CB47" s="30"/>
      <c r="CC47" s="30"/>
      <c r="CE47" s="30"/>
      <c r="CF47" s="30"/>
      <c r="CG47" s="30"/>
      <c r="CH47" s="30"/>
      <c r="CI47" s="30"/>
      <c r="CJ47" s="30"/>
      <c r="CK47" s="30"/>
      <c r="CL47" s="85"/>
      <c r="CM47" s="85"/>
      <c r="CN47" s="85"/>
      <c r="CP47" s="81"/>
      <c r="CQ47" s="30"/>
      <c r="CR47" s="30"/>
      <c r="CT47" s="30"/>
      <c r="CU47" s="30"/>
      <c r="CV47" s="30"/>
      <c r="CW47" s="30"/>
      <c r="CX47" s="30"/>
      <c r="CY47" s="30"/>
      <c r="CZ47" s="30"/>
      <c r="DA47" s="85"/>
      <c r="DB47" s="85"/>
      <c r="DC47" s="85"/>
      <c r="DE47" s="81"/>
      <c r="DF47" s="30"/>
      <c r="DG47" s="30"/>
      <c r="DI47" s="30"/>
      <c r="DJ47" s="30"/>
      <c r="DK47" s="30"/>
      <c r="DL47" s="30"/>
      <c r="DM47" s="30"/>
      <c r="DN47" s="30"/>
      <c r="DO47" s="30"/>
      <c r="DP47" s="85"/>
      <c r="DQ47" s="85"/>
      <c r="DR47" s="85"/>
      <c r="DT47" s="81"/>
      <c r="DU47" s="30"/>
      <c r="DV47" s="30"/>
      <c r="DX47" s="30"/>
      <c r="DY47" s="30"/>
      <c r="DZ47" s="30"/>
      <c r="EA47" s="30"/>
      <c r="EB47" s="30"/>
      <c r="EC47" s="30"/>
      <c r="ED47" s="30"/>
      <c r="EE47" s="85"/>
      <c r="EF47" s="85"/>
      <c r="EG47" s="85"/>
      <c r="EI47" s="81"/>
      <c r="EJ47" s="30"/>
      <c r="EK47" s="30"/>
      <c r="EM47" s="30"/>
      <c r="EN47" s="30"/>
      <c r="EO47" s="30"/>
      <c r="EP47" s="30"/>
      <c r="EQ47" s="30"/>
      <c r="ER47" s="30"/>
      <c r="ES47" s="30"/>
      <c r="ET47" s="85"/>
      <c r="EU47" s="85"/>
      <c r="EV47" s="85"/>
    </row>
    <row r="48" spans="2:152">
      <c r="B48" s="11">
        <f t="shared" si="1"/>
        <v>0.17</v>
      </c>
      <c r="C48" s="28">
        <v>2.16</v>
      </c>
      <c r="D48" s="16"/>
      <c r="E48" s="8"/>
      <c r="F48" s="27">
        <f t="shared" si="2"/>
        <v>-1.1607605877268798</v>
      </c>
      <c r="G48" s="27">
        <f t="shared" si="3"/>
        <v>-0.4807539332105123</v>
      </c>
      <c r="H48" s="27">
        <f t="shared" si="4"/>
        <v>-9.2337938531213849E-3</v>
      </c>
      <c r="I48" s="27">
        <f t="shared" si="5"/>
        <v>53.064616219258411</v>
      </c>
      <c r="J48" s="27">
        <f t="shared" si="6"/>
        <v>-0.30106687483736666</v>
      </c>
      <c r="K48" s="27">
        <f t="shared" si="7"/>
        <v>0.30249509759904025</v>
      </c>
      <c r="L48" s="27">
        <f t="shared" si="8"/>
        <v>0.80963620045331797</v>
      </c>
      <c r="M48" s="17">
        <f t="shared" si="9"/>
        <v>0.1649351897676837</v>
      </c>
      <c r="N48" s="17">
        <f t="shared" si="10"/>
        <v>0.1649351897676837</v>
      </c>
      <c r="O48" s="17">
        <f t="shared" si="11"/>
        <v>0.1649351897676837</v>
      </c>
      <c r="P48" s="17">
        <f t="shared" si="13"/>
        <v>0.1649351897676837</v>
      </c>
      <c r="Q48" s="17">
        <f t="shared" si="14"/>
        <v>0</v>
      </c>
      <c r="S48" s="81"/>
      <c r="T48" s="30"/>
      <c r="U48" s="30"/>
      <c r="W48" s="30"/>
      <c r="X48" s="30"/>
      <c r="Y48" s="30"/>
      <c r="Z48" s="30"/>
      <c r="AA48" s="30"/>
      <c r="AB48" s="30"/>
      <c r="AC48" s="30"/>
      <c r="AD48" s="85"/>
      <c r="AE48" s="85"/>
      <c r="AF48" s="85"/>
      <c r="AH48" s="81"/>
      <c r="AI48" s="30"/>
      <c r="AJ48" s="30"/>
      <c r="AL48" s="30"/>
      <c r="AM48" s="30"/>
      <c r="AN48" s="30"/>
      <c r="AO48" s="30"/>
      <c r="AP48" s="30"/>
      <c r="AQ48" s="30"/>
      <c r="AR48" s="30"/>
      <c r="AS48" s="85"/>
      <c r="AT48" s="85"/>
      <c r="AU48" s="85"/>
      <c r="AW48" s="81"/>
      <c r="AX48" s="30"/>
      <c r="AY48" s="30"/>
      <c r="BA48" s="30"/>
      <c r="BB48" s="30"/>
      <c r="BC48" s="30"/>
      <c r="BD48" s="30"/>
      <c r="BE48" s="30"/>
      <c r="BF48" s="30"/>
      <c r="BG48" s="30"/>
      <c r="BH48" s="85"/>
      <c r="BI48" s="85"/>
      <c r="BJ48" s="85"/>
      <c r="BL48" s="81"/>
      <c r="BM48" s="30"/>
      <c r="BN48" s="30"/>
      <c r="BP48" s="30"/>
      <c r="BQ48" s="30"/>
      <c r="BR48" s="30"/>
      <c r="BS48" s="30"/>
      <c r="BT48" s="30"/>
      <c r="BU48" s="30"/>
      <c r="BV48" s="30"/>
      <c r="BW48" s="85"/>
      <c r="BX48" s="85"/>
      <c r="BY48" s="85"/>
      <c r="CA48" s="81"/>
      <c r="CB48" s="30"/>
      <c r="CC48" s="30"/>
      <c r="CE48" s="30"/>
      <c r="CF48" s="30"/>
      <c r="CG48" s="30"/>
      <c r="CH48" s="30"/>
      <c r="CI48" s="30"/>
      <c r="CJ48" s="30"/>
      <c r="CK48" s="30"/>
      <c r="CL48" s="85"/>
      <c r="CM48" s="85"/>
      <c r="CN48" s="85"/>
      <c r="CP48" s="81"/>
      <c r="CQ48" s="30"/>
      <c r="CR48" s="30"/>
      <c r="CT48" s="30"/>
      <c r="CU48" s="30"/>
      <c r="CV48" s="30"/>
      <c r="CW48" s="30"/>
      <c r="CX48" s="30"/>
      <c r="CY48" s="30"/>
      <c r="CZ48" s="30"/>
      <c r="DA48" s="85"/>
      <c r="DB48" s="85"/>
      <c r="DC48" s="85"/>
      <c r="DE48" s="81"/>
      <c r="DF48" s="30"/>
      <c r="DG48" s="30"/>
      <c r="DI48" s="30"/>
      <c r="DJ48" s="30"/>
      <c r="DK48" s="30"/>
      <c r="DL48" s="30"/>
      <c r="DM48" s="30"/>
      <c r="DN48" s="30"/>
      <c r="DO48" s="30"/>
      <c r="DP48" s="85"/>
      <c r="DQ48" s="85"/>
      <c r="DR48" s="85"/>
      <c r="DT48" s="81"/>
      <c r="DU48" s="30"/>
      <c r="DV48" s="30"/>
      <c r="DX48" s="30"/>
      <c r="DY48" s="30"/>
      <c r="DZ48" s="30"/>
      <c r="EA48" s="30"/>
      <c r="EB48" s="30"/>
      <c r="EC48" s="30"/>
      <c r="ED48" s="30"/>
      <c r="EE48" s="85"/>
      <c r="EF48" s="85"/>
      <c r="EG48" s="85"/>
      <c r="EI48" s="81"/>
      <c r="EJ48" s="30"/>
      <c r="EK48" s="30"/>
      <c r="EM48" s="30"/>
      <c r="EN48" s="30"/>
      <c r="EO48" s="30"/>
      <c r="EP48" s="30"/>
      <c r="EQ48" s="30"/>
      <c r="ER48" s="30"/>
      <c r="ES48" s="30"/>
      <c r="ET48" s="85"/>
      <c r="EU48" s="85"/>
      <c r="EV48" s="85"/>
    </row>
    <row r="49" spans="2:152">
      <c r="B49" s="11">
        <f t="shared" si="1"/>
        <v>0.17</v>
      </c>
      <c r="C49" s="28">
        <v>2.2200000000000002</v>
      </c>
      <c r="D49" s="16"/>
      <c r="E49" s="8"/>
      <c r="F49" s="27">
        <f t="shared" si="2"/>
        <v>-1.2094564737074684</v>
      </c>
      <c r="G49" s="27">
        <f t="shared" si="3"/>
        <v>-0.48394394759949705</v>
      </c>
      <c r="H49" s="27">
        <f t="shared" si="4"/>
        <v>-6.043779464136729E-3</v>
      </c>
      <c r="I49" s="27">
        <f t="shared" si="5"/>
        <v>81.073065284922961</v>
      </c>
      <c r="J49" s="27">
        <f t="shared" si="6"/>
        <v>-0.29249062944293647</v>
      </c>
      <c r="K49" s="27">
        <f t="shared" si="7"/>
        <v>0.27648494200713031</v>
      </c>
      <c r="L49" s="27">
        <f t="shared" si="8"/>
        <v>0.87505997071431074</v>
      </c>
      <c r="M49" s="17">
        <f t="shared" si="9"/>
        <v>0.16949877084704423</v>
      </c>
      <c r="N49" s="17">
        <f t="shared" si="10"/>
        <v>0.16949877084704423</v>
      </c>
      <c r="O49" s="17">
        <f t="shared" si="11"/>
        <v>0.16949877084704423</v>
      </c>
      <c r="P49" s="17">
        <f t="shared" si="13"/>
        <v>0.16949877084704423</v>
      </c>
      <c r="Q49" s="17">
        <f t="shared" si="14"/>
        <v>0</v>
      </c>
      <c r="S49" s="81"/>
      <c r="T49" s="30"/>
      <c r="U49" s="30"/>
      <c r="W49" s="30"/>
      <c r="X49" s="30"/>
      <c r="Y49" s="30"/>
      <c r="Z49" s="30"/>
      <c r="AA49" s="30"/>
      <c r="AB49" s="30"/>
      <c r="AC49" s="30"/>
      <c r="AD49" s="85"/>
      <c r="AE49" s="85"/>
      <c r="AF49" s="85"/>
      <c r="AH49" s="81"/>
      <c r="AI49" s="30"/>
      <c r="AJ49" s="30"/>
      <c r="AL49" s="30"/>
      <c r="AM49" s="30"/>
      <c r="AN49" s="30"/>
      <c r="AO49" s="30"/>
      <c r="AP49" s="30"/>
      <c r="AQ49" s="30"/>
      <c r="AR49" s="30"/>
      <c r="AS49" s="85"/>
      <c r="AT49" s="85"/>
      <c r="AU49" s="85"/>
      <c r="AW49" s="81"/>
      <c r="AX49" s="30"/>
      <c r="AY49" s="30"/>
      <c r="BA49" s="30"/>
      <c r="BB49" s="30"/>
      <c r="BC49" s="30"/>
      <c r="BD49" s="30"/>
      <c r="BE49" s="30"/>
      <c r="BF49" s="30"/>
      <c r="BG49" s="30"/>
      <c r="BH49" s="85"/>
      <c r="BI49" s="85"/>
      <c r="BJ49" s="85"/>
      <c r="BL49" s="81"/>
      <c r="BM49" s="30"/>
      <c r="BN49" s="30"/>
      <c r="BP49" s="30"/>
      <c r="BQ49" s="30"/>
      <c r="BR49" s="30"/>
      <c r="BS49" s="30"/>
      <c r="BT49" s="30"/>
      <c r="BU49" s="30"/>
      <c r="BV49" s="30"/>
      <c r="BW49" s="85"/>
      <c r="BX49" s="85"/>
      <c r="BY49" s="85"/>
      <c r="CA49" s="81"/>
      <c r="CB49" s="30"/>
      <c r="CC49" s="30"/>
      <c r="CE49" s="30"/>
      <c r="CF49" s="30"/>
      <c r="CG49" s="30"/>
      <c r="CH49" s="30"/>
      <c r="CI49" s="30"/>
      <c r="CJ49" s="30"/>
      <c r="CK49" s="30"/>
      <c r="CL49" s="85"/>
      <c r="CM49" s="85"/>
      <c r="CN49" s="85"/>
      <c r="CP49" s="81"/>
      <c r="CQ49" s="30"/>
      <c r="CR49" s="30"/>
      <c r="CT49" s="30"/>
      <c r="CU49" s="30"/>
      <c r="CV49" s="30"/>
      <c r="CW49" s="30"/>
      <c r="CX49" s="30"/>
      <c r="CY49" s="30"/>
      <c r="CZ49" s="30"/>
      <c r="DA49" s="85"/>
      <c r="DB49" s="85"/>
      <c r="DC49" s="85"/>
      <c r="DE49" s="81"/>
      <c r="DF49" s="30"/>
      <c r="DG49" s="30"/>
      <c r="DI49" s="30"/>
      <c r="DJ49" s="30"/>
      <c r="DK49" s="30"/>
      <c r="DL49" s="30"/>
      <c r="DM49" s="30"/>
      <c r="DN49" s="30"/>
      <c r="DO49" s="30"/>
      <c r="DP49" s="85"/>
      <c r="DQ49" s="85"/>
      <c r="DR49" s="85"/>
      <c r="DT49" s="81"/>
      <c r="DU49" s="30"/>
      <c r="DV49" s="30"/>
      <c r="DX49" s="30"/>
      <c r="DY49" s="30"/>
      <c r="DZ49" s="30"/>
      <c r="EA49" s="30"/>
      <c r="EB49" s="30"/>
      <c r="EC49" s="30"/>
      <c r="ED49" s="30"/>
      <c r="EE49" s="85"/>
      <c r="EF49" s="85"/>
      <c r="EG49" s="85"/>
      <c r="EI49" s="81"/>
      <c r="EJ49" s="30"/>
      <c r="EK49" s="30"/>
      <c r="EM49" s="30"/>
      <c r="EN49" s="30"/>
      <c r="EO49" s="30"/>
      <c r="EP49" s="30"/>
      <c r="EQ49" s="30"/>
      <c r="ER49" s="30"/>
      <c r="ES49" s="30"/>
      <c r="ET49" s="85"/>
      <c r="EU49" s="85"/>
      <c r="EV49" s="85"/>
    </row>
    <row r="50" spans="2:152">
      <c r="B50" s="11">
        <f t="shared" si="1"/>
        <v>0.17</v>
      </c>
      <c r="C50" s="28">
        <v>2.2799999999999998</v>
      </c>
      <c r="D50" s="16"/>
      <c r="E50" s="8"/>
      <c r="F50" s="27">
        <f t="shared" si="2"/>
        <v>-1.2603978300180831</v>
      </c>
      <c r="G50" s="27">
        <f t="shared" si="3"/>
        <v>-0.48713396198848163</v>
      </c>
      <c r="H50" s="27">
        <f t="shared" si="4"/>
        <v>-2.8537650751520719E-3</v>
      </c>
      <c r="I50" s="27">
        <f t="shared" si="5"/>
        <v>171.69869073316175</v>
      </c>
      <c r="J50" s="27">
        <f t="shared" si="6"/>
        <v>-0.28402670775552136</v>
      </c>
      <c r="K50" s="27">
        <f t="shared" si="7"/>
        <v>0.23188170822631168</v>
      </c>
      <c r="L50" s="27">
        <f t="shared" si="8"/>
        <v>0.96813462814875362</v>
      </c>
      <c r="M50" s="17">
        <f t="shared" si="9"/>
        <v>0.17643036545452701</v>
      </c>
      <c r="N50" s="17">
        <f t="shared" si="10"/>
        <v>0.17643036545452701</v>
      </c>
      <c r="O50" s="17">
        <f t="shared" si="11"/>
        <v>0.17643036545452701</v>
      </c>
      <c r="P50" s="17">
        <f t="shared" si="13"/>
        <v>0.17643036545452701</v>
      </c>
      <c r="Q50" s="17">
        <f t="shared" si="14"/>
        <v>2.2799999999999998</v>
      </c>
      <c r="S50" s="81"/>
      <c r="T50" s="30"/>
      <c r="U50" s="30"/>
      <c r="W50" s="30"/>
      <c r="X50" s="30"/>
      <c r="Y50" s="30"/>
      <c r="Z50" s="30"/>
      <c r="AA50" s="30"/>
      <c r="AB50" s="30"/>
      <c r="AC50" s="30"/>
      <c r="AD50" s="85"/>
      <c r="AE50" s="85"/>
      <c r="AF50" s="85"/>
      <c r="AH50" s="81"/>
      <c r="AI50" s="30"/>
      <c r="AJ50" s="30"/>
      <c r="AL50" s="30"/>
      <c r="AM50" s="30"/>
      <c r="AN50" s="30"/>
      <c r="AO50" s="30"/>
      <c r="AP50" s="30"/>
      <c r="AQ50" s="30"/>
      <c r="AR50" s="30"/>
      <c r="AS50" s="85"/>
      <c r="AT50" s="85"/>
      <c r="AU50" s="85"/>
      <c r="AW50" s="81"/>
      <c r="AX50" s="30"/>
      <c r="AY50" s="30"/>
      <c r="BA50" s="30"/>
      <c r="BB50" s="30"/>
      <c r="BC50" s="30"/>
      <c r="BD50" s="30"/>
      <c r="BE50" s="30"/>
      <c r="BF50" s="30"/>
      <c r="BG50" s="30"/>
      <c r="BH50" s="85"/>
      <c r="BI50" s="85"/>
      <c r="BJ50" s="85"/>
      <c r="BL50" s="81"/>
      <c r="BM50" s="30"/>
      <c r="BN50" s="30"/>
      <c r="BP50" s="30"/>
      <c r="BQ50" s="30"/>
      <c r="BR50" s="30"/>
      <c r="BS50" s="30"/>
      <c r="BT50" s="30"/>
      <c r="BU50" s="30"/>
      <c r="BV50" s="30"/>
      <c r="BW50" s="85"/>
      <c r="BX50" s="85"/>
      <c r="BY50" s="85"/>
      <c r="CA50" s="81"/>
      <c r="CB50" s="30"/>
      <c r="CC50" s="30"/>
      <c r="CE50" s="30"/>
      <c r="CF50" s="30"/>
      <c r="CG50" s="30"/>
      <c r="CH50" s="30"/>
      <c r="CI50" s="30"/>
      <c r="CJ50" s="30"/>
      <c r="CK50" s="30"/>
      <c r="CL50" s="85"/>
      <c r="CM50" s="85"/>
      <c r="CN50" s="85"/>
      <c r="CP50" s="81"/>
      <c r="CQ50" s="30"/>
      <c r="CR50" s="30"/>
      <c r="CT50" s="30"/>
      <c r="CU50" s="30"/>
      <c r="CV50" s="30"/>
      <c r="CW50" s="30"/>
      <c r="CX50" s="30"/>
      <c r="CY50" s="30"/>
      <c r="CZ50" s="30"/>
      <c r="DA50" s="85"/>
      <c r="DB50" s="85"/>
      <c r="DC50" s="85"/>
      <c r="DE50" s="81"/>
      <c r="DF50" s="30"/>
      <c r="DG50" s="30"/>
      <c r="DI50" s="30"/>
      <c r="DJ50" s="30"/>
      <c r="DK50" s="30"/>
      <c r="DL50" s="30"/>
      <c r="DM50" s="30"/>
      <c r="DN50" s="30"/>
      <c r="DO50" s="30"/>
      <c r="DP50" s="85"/>
      <c r="DQ50" s="85"/>
      <c r="DR50" s="85"/>
      <c r="DT50" s="81"/>
      <c r="DU50" s="30"/>
      <c r="DV50" s="30"/>
      <c r="DX50" s="30"/>
      <c r="DY50" s="30"/>
      <c r="DZ50" s="30"/>
      <c r="EA50" s="30"/>
      <c r="EB50" s="30"/>
      <c r="EC50" s="30"/>
      <c r="ED50" s="30"/>
      <c r="EE50" s="85"/>
      <c r="EF50" s="85"/>
      <c r="EG50" s="85"/>
      <c r="EI50" s="81"/>
      <c r="EJ50" s="30"/>
      <c r="EK50" s="30"/>
      <c r="EM50" s="30"/>
      <c r="EN50" s="30"/>
      <c r="EO50" s="30"/>
      <c r="EP50" s="30"/>
      <c r="EQ50" s="30"/>
      <c r="ER50" s="30"/>
      <c r="ES50" s="30"/>
      <c r="ET50" s="85"/>
      <c r="EU50" s="85"/>
      <c r="EV50" s="85"/>
    </row>
    <row r="51" spans="2:152">
      <c r="B51" s="11">
        <f t="shared" si="1"/>
        <v>0.17</v>
      </c>
      <c r="C51" s="28">
        <v>2.34</v>
      </c>
      <c r="D51" s="16"/>
      <c r="E51" s="8"/>
      <c r="F51" s="27">
        <f t="shared" si="2"/>
        <v>-1.3137436372049975</v>
      </c>
      <c r="G51" s="27">
        <f t="shared" si="3"/>
        <v>-0.49032397637746633</v>
      </c>
      <c r="H51" s="27">
        <f t="shared" si="4"/>
        <v>3.3624931383258508E-4</v>
      </c>
      <c r="I51" s="27">
        <f t="shared" si="5"/>
        <v>-1457.215544854891</v>
      </c>
      <c r="J51" s="27">
        <f t="shared" si="6"/>
        <v>-0.27567291746396222</v>
      </c>
      <c r="K51" s="27" t="e">
        <f t="shared" si="7"/>
        <v>#NUM!</v>
      </c>
      <c r="L51" s="27" t="e">
        <f t="shared" si="8"/>
        <v>#NUM!</v>
      </c>
      <c r="M51" s="17" t="e">
        <f t="shared" si="9"/>
        <v>#NUM!</v>
      </c>
      <c r="N51" s="17" t="e">
        <f t="shared" si="10"/>
        <v>#N/A</v>
      </c>
      <c r="O51" s="17" t="e">
        <f t="shared" si="11"/>
        <v>#N/A</v>
      </c>
      <c r="P51" s="17">
        <f t="shared" si="13"/>
        <v>0</v>
      </c>
      <c r="Q51" s="17">
        <f t="shared" si="14"/>
        <v>0</v>
      </c>
      <c r="S51" s="81"/>
      <c r="T51" s="30"/>
      <c r="U51" s="30"/>
      <c r="W51" s="30"/>
      <c r="X51" s="30"/>
      <c r="Y51" s="30"/>
      <c r="Z51" s="30"/>
      <c r="AA51" s="30"/>
      <c r="AB51" s="30"/>
      <c r="AC51" s="30"/>
      <c r="AD51" s="85"/>
      <c r="AE51" s="85"/>
      <c r="AF51" s="85"/>
      <c r="AH51" s="81"/>
      <c r="AI51" s="30"/>
      <c r="AJ51" s="30"/>
      <c r="AL51" s="30"/>
      <c r="AM51" s="30"/>
      <c r="AN51" s="30"/>
      <c r="AO51" s="30"/>
      <c r="AP51" s="30"/>
      <c r="AQ51" s="30"/>
      <c r="AR51" s="30"/>
      <c r="AS51" s="85"/>
      <c r="AT51" s="85"/>
      <c r="AU51" s="85"/>
      <c r="AW51" s="81"/>
      <c r="AX51" s="30"/>
      <c r="AY51" s="30"/>
      <c r="BA51" s="30"/>
      <c r="BB51" s="30"/>
      <c r="BC51" s="30"/>
      <c r="BD51" s="30"/>
      <c r="BE51" s="30"/>
      <c r="BF51" s="30"/>
      <c r="BG51" s="30"/>
      <c r="BH51" s="85"/>
      <c r="BI51" s="85"/>
      <c r="BJ51" s="85"/>
      <c r="BL51" s="81"/>
      <c r="BM51" s="30"/>
      <c r="BN51" s="30"/>
      <c r="BP51" s="30"/>
      <c r="BQ51" s="30"/>
      <c r="BR51" s="30"/>
      <c r="BS51" s="30"/>
      <c r="BT51" s="30"/>
      <c r="BU51" s="30"/>
      <c r="BV51" s="30"/>
      <c r="BW51" s="85"/>
      <c r="BX51" s="85"/>
      <c r="BY51" s="85"/>
      <c r="CA51" s="81"/>
      <c r="CB51" s="30"/>
      <c r="CC51" s="30"/>
      <c r="CE51" s="30"/>
      <c r="CF51" s="30"/>
      <c r="CG51" s="30"/>
      <c r="CH51" s="30"/>
      <c r="CI51" s="30"/>
      <c r="CJ51" s="30"/>
      <c r="CK51" s="30"/>
      <c r="CL51" s="85"/>
      <c r="CM51" s="85"/>
      <c r="CN51" s="85"/>
      <c r="CP51" s="81"/>
      <c r="CQ51" s="30"/>
      <c r="CR51" s="30"/>
      <c r="CT51" s="30"/>
      <c r="CU51" s="30"/>
      <c r="CV51" s="30"/>
      <c r="CW51" s="30"/>
      <c r="CX51" s="30"/>
      <c r="CY51" s="30"/>
      <c r="CZ51" s="30"/>
      <c r="DA51" s="85"/>
      <c r="DB51" s="85"/>
      <c r="DC51" s="85"/>
      <c r="DE51" s="81"/>
      <c r="DF51" s="30"/>
      <c r="DG51" s="30"/>
      <c r="DI51" s="30"/>
      <c r="DJ51" s="30"/>
      <c r="DK51" s="30"/>
      <c r="DL51" s="30"/>
      <c r="DM51" s="30"/>
      <c r="DN51" s="30"/>
      <c r="DO51" s="30"/>
      <c r="DP51" s="85"/>
      <c r="DQ51" s="85"/>
      <c r="DR51" s="85"/>
      <c r="DT51" s="81"/>
      <c r="DU51" s="30"/>
      <c r="DV51" s="30"/>
      <c r="DX51" s="30"/>
      <c r="DY51" s="30"/>
      <c r="DZ51" s="30"/>
      <c r="EA51" s="30"/>
      <c r="EB51" s="30"/>
      <c r="EC51" s="30"/>
      <c r="ED51" s="30"/>
      <c r="EE51" s="85"/>
      <c r="EF51" s="85"/>
      <c r="EG51" s="85"/>
      <c r="EI51" s="81"/>
      <c r="EJ51" s="30"/>
      <c r="EK51" s="30"/>
      <c r="EM51" s="30"/>
      <c r="EN51" s="30"/>
      <c r="EO51" s="30"/>
      <c r="EP51" s="30"/>
      <c r="EQ51" s="30"/>
      <c r="ER51" s="30"/>
      <c r="ES51" s="30"/>
      <c r="ET51" s="85"/>
      <c r="EU51" s="85"/>
      <c r="EV51" s="85"/>
    </row>
    <row r="52" spans="2:152">
      <c r="B52" s="11">
        <f t="shared" si="1"/>
        <v>0.17</v>
      </c>
      <c r="C52" s="28">
        <v>2.4</v>
      </c>
      <c r="D52" s="16"/>
      <c r="E52" s="8"/>
      <c r="F52" s="27">
        <f t="shared" si="2"/>
        <v>-1.3696682464454981</v>
      </c>
      <c r="G52" s="27">
        <f t="shared" si="3"/>
        <v>-0.49351399076645108</v>
      </c>
      <c r="H52" s="27">
        <f t="shared" si="4"/>
        <v>3.526263702817261E-3</v>
      </c>
      <c r="I52" s="27">
        <f t="shared" si="5"/>
        <v>-138.95379596034317</v>
      </c>
      <c r="J52" s="27">
        <f t="shared" si="6"/>
        <v>-0.26742712294043081</v>
      </c>
      <c r="K52" s="27" t="e">
        <f t="shared" si="7"/>
        <v>#NUM!</v>
      </c>
      <c r="L52" s="27" t="e">
        <f t="shared" si="8"/>
        <v>#NUM!</v>
      </c>
      <c r="M52" s="17" t="e">
        <f t="shared" si="9"/>
        <v>#NUM!</v>
      </c>
      <c r="N52" s="17" t="e">
        <f t="shared" si="10"/>
        <v>#N/A</v>
      </c>
      <c r="O52" s="17" t="e">
        <f t="shared" si="11"/>
        <v>#N/A</v>
      </c>
      <c r="P52" s="17">
        <f t="shared" si="13"/>
        <v>0</v>
      </c>
      <c r="Q52" s="17">
        <f t="shared" si="14"/>
        <v>0</v>
      </c>
      <c r="S52" s="81"/>
      <c r="T52" s="30"/>
      <c r="U52" s="30"/>
      <c r="W52" s="30"/>
      <c r="X52" s="30"/>
      <c r="Y52" s="30"/>
      <c r="Z52" s="30"/>
      <c r="AA52" s="30"/>
      <c r="AB52" s="30"/>
      <c r="AC52" s="30"/>
      <c r="AD52" s="85"/>
      <c r="AE52" s="85"/>
      <c r="AF52" s="85"/>
      <c r="AH52" s="81"/>
      <c r="AI52" s="30"/>
      <c r="AJ52" s="30"/>
      <c r="AL52" s="30"/>
      <c r="AM52" s="30"/>
      <c r="AN52" s="30"/>
      <c r="AO52" s="30"/>
      <c r="AP52" s="30"/>
      <c r="AQ52" s="30"/>
      <c r="AR52" s="30"/>
      <c r="AS52" s="85"/>
      <c r="AT52" s="85"/>
      <c r="AU52" s="85"/>
      <c r="AW52" s="81"/>
      <c r="AX52" s="30"/>
      <c r="AY52" s="30"/>
      <c r="BA52" s="30"/>
      <c r="BB52" s="30"/>
      <c r="BC52" s="30"/>
      <c r="BD52" s="30"/>
      <c r="BE52" s="30"/>
      <c r="BF52" s="30"/>
      <c r="BG52" s="30"/>
      <c r="BH52" s="85"/>
      <c r="BI52" s="85"/>
      <c r="BJ52" s="85"/>
      <c r="BL52" s="81"/>
      <c r="BM52" s="30"/>
      <c r="BN52" s="30"/>
      <c r="BP52" s="30"/>
      <c r="BQ52" s="30"/>
      <c r="BR52" s="30"/>
      <c r="BS52" s="30"/>
      <c r="BT52" s="30"/>
      <c r="BU52" s="30"/>
      <c r="BV52" s="30"/>
      <c r="BW52" s="85"/>
      <c r="BX52" s="85"/>
      <c r="BY52" s="85"/>
      <c r="CA52" s="81"/>
      <c r="CB52" s="30"/>
      <c r="CC52" s="30"/>
      <c r="CE52" s="30"/>
      <c r="CF52" s="30"/>
      <c r="CG52" s="30"/>
      <c r="CH52" s="30"/>
      <c r="CI52" s="30"/>
      <c r="CJ52" s="30"/>
      <c r="CK52" s="30"/>
      <c r="CL52" s="85"/>
      <c r="CM52" s="85"/>
      <c r="CN52" s="85"/>
      <c r="CP52" s="81"/>
      <c r="CQ52" s="30"/>
      <c r="CR52" s="30"/>
      <c r="CT52" s="30"/>
      <c r="CU52" s="30"/>
      <c r="CV52" s="30"/>
      <c r="CW52" s="30"/>
      <c r="CX52" s="30"/>
      <c r="CY52" s="30"/>
      <c r="CZ52" s="30"/>
      <c r="DA52" s="85"/>
      <c r="DB52" s="85"/>
      <c r="DC52" s="85"/>
      <c r="DE52" s="81"/>
      <c r="DF52" s="30"/>
      <c r="DG52" s="30"/>
      <c r="DI52" s="30"/>
      <c r="DJ52" s="30"/>
      <c r="DK52" s="30"/>
      <c r="DL52" s="30"/>
      <c r="DM52" s="30"/>
      <c r="DN52" s="30"/>
      <c r="DO52" s="30"/>
      <c r="DP52" s="85"/>
      <c r="DQ52" s="85"/>
      <c r="DR52" s="85"/>
      <c r="DT52" s="81"/>
      <c r="DU52" s="30"/>
      <c r="DV52" s="30"/>
      <c r="DX52" s="30"/>
      <c r="DY52" s="30"/>
      <c r="DZ52" s="30"/>
      <c r="EA52" s="30"/>
      <c r="EB52" s="30"/>
      <c r="EC52" s="30"/>
      <c r="ED52" s="30"/>
      <c r="EE52" s="85"/>
      <c r="EF52" s="85"/>
      <c r="EG52" s="85"/>
      <c r="EI52" s="81"/>
      <c r="EJ52" s="30"/>
      <c r="EK52" s="30"/>
      <c r="EM52" s="30"/>
      <c r="EN52" s="30"/>
      <c r="EO52" s="30"/>
      <c r="EP52" s="30"/>
      <c r="EQ52" s="30"/>
      <c r="ER52" s="30"/>
      <c r="ES52" s="30"/>
      <c r="ET52" s="85"/>
      <c r="EU52" s="85"/>
      <c r="EV52" s="85"/>
    </row>
    <row r="53" spans="2:152">
      <c r="B53" s="11">
        <f t="shared" si="1"/>
        <v>0.17</v>
      </c>
      <c r="C53" s="28">
        <v>2.46</v>
      </c>
      <c r="D53" s="16"/>
      <c r="E53" s="8"/>
      <c r="F53" s="27">
        <f t="shared" si="2"/>
        <v>-1.4283632831471591</v>
      </c>
      <c r="G53" s="27">
        <f t="shared" si="3"/>
        <v>-0.49670400515543567</v>
      </c>
      <c r="H53" s="27">
        <f t="shared" si="4"/>
        <v>6.7162780918019176E-3</v>
      </c>
      <c r="I53" s="27">
        <f t="shared" si="5"/>
        <v>-72.955246993379689</v>
      </c>
      <c r="J53" s="27">
        <f t="shared" si="6"/>
        <v>-0.25928724342022413</v>
      </c>
      <c r="K53" s="27" t="e">
        <f t="shared" si="7"/>
        <v>#NUM!</v>
      </c>
      <c r="L53" s="27" t="e">
        <f t="shared" si="8"/>
        <v>#NUM!</v>
      </c>
      <c r="M53" s="17" t="e">
        <f t="shared" si="9"/>
        <v>#NUM!</v>
      </c>
      <c r="N53" s="17" t="e">
        <f t="shared" si="10"/>
        <v>#N/A</v>
      </c>
      <c r="O53" s="17" t="e">
        <f t="shared" si="11"/>
        <v>#N/A</v>
      </c>
      <c r="P53" s="17">
        <f t="shared" si="13"/>
        <v>0</v>
      </c>
      <c r="Q53" s="17">
        <f t="shared" si="14"/>
        <v>0</v>
      </c>
      <c r="S53" s="81"/>
      <c r="T53" s="30"/>
      <c r="U53" s="30"/>
      <c r="W53" s="30"/>
      <c r="X53" s="30"/>
      <c r="Y53" s="30"/>
      <c r="Z53" s="30"/>
      <c r="AA53" s="30"/>
      <c r="AB53" s="30"/>
      <c r="AC53" s="30"/>
      <c r="AD53" s="85"/>
      <c r="AE53" s="85"/>
      <c r="AF53" s="85"/>
      <c r="AH53" s="81"/>
      <c r="AI53" s="30"/>
      <c r="AJ53" s="30"/>
      <c r="AL53" s="30"/>
      <c r="AM53" s="30"/>
      <c r="AN53" s="30"/>
      <c r="AO53" s="30"/>
      <c r="AP53" s="30"/>
      <c r="AQ53" s="30"/>
      <c r="AR53" s="30"/>
      <c r="AS53" s="85"/>
      <c r="AT53" s="85"/>
      <c r="AU53" s="85"/>
      <c r="AW53" s="81"/>
      <c r="AX53" s="30"/>
      <c r="AY53" s="30"/>
      <c r="BA53" s="30"/>
      <c r="BB53" s="30"/>
      <c r="BC53" s="30"/>
      <c r="BD53" s="30"/>
      <c r="BE53" s="30"/>
      <c r="BF53" s="30"/>
      <c r="BG53" s="30"/>
      <c r="BH53" s="85"/>
      <c r="BI53" s="85"/>
      <c r="BJ53" s="85"/>
      <c r="BL53" s="81"/>
      <c r="BM53" s="30"/>
      <c r="BN53" s="30"/>
      <c r="BP53" s="30"/>
      <c r="BQ53" s="30"/>
      <c r="BR53" s="30"/>
      <c r="BS53" s="30"/>
      <c r="BT53" s="30"/>
      <c r="BU53" s="30"/>
      <c r="BV53" s="30"/>
      <c r="BW53" s="85"/>
      <c r="BX53" s="85"/>
      <c r="BY53" s="85"/>
      <c r="CA53" s="81"/>
      <c r="CB53" s="30"/>
      <c r="CC53" s="30"/>
      <c r="CE53" s="30"/>
      <c r="CF53" s="30"/>
      <c r="CG53" s="30"/>
      <c r="CH53" s="30"/>
      <c r="CI53" s="30"/>
      <c r="CJ53" s="30"/>
      <c r="CK53" s="30"/>
      <c r="CL53" s="85"/>
      <c r="CM53" s="85"/>
      <c r="CN53" s="85"/>
      <c r="CP53" s="81"/>
      <c r="CQ53" s="30"/>
      <c r="CR53" s="30"/>
      <c r="CT53" s="30"/>
      <c r="CU53" s="30"/>
      <c r="CV53" s="30"/>
      <c r="CW53" s="30"/>
      <c r="CX53" s="30"/>
      <c r="CY53" s="30"/>
      <c r="CZ53" s="30"/>
      <c r="DA53" s="85"/>
      <c r="DB53" s="85"/>
      <c r="DC53" s="85"/>
      <c r="DE53" s="81"/>
      <c r="DF53" s="30"/>
      <c r="DG53" s="30"/>
      <c r="DI53" s="30"/>
      <c r="DJ53" s="30"/>
      <c r="DK53" s="30"/>
      <c r="DL53" s="30"/>
      <c r="DM53" s="30"/>
      <c r="DN53" s="30"/>
      <c r="DO53" s="30"/>
      <c r="DP53" s="85"/>
      <c r="DQ53" s="85"/>
      <c r="DR53" s="85"/>
      <c r="DT53" s="81"/>
      <c r="DU53" s="30"/>
      <c r="DV53" s="30"/>
      <c r="DX53" s="30"/>
      <c r="DY53" s="30"/>
      <c r="DZ53" s="30"/>
      <c r="EA53" s="30"/>
      <c r="EB53" s="30"/>
      <c r="EC53" s="30"/>
      <c r="ED53" s="30"/>
      <c r="EE53" s="85"/>
      <c r="EF53" s="85"/>
      <c r="EG53" s="85"/>
      <c r="EI53" s="81"/>
      <c r="EJ53" s="30"/>
      <c r="EK53" s="30"/>
      <c r="EM53" s="30"/>
      <c r="EN53" s="30"/>
      <c r="EO53" s="30"/>
      <c r="EP53" s="30"/>
      <c r="EQ53" s="30"/>
      <c r="ER53" s="30"/>
      <c r="ES53" s="30"/>
      <c r="ET53" s="85"/>
      <c r="EU53" s="85"/>
      <c r="EV53" s="85"/>
    </row>
    <row r="54" spans="2:152">
      <c r="B54" s="11">
        <f t="shared" si="1"/>
        <v>0.17</v>
      </c>
      <c r="C54" s="28">
        <v>2.52</v>
      </c>
      <c r="D54" s="16"/>
      <c r="E54" s="8"/>
      <c r="F54" s="27">
        <f t="shared" si="2"/>
        <v>-1.4900398406374504</v>
      </c>
      <c r="G54" s="27">
        <f t="shared" si="3"/>
        <v>-0.49989401954442025</v>
      </c>
      <c r="H54" s="27">
        <f t="shared" si="4"/>
        <v>9.9062924807865934E-3</v>
      </c>
      <c r="I54" s="27">
        <f t="shared" si="5"/>
        <v>-49.462271380940187</v>
      </c>
      <c r="J54" s="27">
        <f t="shared" si="6"/>
        <v>-0.25125125125125125</v>
      </c>
      <c r="K54" s="27" t="e">
        <f t="shared" si="7"/>
        <v>#NUM!</v>
      </c>
      <c r="L54" s="27" t="e">
        <f t="shared" si="8"/>
        <v>#NUM!</v>
      </c>
      <c r="M54" s="17" t="e">
        <f t="shared" si="9"/>
        <v>#NUM!</v>
      </c>
      <c r="N54" s="17" t="e">
        <f t="shared" si="10"/>
        <v>#N/A</v>
      </c>
      <c r="O54" s="17" t="e">
        <f t="shared" si="11"/>
        <v>#N/A</v>
      </c>
      <c r="P54" s="17">
        <f t="shared" si="13"/>
        <v>0</v>
      </c>
      <c r="Q54" s="17">
        <f t="shared" si="14"/>
        <v>0</v>
      </c>
      <c r="S54" s="81"/>
      <c r="T54" s="30"/>
      <c r="U54" s="30"/>
      <c r="W54" s="30"/>
      <c r="X54" s="30"/>
      <c r="Y54" s="30"/>
      <c r="Z54" s="30"/>
      <c r="AA54" s="30"/>
      <c r="AB54" s="30"/>
      <c r="AC54" s="30"/>
      <c r="AD54" s="85"/>
      <c r="AE54" s="85"/>
      <c r="AF54" s="85"/>
      <c r="AH54" s="81"/>
      <c r="AI54" s="30"/>
      <c r="AJ54" s="30"/>
      <c r="AL54" s="30"/>
      <c r="AM54" s="30"/>
      <c r="AN54" s="30"/>
      <c r="AO54" s="30"/>
      <c r="AP54" s="30"/>
      <c r="AQ54" s="30"/>
      <c r="AR54" s="30"/>
      <c r="AS54" s="85"/>
      <c r="AT54" s="85"/>
      <c r="AU54" s="85"/>
      <c r="AW54" s="81"/>
      <c r="AX54" s="30"/>
      <c r="AY54" s="30"/>
      <c r="BA54" s="30"/>
      <c r="BB54" s="30"/>
      <c r="BC54" s="30"/>
      <c r="BD54" s="30"/>
      <c r="BE54" s="30"/>
      <c r="BF54" s="30"/>
      <c r="BG54" s="30"/>
      <c r="BH54" s="85"/>
      <c r="BI54" s="85"/>
      <c r="BJ54" s="85"/>
      <c r="BL54" s="81"/>
      <c r="BM54" s="30"/>
      <c r="BN54" s="30"/>
      <c r="BP54" s="30"/>
      <c r="BQ54" s="30"/>
      <c r="BR54" s="30"/>
      <c r="BS54" s="30"/>
      <c r="BT54" s="30"/>
      <c r="BU54" s="30"/>
      <c r="BV54" s="30"/>
      <c r="BW54" s="85"/>
      <c r="BX54" s="85"/>
      <c r="BY54" s="85"/>
      <c r="CA54" s="81"/>
      <c r="CB54" s="30"/>
      <c r="CC54" s="30"/>
      <c r="CE54" s="30"/>
      <c r="CF54" s="30"/>
      <c r="CG54" s="30"/>
      <c r="CH54" s="30"/>
      <c r="CI54" s="30"/>
      <c r="CJ54" s="30"/>
      <c r="CK54" s="30"/>
      <c r="CL54" s="85"/>
      <c r="CM54" s="85"/>
      <c r="CN54" s="85"/>
      <c r="CP54" s="81"/>
      <c r="CQ54" s="30"/>
      <c r="CR54" s="30"/>
      <c r="CT54" s="30"/>
      <c r="CU54" s="30"/>
      <c r="CV54" s="30"/>
      <c r="CW54" s="30"/>
      <c r="CX54" s="30"/>
      <c r="CY54" s="30"/>
      <c r="CZ54" s="30"/>
      <c r="DA54" s="85"/>
      <c r="DB54" s="85"/>
      <c r="DC54" s="85"/>
      <c r="DE54" s="81"/>
      <c r="DF54" s="30"/>
      <c r="DG54" s="30"/>
      <c r="DI54" s="30"/>
      <c r="DJ54" s="30"/>
      <c r="DK54" s="30"/>
      <c r="DL54" s="30"/>
      <c r="DM54" s="30"/>
      <c r="DN54" s="30"/>
      <c r="DO54" s="30"/>
      <c r="DP54" s="85"/>
      <c r="DQ54" s="85"/>
      <c r="DR54" s="85"/>
      <c r="DT54" s="81"/>
      <c r="DU54" s="30"/>
      <c r="DV54" s="30"/>
      <c r="DX54" s="30"/>
      <c r="DY54" s="30"/>
      <c r="DZ54" s="30"/>
      <c r="EA54" s="30"/>
      <c r="EB54" s="30"/>
      <c r="EC54" s="30"/>
      <c r="ED54" s="30"/>
      <c r="EE54" s="85"/>
      <c r="EF54" s="85"/>
      <c r="EG54" s="85"/>
      <c r="EI54" s="81"/>
      <c r="EJ54" s="30"/>
      <c r="EK54" s="30"/>
      <c r="EM54" s="30"/>
      <c r="EN54" s="30"/>
      <c r="EO54" s="30"/>
      <c r="EP54" s="30"/>
      <c r="EQ54" s="30"/>
      <c r="ER54" s="30"/>
      <c r="ES54" s="30"/>
      <c r="ET54" s="85"/>
      <c r="EU54" s="85"/>
      <c r="EV54" s="85"/>
    </row>
    <row r="55" spans="2:152">
      <c r="B55" s="11">
        <f t="shared" si="1"/>
        <v>0.17</v>
      </c>
      <c r="C55" s="28">
        <v>2.58</v>
      </c>
      <c r="D55" s="16"/>
      <c r="E55" s="8"/>
      <c r="F55" s="27">
        <f t="shared" si="2"/>
        <v>-1.554931016862545</v>
      </c>
      <c r="G55" s="27">
        <f t="shared" si="3"/>
        <v>-0.50308403393340495</v>
      </c>
      <c r="H55" s="27">
        <f t="shared" si="4"/>
        <v>1.309630686977125E-2</v>
      </c>
      <c r="I55" s="27">
        <f t="shared" si="5"/>
        <v>-37.414191033856874</v>
      </c>
      <c r="J55" s="27">
        <f t="shared" si="6"/>
        <v>-0.24331717021012059</v>
      </c>
      <c r="K55" s="27" t="e">
        <f t="shared" si="7"/>
        <v>#NUM!</v>
      </c>
      <c r="L55" s="27" t="e">
        <f t="shared" si="8"/>
        <v>#NUM!</v>
      </c>
      <c r="M55" s="17" t="e">
        <f t="shared" si="9"/>
        <v>#NUM!</v>
      </c>
      <c r="N55" s="17" t="e">
        <f t="shared" si="10"/>
        <v>#N/A</v>
      </c>
      <c r="O55" s="17" t="e">
        <f t="shared" si="11"/>
        <v>#N/A</v>
      </c>
      <c r="P55" s="17">
        <f t="shared" si="13"/>
        <v>0</v>
      </c>
      <c r="Q55" s="17">
        <f t="shared" si="14"/>
        <v>0</v>
      </c>
      <c r="S55" s="81"/>
      <c r="T55" s="30"/>
      <c r="U55" s="30"/>
      <c r="W55" s="30"/>
      <c r="X55" s="30"/>
      <c r="Y55" s="30"/>
      <c r="Z55" s="30"/>
      <c r="AA55" s="30"/>
      <c r="AB55" s="30"/>
      <c r="AC55" s="30"/>
      <c r="AD55" s="85"/>
      <c r="AE55" s="85"/>
      <c r="AF55" s="85"/>
      <c r="AH55" s="81"/>
      <c r="AI55" s="30"/>
      <c r="AJ55" s="30"/>
      <c r="AL55" s="30"/>
      <c r="AM55" s="30"/>
      <c r="AN55" s="30"/>
      <c r="AO55" s="30"/>
      <c r="AP55" s="30"/>
      <c r="AQ55" s="30"/>
      <c r="AR55" s="30"/>
      <c r="AS55" s="85"/>
      <c r="AT55" s="85"/>
      <c r="AU55" s="85"/>
      <c r="AW55" s="81"/>
      <c r="AX55" s="30"/>
      <c r="AY55" s="30"/>
      <c r="BA55" s="30"/>
      <c r="BB55" s="30"/>
      <c r="BC55" s="30"/>
      <c r="BD55" s="30"/>
      <c r="BE55" s="30"/>
      <c r="BF55" s="30"/>
      <c r="BG55" s="30"/>
      <c r="BH55" s="85"/>
      <c r="BI55" s="85"/>
      <c r="BJ55" s="85"/>
      <c r="BL55" s="81"/>
      <c r="BM55" s="30"/>
      <c r="BN55" s="30"/>
      <c r="BP55" s="30"/>
      <c r="BQ55" s="30"/>
      <c r="BR55" s="30"/>
      <c r="BS55" s="30"/>
      <c r="BT55" s="30"/>
      <c r="BU55" s="30"/>
      <c r="BV55" s="30"/>
      <c r="BW55" s="85"/>
      <c r="BX55" s="85"/>
      <c r="BY55" s="85"/>
      <c r="CA55" s="81"/>
      <c r="CB55" s="30"/>
      <c r="CC55" s="30"/>
      <c r="CE55" s="30"/>
      <c r="CF55" s="30"/>
      <c r="CG55" s="30"/>
      <c r="CH55" s="30"/>
      <c r="CI55" s="30"/>
      <c r="CJ55" s="30"/>
      <c r="CK55" s="30"/>
      <c r="CL55" s="85"/>
      <c r="CM55" s="85"/>
      <c r="CN55" s="85"/>
      <c r="CP55" s="81"/>
      <c r="CQ55" s="30"/>
      <c r="CR55" s="30"/>
      <c r="CT55" s="30"/>
      <c r="CU55" s="30"/>
      <c r="CV55" s="30"/>
      <c r="CW55" s="30"/>
      <c r="CX55" s="30"/>
      <c r="CY55" s="30"/>
      <c r="CZ55" s="30"/>
      <c r="DA55" s="85"/>
      <c r="DB55" s="85"/>
      <c r="DC55" s="85"/>
      <c r="DE55" s="81"/>
      <c r="DF55" s="30"/>
      <c r="DG55" s="30"/>
      <c r="DI55" s="30"/>
      <c r="DJ55" s="30"/>
      <c r="DK55" s="30"/>
      <c r="DL55" s="30"/>
      <c r="DM55" s="30"/>
      <c r="DN55" s="30"/>
      <c r="DO55" s="30"/>
      <c r="DP55" s="85"/>
      <c r="DQ55" s="85"/>
      <c r="DR55" s="85"/>
      <c r="DT55" s="81"/>
      <c r="DU55" s="30"/>
      <c r="DV55" s="30"/>
      <c r="DX55" s="30"/>
      <c r="DY55" s="30"/>
      <c r="DZ55" s="30"/>
      <c r="EA55" s="30"/>
      <c r="EB55" s="30"/>
      <c r="EC55" s="30"/>
      <c r="ED55" s="30"/>
      <c r="EE55" s="85"/>
      <c r="EF55" s="85"/>
      <c r="EG55" s="85"/>
      <c r="EI55" s="81"/>
      <c r="EJ55" s="30"/>
      <c r="EK55" s="30"/>
      <c r="EM55" s="30"/>
      <c r="EN55" s="30"/>
      <c r="EO55" s="30"/>
      <c r="EP55" s="30"/>
      <c r="EQ55" s="30"/>
      <c r="ER55" s="30"/>
      <c r="ES55" s="30"/>
      <c r="ET55" s="85"/>
      <c r="EU55" s="85"/>
      <c r="EV55" s="85"/>
    </row>
    <row r="56" spans="2:152">
      <c r="B56" s="11">
        <f t="shared" si="1"/>
        <v>0.17</v>
      </c>
      <c r="C56" s="28">
        <v>2.64</v>
      </c>
      <c r="D56" s="16"/>
      <c r="E56" s="8"/>
      <c r="F56" s="27">
        <f t="shared" si="2"/>
        <v>-1.6232948583420779</v>
      </c>
      <c r="G56" s="27">
        <f t="shared" si="3"/>
        <v>-0.50627404832238976</v>
      </c>
      <c r="H56" s="27">
        <f t="shared" si="4"/>
        <v>1.6286321258755926E-2</v>
      </c>
      <c r="I56" s="27">
        <f t="shared" si="5"/>
        <v>-30.085844389211246</v>
      </c>
      <c r="J56" s="27">
        <f t="shared" si="6"/>
        <v>-0.23548307388188777</v>
      </c>
      <c r="K56" s="27" t="e">
        <f t="shared" si="7"/>
        <v>#NUM!</v>
      </c>
      <c r="L56" s="27" t="e">
        <f t="shared" si="8"/>
        <v>#NUM!</v>
      </c>
      <c r="M56" s="17" t="e">
        <f t="shared" si="9"/>
        <v>#NUM!</v>
      </c>
      <c r="N56" s="17" t="e">
        <f t="shared" si="10"/>
        <v>#N/A</v>
      </c>
      <c r="O56" s="17" t="e">
        <f t="shared" si="11"/>
        <v>#N/A</v>
      </c>
      <c r="P56" s="17">
        <f t="shared" si="13"/>
        <v>0</v>
      </c>
      <c r="Q56" s="17">
        <f t="shared" si="14"/>
        <v>0</v>
      </c>
      <c r="S56" s="81"/>
      <c r="T56" s="30"/>
      <c r="U56" s="30"/>
      <c r="W56" s="30"/>
      <c r="X56" s="30"/>
      <c r="Y56" s="30"/>
      <c r="Z56" s="30"/>
      <c r="AA56" s="30"/>
      <c r="AB56" s="30"/>
      <c r="AC56" s="30"/>
      <c r="AD56" s="85"/>
      <c r="AE56" s="85"/>
      <c r="AF56" s="85"/>
      <c r="AH56" s="81"/>
      <c r="AI56" s="30"/>
      <c r="AJ56" s="30"/>
      <c r="AL56" s="30"/>
      <c r="AM56" s="30"/>
      <c r="AN56" s="30"/>
      <c r="AO56" s="30"/>
      <c r="AP56" s="30"/>
      <c r="AQ56" s="30"/>
      <c r="AR56" s="30"/>
      <c r="AS56" s="85"/>
      <c r="AT56" s="85"/>
      <c r="AU56" s="85"/>
      <c r="AW56" s="81"/>
      <c r="AX56" s="30"/>
      <c r="AY56" s="30"/>
      <c r="BA56" s="30"/>
      <c r="BB56" s="30"/>
      <c r="BC56" s="30"/>
      <c r="BD56" s="30"/>
      <c r="BE56" s="30"/>
      <c r="BF56" s="30"/>
      <c r="BG56" s="30"/>
      <c r="BH56" s="85"/>
      <c r="BI56" s="85"/>
      <c r="BJ56" s="85"/>
      <c r="BL56" s="81"/>
      <c r="BM56" s="30"/>
      <c r="BN56" s="30"/>
      <c r="BP56" s="30"/>
      <c r="BQ56" s="30"/>
      <c r="BR56" s="30"/>
      <c r="BS56" s="30"/>
      <c r="BT56" s="30"/>
      <c r="BU56" s="30"/>
      <c r="BV56" s="30"/>
      <c r="BW56" s="85"/>
      <c r="BX56" s="85"/>
      <c r="BY56" s="85"/>
      <c r="CA56" s="81"/>
      <c r="CB56" s="30"/>
      <c r="CC56" s="30"/>
      <c r="CE56" s="30"/>
      <c r="CF56" s="30"/>
      <c r="CG56" s="30"/>
      <c r="CH56" s="30"/>
      <c r="CI56" s="30"/>
      <c r="CJ56" s="30"/>
      <c r="CK56" s="30"/>
      <c r="CL56" s="85"/>
      <c r="CM56" s="85"/>
      <c r="CN56" s="85"/>
      <c r="CP56" s="81"/>
      <c r="CQ56" s="30"/>
      <c r="CR56" s="30"/>
      <c r="CT56" s="30"/>
      <c r="CU56" s="30"/>
      <c r="CV56" s="30"/>
      <c r="CW56" s="30"/>
      <c r="CX56" s="30"/>
      <c r="CY56" s="30"/>
      <c r="CZ56" s="30"/>
      <c r="DA56" s="85"/>
      <c r="DB56" s="85"/>
      <c r="DC56" s="85"/>
      <c r="DE56" s="81"/>
      <c r="DF56" s="30"/>
      <c r="DG56" s="30"/>
      <c r="DI56" s="30"/>
      <c r="DJ56" s="30"/>
      <c r="DK56" s="30"/>
      <c r="DL56" s="30"/>
      <c r="DM56" s="30"/>
      <c r="DN56" s="30"/>
      <c r="DO56" s="30"/>
      <c r="DP56" s="85"/>
      <c r="DQ56" s="85"/>
      <c r="DR56" s="85"/>
      <c r="DT56" s="81"/>
      <c r="DU56" s="30"/>
      <c r="DV56" s="30"/>
      <c r="DX56" s="30"/>
      <c r="DY56" s="30"/>
      <c r="DZ56" s="30"/>
      <c r="EA56" s="30"/>
      <c r="EB56" s="30"/>
      <c r="EC56" s="30"/>
      <c r="ED56" s="30"/>
      <c r="EE56" s="85"/>
      <c r="EF56" s="85"/>
      <c r="EG56" s="85"/>
      <c r="EI56" s="81"/>
      <c r="EJ56" s="30"/>
      <c r="EK56" s="30"/>
      <c r="EM56" s="30"/>
      <c r="EN56" s="30"/>
      <c r="EO56" s="30"/>
      <c r="EP56" s="30"/>
      <c r="EQ56" s="30"/>
      <c r="ER56" s="30"/>
      <c r="ES56" s="30"/>
      <c r="ET56" s="85"/>
      <c r="EU56" s="85"/>
      <c r="EV56" s="85"/>
    </row>
    <row r="57" spans="2:152">
      <c r="B57" s="11">
        <f t="shared" si="1"/>
        <v>0.17</v>
      </c>
      <c r="C57" s="28">
        <v>2.7</v>
      </c>
      <c r="D57" s="16"/>
      <c r="E57" s="8"/>
      <c r="F57" s="27">
        <f t="shared" si="2"/>
        <v>-1.6954177897574132</v>
      </c>
      <c r="G57" s="27">
        <f t="shared" si="3"/>
        <v>-0.50946406271137434</v>
      </c>
      <c r="H57" s="27">
        <f t="shared" si="4"/>
        <v>1.9476335647740584E-2</v>
      </c>
      <c r="I57" s="27">
        <f t="shared" si="5"/>
        <v>-25.158106531218895</v>
      </c>
      <c r="J57" s="27">
        <f t="shared" si="6"/>
        <v>-0.22774708410067518</v>
      </c>
      <c r="K57" s="27" t="e">
        <f t="shared" si="7"/>
        <v>#NUM!</v>
      </c>
      <c r="L57" s="27" t="e">
        <f t="shared" si="8"/>
        <v>#NUM!</v>
      </c>
      <c r="M57" s="17" t="e">
        <f t="shared" si="9"/>
        <v>#NUM!</v>
      </c>
      <c r="N57" s="17" t="e">
        <f t="shared" si="10"/>
        <v>#N/A</v>
      </c>
      <c r="O57" s="17" t="e">
        <f t="shared" si="11"/>
        <v>#N/A</v>
      </c>
      <c r="P57" s="17">
        <f t="shared" si="13"/>
        <v>0</v>
      </c>
      <c r="Q57" s="17">
        <f t="shared" si="14"/>
        <v>0</v>
      </c>
      <c r="S57" s="81"/>
      <c r="T57" s="30"/>
      <c r="U57" s="30"/>
      <c r="W57" s="30"/>
      <c r="X57" s="30"/>
      <c r="Y57" s="30"/>
      <c r="Z57" s="30"/>
      <c r="AA57" s="30"/>
      <c r="AB57" s="30"/>
      <c r="AC57" s="30"/>
      <c r="AD57" s="85"/>
      <c r="AE57" s="85"/>
      <c r="AF57" s="85"/>
      <c r="AH57" s="81"/>
      <c r="AI57" s="30"/>
      <c r="AJ57" s="30"/>
      <c r="AL57" s="30"/>
      <c r="AM57" s="30"/>
      <c r="AN57" s="30"/>
      <c r="AO57" s="30"/>
      <c r="AP57" s="30"/>
      <c r="AQ57" s="30"/>
      <c r="AR57" s="30"/>
      <c r="AS57" s="85"/>
      <c r="AT57" s="85"/>
      <c r="AU57" s="85"/>
      <c r="AW57" s="81"/>
      <c r="AX57" s="30"/>
      <c r="AY57" s="30"/>
      <c r="BA57" s="30"/>
      <c r="BB57" s="30"/>
      <c r="BC57" s="30"/>
      <c r="BD57" s="30"/>
      <c r="BE57" s="30"/>
      <c r="BF57" s="30"/>
      <c r="BG57" s="30"/>
      <c r="BH57" s="85"/>
      <c r="BI57" s="85"/>
      <c r="BJ57" s="85"/>
      <c r="BL57" s="81"/>
      <c r="BM57" s="30"/>
      <c r="BN57" s="30"/>
      <c r="BP57" s="30"/>
      <c r="BQ57" s="30"/>
      <c r="BR57" s="30"/>
      <c r="BS57" s="30"/>
      <c r="BT57" s="30"/>
      <c r="BU57" s="30"/>
      <c r="BV57" s="30"/>
      <c r="BW57" s="85"/>
      <c r="BX57" s="85"/>
      <c r="BY57" s="85"/>
      <c r="CA57" s="81"/>
      <c r="CB57" s="30"/>
      <c r="CC57" s="30"/>
      <c r="CE57" s="30"/>
      <c r="CF57" s="30"/>
      <c r="CG57" s="30"/>
      <c r="CH57" s="30"/>
      <c r="CI57" s="30"/>
      <c r="CJ57" s="30"/>
      <c r="CK57" s="30"/>
      <c r="CL57" s="85"/>
      <c r="CM57" s="85"/>
      <c r="CN57" s="85"/>
      <c r="CP57" s="81"/>
      <c r="CQ57" s="30"/>
      <c r="CR57" s="30"/>
      <c r="CT57" s="30"/>
      <c r="CU57" s="30"/>
      <c r="CV57" s="30"/>
      <c r="CW57" s="30"/>
      <c r="CX57" s="30"/>
      <c r="CY57" s="30"/>
      <c r="CZ57" s="30"/>
      <c r="DA57" s="85"/>
      <c r="DB57" s="85"/>
      <c r="DC57" s="85"/>
      <c r="DE57" s="81"/>
      <c r="DF57" s="30"/>
      <c r="DG57" s="30"/>
      <c r="DI57" s="30"/>
      <c r="DJ57" s="30"/>
      <c r="DK57" s="30"/>
      <c r="DL57" s="30"/>
      <c r="DM57" s="30"/>
      <c r="DN57" s="30"/>
      <c r="DO57" s="30"/>
      <c r="DP57" s="85"/>
      <c r="DQ57" s="85"/>
      <c r="DR57" s="85"/>
      <c r="DT57" s="81"/>
      <c r="DU57" s="30"/>
      <c r="DV57" s="30"/>
      <c r="DX57" s="30"/>
      <c r="DY57" s="30"/>
      <c r="DZ57" s="30"/>
      <c r="EA57" s="30"/>
      <c r="EB57" s="30"/>
      <c r="EC57" s="30"/>
      <c r="ED57" s="30"/>
      <c r="EE57" s="85"/>
      <c r="EF57" s="85"/>
      <c r="EG57" s="85"/>
      <c r="EI57" s="81"/>
      <c r="EJ57" s="30"/>
      <c r="EK57" s="30"/>
      <c r="EM57" s="30"/>
      <c r="EN57" s="30"/>
      <c r="EO57" s="30"/>
      <c r="EP57" s="30"/>
      <c r="EQ57" s="30"/>
      <c r="ER57" s="30"/>
      <c r="ES57" s="30"/>
      <c r="ET57" s="85"/>
      <c r="EU57" s="85"/>
      <c r="EV57" s="85"/>
    </row>
    <row r="58" spans="2:152">
      <c r="B58" s="11">
        <f t="shared" si="1"/>
        <v>0.17</v>
      </c>
      <c r="C58" s="28">
        <v>2.76</v>
      </c>
      <c r="D58" s="16"/>
      <c r="E58" s="8"/>
      <c r="F58" s="27">
        <f t="shared" si="2"/>
        <v>-1.7716186252771617</v>
      </c>
      <c r="G58" s="27">
        <f t="shared" si="3"/>
        <v>-0.51265407710035893</v>
      </c>
      <c r="H58" s="27">
        <f t="shared" si="4"/>
        <v>2.2666350036725239E-2</v>
      </c>
      <c r="I58" s="27">
        <f t="shared" si="5"/>
        <v>-21.617407578623343</v>
      </c>
      <c r="J58" s="27">
        <f t="shared" si="6"/>
        <v>-0.2201073694485115</v>
      </c>
      <c r="K58" s="27" t="e">
        <f t="shared" si="7"/>
        <v>#NUM!</v>
      </c>
      <c r="L58" s="27" t="e">
        <f t="shared" si="8"/>
        <v>#NUM!</v>
      </c>
      <c r="M58" s="17" t="e">
        <f t="shared" si="9"/>
        <v>#NUM!</v>
      </c>
      <c r="N58" s="17" t="e">
        <f t="shared" si="10"/>
        <v>#N/A</v>
      </c>
      <c r="O58" s="17" t="e">
        <f t="shared" si="11"/>
        <v>#N/A</v>
      </c>
      <c r="P58" s="17">
        <f t="shared" si="13"/>
        <v>0</v>
      </c>
      <c r="Q58" s="17">
        <f t="shared" si="14"/>
        <v>0</v>
      </c>
      <c r="S58" s="81"/>
      <c r="T58" s="30"/>
      <c r="U58" s="30"/>
      <c r="W58" s="30"/>
      <c r="X58" s="30"/>
      <c r="Y58" s="30"/>
      <c r="Z58" s="30"/>
      <c r="AA58" s="30"/>
      <c r="AB58" s="30"/>
      <c r="AC58" s="30"/>
      <c r="AD58" s="85"/>
      <c r="AE58" s="85"/>
      <c r="AF58" s="85"/>
      <c r="AH58" s="81"/>
      <c r="AI58" s="30"/>
      <c r="AJ58" s="30"/>
      <c r="AL58" s="30"/>
      <c r="AM58" s="30"/>
      <c r="AN58" s="30"/>
      <c r="AO58" s="30"/>
      <c r="AP58" s="30"/>
      <c r="AQ58" s="30"/>
      <c r="AR58" s="30"/>
      <c r="AS58" s="85"/>
      <c r="AT58" s="85"/>
      <c r="AU58" s="85"/>
      <c r="AW58" s="81"/>
      <c r="AX58" s="30"/>
      <c r="AY58" s="30"/>
      <c r="BA58" s="30"/>
      <c r="BB58" s="30"/>
      <c r="BC58" s="30"/>
      <c r="BD58" s="30"/>
      <c r="BE58" s="30"/>
      <c r="BF58" s="30"/>
      <c r="BG58" s="30"/>
      <c r="BH58" s="85"/>
      <c r="BI58" s="85"/>
      <c r="BJ58" s="85"/>
      <c r="BL58" s="81"/>
      <c r="BM58" s="30"/>
      <c r="BN58" s="30"/>
      <c r="BP58" s="30"/>
      <c r="BQ58" s="30"/>
      <c r="BR58" s="30"/>
      <c r="BS58" s="30"/>
      <c r="BT58" s="30"/>
      <c r="BU58" s="30"/>
      <c r="BV58" s="30"/>
      <c r="BW58" s="85"/>
      <c r="BX58" s="85"/>
      <c r="BY58" s="85"/>
      <c r="CA58" s="81"/>
      <c r="CB58" s="30"/>
      <c r="CC58" s="30"/>
      <c r="CE58" s="30"/>
      <c r="CF58" s="30"/>
      <c r="CG58" s="30"/>
      <c r="CH58" s="30"/>
      <c r="CI58" s="30"/>
      <c r="CJ58" s="30"/>
      <c r="CK58" s="30"/>
      <c r="CL58" s="85"/>
      <c r="CM58" s="85"/>
      <c r="CN58" s="85"/>
      <c r="CP58" s="81"/>
      <c r="CQ58" s="30"/>
      <c r="CR58" s="30"/>
      <c r="CT58" s="30"/>
      <c r="CU58" s="30"/>
      <c r="CV58" s="30"/>
      <c r="CW58" s="30"/>
      <c r="CX58" s="30"/>
      <c r="CY58" s="30"/>
      <c r="CZ58" s="30"/>
      <c r="DA58" s="85"/>
      <c r="DB58" s="85"/>
      <c r="DC58" s="85"/>
      <c r="DE58" s="81"/>
      <c r="DF58" s="30"/>
      <c r="DG58" s="30"/>
      <c r="DI58" s="30"/>
      <c r="DJ58" s="30"/>
      <c r="DK58" s="30"/>
      <c r="DL58" s="30"/>
      <c r="DM58" s="30"/>
      <c r="DN58" s="30"/>
      <c r="DO58" s="30"/>
      <c r="DP58" s="85"/>
      <c r="DQ58" s="85"/>
      <c r="DR58" s="85"/>
      <c r="DT58" s="81"/>
      <c r="DU58" s="30"/>
      <c r="DV58" s="30"/>
      <c r="DX58" s="30"/>
      <c r="DY58" s="30"/>
      <c r="DZ58" s="30"/>
      <c r="EA58" s="30"/>
      <c r="EB58" s="30"/>
      <c r="EC58" s="30"/>
      <c r="ED58" s="30"/>
      <c r="EE58" s="85"/>
      <c r="EF58" s="85"/>
      <c r="EG58" s="85"/>
      <c r="EI58" s="81"/>
      <c r="EJ58" s="30"/>
      <c r="EK58" s="30"/>
      <c r="EM58" s="30"/>
      <c r="EN58" s="30"/>
      <c r="EO58" s="30"/>
      <c r="EP58" s="30"/>
      <c r="EQ58" s="30"/>
      <c r="ER58" s="30"/>
      <c r="ES58" s="30"/>
      <c r="ET58" s="85"/>
      <c r="EU58" s="85"/>
      <c r="EV58" s="85"/>
    </row>
    <row r="59" spans="2:152">
      <c r="B59" s="11">
        <f t="shared" si="1"/>
        <v>0.17</v>
      </c>
      <c r="C59" s="28">
        <v>2.82</v>
      </c>
      <c r="D59" s="16"/>
      <c r="E59" s="8"/>
      <c r="F59" s="27">
        <f t="shared" si="2"/>
        <v>-1.8522532800912719</v>
      </c>
      <c r="G59" s="27">
        <f t="shared" si="3"/>
        <v>-0.51584409148934363</v>
      </c>
      <c r="H59" s="27">
        <f t="shared" si="4"/>
        <v>2.5856364425709898E-2</v>
      </c>
      <c r="I59" s="27">
        <f t="shared" si="5"/>
        <v>-18.950372101671867</v>
      </c>
      <c r="J59" s="27">
        <f t="shared" si="6"/>
        <v>-0.21256214380987026</v>
      </c>
      <c r="K59" s="27" t="e">
        <f t="shared" si="7"/>
        <v>#NUM!</v>
      </c>
      <c r="L59" s="27" t="e">
        <f t="shared" si="8"/>
        <v>#NUM!</v>
      </c>
      <c r="M59" s="17" t="e">
        <f t="shared" si="9"/>
        <v>#NUM!</v>
      </c>
      <c r="N59" s="17" t="e">
        <f t="shared" si="10"/>
        <v>#N/A</v>
      </c>
      <c r="O59" s="17" t="e">
        <f t="shared" si="11"/>
        <v>#N/A</v>
      </c>
      <c r="P59" s="17">
        <f t="shared" si="13"/>
        <v>0</v>
      </c>
      <c r="Q59" s="17">
        <f t="shared" si="14"/>
        <v>0</v>
      </c>
      <c r="S59" s="81"/>
      <c r="T59" s="30"/>
      <c r="U59" s="30"/>
      <c r="W59" s="30"/>
      <c r="X59" s="30"/>
      <c r="Y59" s="30"/>
      <c r="Z59" s="30"/>
      <c r="AA59" s="30"/>
      <c r="AB59" s="30"/>
      <c r="AC59" s="30"/>
      <c r="AD59" s="85"/>
      <c r="AE59" s="85"/>
      <c r="AF59" s="85"/>
      <c r="AH59" s="81"/>
      <c r="AI59" s="30"/>
      <c r="AJ59" s="30"/>
      <c r="AL59" s="30"/>
      <c r="AM59" s="30"/>
      <c r="AN59" s="30"/>
      <c r="AO59" s="30"/>
      <c r="AP59" s="30"/>
      <c r="AQ59" s="30"/>
      <c r="AR59" s="30"/>
      <c r="AS59" s="85"/>
      <c r="AT59" s="85"/>
      <c r="AU59" s="85"/>
      <c r="AW59" s="81"/>
      <c r="AX59" s="30"/>
      <c r="AY59" s="30"/>
      <c r="BA59" s="30"/>
      <c r="BB59" s="30"/>
      <c r="BC59" s="30"/>
      <c r="BD59" s="30"/>
      <c r="BE59" s="30"/>
      <c r="BF59" s="30"/>
      <c r="BG59" s="30"/>
      <c r="BH59" s="85"/>
      <c r="BI59" s="85"/>
      <c r="BJ59" s="85"/>
      <c r="BL59" s="81"/>
      <c r="BM59" s="30"/>
      <c r="BN59" s="30"/>
      <c r="BP59" s="30"/>
      <c r="BQ59" s="30"/>
      <c r="BR59" s="30"/>
      <c r="BS59" s="30"/>
      <c r="BT59" s="30"/>
      <c r="BU59" s="30"/>
      <c r="BV59" s="30"/>
      <c r="BW59" s="85"/>
      <c r="BX59" s="85"/>
      <c r="BY59" s="85"/>
      <c r="CA59" s="81"/>
      <c r="CB59" s="30"/>
      <c r="CC59" s="30"/>
      <c r="CE59" s="30"/>
      <c r="CF59" s="30"/>
      <c r="CG59" s="30"/>
      <c r="CH59" s="30"/>
      <c r="CI59" s="30"/>
      <c r="CJ59" s="30"/>
      <c r="CK59" s="30"/>
      <c r="CL59" s="85"/>
      <c r="CM59" s="85"/>
      <c r="CN59" s="85"/>
      <c r="CP59" s="81"/>
      <c r="CQ59" s="30"/>
      <c r="CR59" s="30"/>
      <c r="CT59" s="30"/>
      <c r="CU59" s="30"/>
      <c r="CV59" s="30"/>
      <c r="CW59" s="30"/>
      <c r="CX59" s="30"/>
      <c r="CY59" s="30"/>
      <c r="CZ59" s="30"/>
      <c r="DA59" s="85"/>
      <c r="DB59" s="85"/>
      <c r="DC59" s="85"/>
      <c r="DE59" s="81"/>
      <c r="DF59" s="30"/>
      <c r="DG59" s="30"/>
      <c r="DI59" s="30"/>
      <c r="DJ59" s="30"/>
      <c r="DK59" s="30"/>
      <c r="DL59" s="30"/>
      <c r="DM59" s="30"/>
      <c r="DN59" s="30"/>
      <c r="DO59" s="30"/>
      <c r="DP59" s="85"/>
      <c r="DQ59" s="85"/>
      <c r="DR59" s="85"/>
      <c r="DT59" s="81"/>
      <c r="DU59" s="30"/>
      <c r="DV59" s="30"/>
      <c r="DX59" s="30"/>
      <c r="DY59" s="30"/>
      <c r="DZ59" s="30"/>
      <c r="EA59" s="30"/>
      <c r="EB59" s="30"/>
      <c r="EC59" s="30"/>
      <c r="ED59" s="30"/>
      <c r="EE59" s="85"/>
      <c r="EF59" s="85"/>
      <c r="EG59" s="85"/>
      <c r="EI59" s="81"/>
      <c r="EJ59" s="30"/>
      <c r="EK59" s="30"/>
      <c r="EM59" s="30"/>
      <c r="EN59" s="30"/>
      <c r="EO59" s="30"/>
      <c r="EP59" s="30"/>
      <c r="EQ59" s="30"/>
      <c r="ER59" s="30"/>
      <c r="ES59" s="30"/>
      <c r="ET59" s="85"/>
      <c r="EU59" s="85"/>
      <c r="EV59" s="85"/>
    </row>
    <row r="60" spans="2:152">
      <c r="B60" s="11">
        <f t="shared" si="1"/>
        <v>0.17</v>
      </c>
      <c r="C60" s="28">
        <v>2.88</v>
      </c>
      <c r="D60" s="16"/>
      <c r="E60" s="8"/>
      <c r="F60" s="27">
        <f t="shared" si="2"/>
        <v>-1.9377203290246774</v>
      </c>
      <c r="G60" s="27">
        <f t="shared" si="3"/>
        <v>-0.51903410587832832</v>
      </c>
      <c r="H60" s="27">
        <f t="shared" si="4"/>
        <v>2.9046378814694573E-2</v>
      </c>
      <c r="I60" s="27">
        <f t="shared" si="5"/>
        <v>-16.869150202494392</v>
      </c>
      <c r="J60" s="27">
        <f t="shared" si="6"/>
        <v>-0.20510966497951308</v>
      </c>
      <c r="K60" s="27" t="e">
        <f t="shared" si="7"/>
        <v>#NUM!</v>
      </c>
      <c r="L60" s="27" t="e">
        <f t="shared" si="8"/>
        <v>#NUM!</v>
      </c>
      <c r="M60" s="17" t="e">
        <f t="shared" si="9"/>
        <v>#NUM!</v>
      </c>
      <c r="N60" s="17" t="e">
        <f t="shared" si="10"/>
        <v>#N/A</v>
      </c>
      <c r="O60" s="17" t="e">
        <f t="shared" si="11"/>
        <v>#N/A</v>
      </c>
      <c r="P60" s="17">
        <f t="shared" si="13"/>
        <v>0</v>
      </c>
      <c r="Q60" s="17">
        <f t="shared" si="14"/>
        <v>0</v>
      </c>
      <c r="S60" s="81"/>
      <c r="T60" s="30"/>
      <c r="U60" s="30"/>
      <c r="W60" s="30"/>
      <c r="X60" s="30"/>
      <c r="Y60" s="30"/>
      <c r="Z60" s="30"/>
      <c r="AA60" s="30"/>
      <c r="AB60" s="30"/>
      <c r="AC60" s="30"/>
      <c r="AD60" s="85"/>
      <c r="AE60" s="85"/>
      <c r="AF60" s="85"/>
      <c r="AH60" s="81"/>
      <c r="AI60" s="30"/>
      <c r="AJ60" s="30"/>
      <c r="AL60" s="30"/>
      <c r="AM60" s="30"/>
      <c r="AN60" s="30"/>
      <c r="AO60" s="30"/>
      <c r="AP60" s="30"/>
      <c r="AQ60" s="30"/>
      <c r="AR60" s="30"/>
      <c r="AS60" s="85"/>
      <c r="AT60" s="85"/>
      <c r="AU60" s="85"/>
      <c r="AW60" s="81"/>
      <c r="AX60" s="30"/>
      <c r="AY60" s="30"/>
      <c r="BA60" s="30"/>
      <c r="BB60" s="30"/>
      <c r="BC60" s="30"/>
      <c r="BD60" s="30"/>
      <c r="BE60" s="30"/>
      <c r="BF60" s="30"/>
      <c r="BG60" s="30"/>
      <c r="BH60" s="85"/>
      <c r="BI60" s="85"/>
      <c r="BJ60" s="85"/>
      <c r="BL60" s="81"/>
      <c r="BM60" s="30"/>
      <c r="BN60" s="30"/>
      <c r="BP60" s="30"/>
      <c r="BQ60" s="30"/>
      <c r="BR60" s="30"/>
      <c r="BS60" s="30"/>
      <c r="BT60" s="30"/>
      <c r="BU60" s="30"/>
      <c r="BV60" s="30"/>
      <c r="BW60" s="85"/>
      <c r="BX60" s="85"/>
      <c r="BY60" s="85"/>
      <c r="CA60" s="81"/>
      <c r="CB60" s="30"/>
      <c r="CC60" s="30"/>
      <c r="CE60" s="30"/>
      <c r="CF60" s="30"/>
      <c r="CG60" s="30"/>
      <c r="CH60" s="30"/>
      <c r="CI60" s="30"/>
      <c r="CJ60" s="30"/>
      <c r="CK60" s="30"/>
      <c r="CL60" s="85"/>
      <c r="CM60" s="85"/>
      <c r="CN60" s="85"/>
      <c r="CP60" s="81"/>
      <c r="CQ60" s="30"/>
      <c r="CR60" s="30"/>
      <c r="CT60" s="30"/>
      <c r="CU60" s="30"/>
      <c r="CV60" s="30"/>
      <c r="CW60" s="30"/>
      <c r="CX60" s="30"/>
      <c r="CY60" s="30"/>
      <c r="CZ60" s="30"/>
      <c r="DA60" s="85"/>
      <c r="DB60" s="85"/>
      <c r="DC60" s="85"/>
      <c r="DE60" s="81"/>
      <c r="DF60" s="30"/>
      <c r="DG60" s="30"/>
      <c r="DI60" s="30"/>
      <c r="DJ60" s="30"/>
      <c r="DK60" s="30"/>
      <c r="DL60" s="30"/>
      <c r="DM60" s="30"/>
      <c r="DN60" s="30"/>
      <c r="DO60" s="30"/>
      <c r="DP60" s="85"/>
      <c r="DQ60" s="85"/>
      <c r="DR60" s="85"/>
      <c r="DT60" s="81"/>
      <c r="DU60" s="30"/>
      <c r="DV60" s="30"/>
      <c r="DX60" s="30"/>
      <c r="DY60" s="30"/>
      <c r="DZ60" s="30"/>
      <c r="EA60" s="30"/>
      <c r="EB60" s="30"/>
      <c r="EC60" s="30"/>
      <c r="ED60" s="30"/>
      <c r="EE60" s="85"/>
      <c r="EF60" s="85"/>
      <c r="EG60" s="85"/>
      <c r="EI60" s="81"/>
      <c r="EJ60" s="30"/>
      <c r="EK60" s="30"/>
      <c r="EM60" s="30"/>
      <c r="EN60" s="30"/>
      <c r="EO60" s="30"/>
      <c r="EP60" s="30"/>
      <c r="EQ60" s="30"/>
      <c r="ER60" s="30"/>
      <c r="ES60" s="30"/>
      <c r="ET60" s="85"/>
      <c r="EU60" s="85"/>
      <c r="EV60" s="85"/>
    </row>
    <row r="61" spans="2:152">
      <c r="B61" s="11">
        <f t="shared" si="1"/>
        <v>0.17</v>
      </c>
      <c r="C61" s="28">
        <v>2.94</v>
      </c>
      <c r="D61" s="16"/>
      <c r="E61" s="8"/>
      <c r="F61" s="27">
        <f t="shared" si="2"/>
        <v>-2.0284675953967297</v>
      </c>
      <c r="G61" s="27">
        <f t="shared" si="3"/>
        <v>-0.52222412026731291</v>
      </c>
      <c r="H61" s="27">
        <f t="shared" si="4"/>
        <v>3.2236393203679228E-2</v>
      </c>
      <c r="I61" s="27">
        <f t="shared" si="5"/>
        <v>-15.199830947827937</v>
      </c>
      <c r="J61" s="27">
        <f t="shared" si="6"/>
        <v>-0.19774823332135583</v>
      </c>
      <c r="K61" s="27" t="e">
        <f t="shared" si="7"/>
        <v>#NUM!</v>
      </c>
      <c r="L61" s="27" t="e">
        <f t="shared" si="8"/>
        <v>#NUM!</v>
      </c>
      <c r="M61" s="17" t="e">
        <f t="shared" si="9"/>
        <v>#NUM!</v>
      </c>
      <c r="N61" s="17" t="e">
        <f t="shared" si="10"/>
        <v>#N/A</v>
      </c>
      <c r="O61" s="17" t="e">
        <f t="shared" si="11"/>
        <v>#N/A</v>
      </c>
      <c r="P61" s="17">
        <f t="shared" si="13"/>
        <v>0</v>
      </c>
      <c r="Q61" s="17">
        <f t="shared" si="14"/>
        <v>0</v>
      </c>
      <c r="S61" s="81"/>
      <c r="T61" s="30"/>
      <c r="U61" s="30"/>
      <c r="W61" s="30"/>
      <c r="X61" s="30"/>
      <c r="Y61" s="30"/>
      <c r="Z61" s="30"/>
      <c r="AA61" s="30"/>
      <c r="AB61" s="30"/>
      <c r="AC61" s="30"/>
      <c r="AD61" s="85"/>
      <c r="AE61" s="85"/>
      <c r="AF61" s="85"/>
      <c r="AH61" s="81"/>
      <c r="AI61" s="30"/>
      <c r="AJ61" s="30"/>
      <c r="AL61" s="30"/>
      <c r="AM61" s="30"/>
      <c r="AN61" s="30"/>
      <c r="AO61" s="30"/>
      <c r="AP61" s="30"/>
      <c r="AQ61" s="30"/>
      <c r="AR61" s="30"/>
      <c r="AS61" s="85"/>
      <c r="AT61" s="85"/>
      <c r="AU61" s="85"/>
      <c r="AW61" s="81"/>
      <c r="AX61" s="30"/>
      <c r="AY61" s="30"/>
      <c r="BA61" s="30"/>
      <c r="BB61" s="30"/>
      <c r="BC61" s="30"/>
      <c r="BD61" s="30"/>
      <c r="BE61" s="30"/>
      <c r="BF61" s="30"/>
      <c r="BG61" s="30"/>
      <c r="BH61" s="85"/>
      <c r="BI61" s="85"/>
      <c r="BJ61" s="85"/>
      <c r="BL61" s="81"/>
      <c r="BM61" s="30"/>
      <c r="BN61" s="30"/>
      <c r="BP61" s="30"/>
      <c r="BQ61" s="30"/>
      <c r="BR61" s="30"/>
      <c r="BS61" s="30"/>
      <c r="BT61" s="30"/>
      <c r="BU61" s="30"/>
      <c r="BV61" s="30"/>
      <c r="BW61" s="85"/>
      <c r="BX61" s="85"/>
      <c r="BY61" s="85"/>
      <c r="CA61" s="81"/>
      <c r="CB61" s="30"/>
      <c r="CC61" s="30"/>
      <c r="CE61" s="30"/>
      <c r="CF61" s="30"/>
      <c r="CG61" s="30"/>
      <c r="CH61" s="30"/>
      <c r="CI61" s="30"/>
      <c r="CJ61" s="30"/>
      <c r="CK61" s="30"/>
      <c r="CL61" s="85"/>
      <c r="CM61" s="85"/>
      <c r="CN61" s="85"/>
      <c r="CP61" s="81"/>
      <c r="CQ61" s="30"/>
      <c r="CR61" s="30"/>
      <c r="CT61" s="30"/>
      <c r="CU61" s="30"/>
      <c r="CV61" s="30"/>
      <c r="CW61" s="30"/>
      <c r="CX61" s="30"/>
      <c r="CY61" s="30"/>
      <c r="CZ61" s="30"/>
      <c r="DA61" s="85"/>
      <c r="DB61" s="85"/>
      <c r="DC61" s="85"/>
      <c r="DE61" s="81"/>
      <c r="DF61" s="30"/>
      <c r="DG61" s="30"/>
      <c r="DI61" s="30"/>
      <c r="DJ61" s="30"/>
      <c r="DK61" s="30"/>
      <c r="DL61" s="30"/>
      <c r="DM61" s="30"/>
      <c r="DN61" s="30"/>
      <c r="DO61" s="30"/>
      <c r="DP61" s="85"/>
      <c r="DQ61" s="85"/>
      <c r="DR61" s="85"/>
      <c r="DT61" s="81"/>
      <c r="DU61" s="30"/>
      <c r="DV61" s="30"/>
      <c r="DX61" s="30"/>
      <c r="DY61" s="30"/>
      <c r="DZ61" s="30"/>
      <c r="EA61" s="30"/>
      <c r="EB61" s="30"/>
      <c r="EC61" s="30"/>
      <c r="ED61" s="30"/>
      <c r="EE61" s="85"/>
      <c r="EF61" s="85"/>
      <c r="EG61" s="85"/>
      <c r="EI61" s="81"/>
      <c r="EJ61" s="30"/>
      <c r="EK61" s="30"/>
      <c r="EM61" s="30"/>
      <c r="EN61" s="30"/>
      <c r="EO61" s="30"/>
      <c r="EP61" s="30"/>
      <c r="EQ61" s="30"/>
      <c r="ER61" s="30"/>
      <c r="ES61" s="30"/>
      <c r="ET61" s="85"/>
      <c r="EU61" s="85"/>
      <c r="EV61" s="85"/>
    </row>
    <row r="62" spans="2:152">
      <c r="B62" s="11">
        <f t="shared" si="1"/>
        <v>0.17</v>
      </c>
      <c r="C62" s="28">
        <v>3</v>
      </c>
      <c r="D62" s="16"/>
      <c r="E62" s="8"/>
      <c r="F62" s="27">
        <f t="shared" si="2"/>
        <v>-2.1250000000000004</v>
      </c>
      <c r="G62" s="27">
        <f t="shared" si="3"/>
        <v>-0.52541413465629772</v>
      </c>
      <c r="H62" s="27">
        <f t="shared" si="4"/>
        <v>3.5426407592663904E-2</v>
      </c>
      <c r="I62" s="27">
        <f t="shared" si="5"/>
        <v>-13.831143498871176</v>
      </c>
      <c r="J62" s="27">
        <f t="shared" si="6"/>
        <v>-0.19047619047619044</v>
      </c>
      <c r="K62" s="27" t="e">
        <f t="shared" si="7"/>
        <v>#NUM!</v>
      </c>
      <c r="L62" s="27" t="e">
        <f t="shared" si="8"/>
        <v>#NUM!</v>
      </c>
      <c r="M62" s="17" t="e">
        <f t="shared" si="9"/>
        <v>#NUM!</v>
      </c>
      <c r="N62" s="17" t="e">
        <f t="shared" si="10"/>
        <v>#N/A</v>
      </c>
      <c r="O62" s="17" t="e">
        <f t="shared" si="11"/>
        <v>#N/A</v>
      </c>
      <c r="P62" s="17">
        <f t="shared" si="13"/>
        <v>0</v>
      </c>
      <c r="Q62" s="17">
        <f t="shared" si="14"/>
        <v>0</v>
      </c>
      <c r="S62" s="81"/>
      <c r="T62" s="30"/>
      <c r="U62" s="30"/>
      <c r="W62" s="30"/>
      <c r="X62" s="30"/>
      <c r="Y62" s="30"/>
      <c r="Z62" s="30"/>
      <c r="AA62" s="30"/>
      <c r="AB62" s="30"/>
      <c r="AC62" s="30"/>
      <c r="AD62" s="85"/>
      <c r="AE62" s="85"/>
      <c r="AF62" s="85"/>
      <c r="AH62" s="81"/>
      <c r="AI62" s="30"/>
      <c r="AJ62" s="30"/>
      <c r="AL62" s="30"/>
      <c r="AM62" s="30"/>
      <c r="AN62" s="30"/>
      <c r="AO62" s="30"/>
      <c r="AP62" s="30"/>
      <c r="AQ62" s="30"/>
      <c r="AR62" s="30"/>
      <c r="AS62" s="85"/>
      <c r="AT62" s="85"/>
      <c r="AU62" s="85"/>
      <c r="AW62" s="81"/>
      <c r="AX62" s="30"/>
      <c r="AY62" s="30"/>
      <c r="BA62" s="30"/>
      <c r="BB62" s="30"/>
      <c r="BC62" s="30"/>
      <c r="BD62" s="30"/>
      <c r="BE62" s="30"/>
      <c r="BF62" s="30"/>
      <c r="BG62" s="30"/>
      <c r="BH62" s="85"/>
      <c r="BI62" s="85"/>
      <c r="BJ62" s="85"/>
      <c r="BL62" s="81"/>
      <c r="BM62" s="30"/>
      <c r="BN62" s="30"/>
      <c r="BP62" s="30"/>
      <c r="BQ62" s="30"/>
      <c r="BR62" s="30"/>
      <c r="BS62" s="30"/>
      <c r="BT62" s="30"/>
      <c r="BU62" s="30"/>
      <c r="BV62" s="30"/>
      <c r="BW62" s="85"/>
      <c r="BX62" s="85"/>
      <c r="BY62" s="85"/>
      <c r="CA62" s="81"/>
      <c r="CB62" s="30"/>
      <c r="CC62" s="30"/>
      <c r="CE62" s="30"/>
      <c r="CF62" s="30"/>
      <c r="CG62" s="30"/>
      <c r="CH62" s="30"/>
      <c r="CI62" s="30"/>
      <c r="CJ62" s="30"/>
      <c r="CK62" s="30"/>
      <c r="CL62" s="85"/>
      <c r="CM62" s="85"/>
      <c r="CN62" s="85"/>
      <c r="CP62" s="81"/>
      <c r="CQ62" s="30"/>
      <c r="CR62" s="30"/>
      <c r="CT62" s="30"/>
      <c r="CU62" s="30"/>
      <c r="CV62" s="30"/>
      <c r="CW62" s="30"/>
      <c r="CX62" s="30"/>
      <c r="CY62" s="30"/>
      <c r="CZ62" s="30"/>
      <c r="DA62" s="85"/>
      <c r="DB62" s="85"/>
      <c r="DC62" s="85"/>
      <c r="DE62" s="81"/>
      <c r="DF62" s="30"/>
      <c r="DG62" s="30"/>
      <c r="DI62" s="30"/>
      <c r="DJ62" s="30"/>
      <c r="DK62" s="30"/>
      <c r="DL62" s="30"/>
      <c r="DM62" s="30"/>
      <c r="DN62" s="30"/>
      <c r="DO62" s="30"/>
      <c r="DP62" s="85"/>
      <c r="DQ62" s="85"/>
      <c r="DR62" s="85"/>
      <c r="DT62" s="81"/>
      <c r="DU62" s="30"/>
      <c r="DV62" s="30"/>
      <c r="DX62" s="30"/>
      <c r="DY62" s="30"/>
      <c r="DZ62" s="30"/>
      <c r="EA62" s="30"/>
      <c r="EB62" s="30"/>
      <c r="EC62" s="30"/>
      <c r="ED62" s="30"/>
      <c r="EE62" s="85"/>
      <c r="EF62" s="85"/>
      <c r="EG62" s="85"/>
      <c r="EI62" s="81"/>
      <c r="EJ62" s="30"/>
      <c r="EK62" s="30"/>
      <c r="EM62" s="30"/>
      <c r="EN62" s="30"/>
      <c r="EO62" s="30"/>
      <c r="EP62" s="30"/>
      <c r="EQ62" s="30"/>
      <c r="ER62" s="30"/>
      <c r="ES62" s="30"/>
      <c r="ET62" s="85"/>
      <c r="EU62" s="85"/>
      <c r="EV62" s="85"/>
    </row>
    <row r="63" spans="2:152">
      <c r="B63" s="11">
        <f t="shared" si="1"/>
        <v>0.17</v>
      </c>
      <c r="C63" s="28">
        <v>3.06</v>
      </c>
      <c r="D63" s="16"/>
      <c r="E63" s="8"/>
      <c r="F63" s="27">
        <f t="shared" si="2"/>
        <v>-2.2278889606197563</v>
      </c>
      <c r="G63" s="27">
        <f t="shared" si="3"/>
        <v>-0.5286041490452823</v>
      </c>
      <c r="H63" s="27">
        <f t="shared" si="4"/>
        <v>3.861642198164858E-2</v>
      </c>
      <c r="I63" s="27">
        <f t="shared" si="5"/>
        <v>-12.688584335868487</v>
      </c>
      <c r="J63" s="27">
        <f t="shared" si="6"/>
        <v>-0.18329191811619919</v>
      </c>
      <c r="K63" s="27" t="e">
        <f t="shared" si="7"/>
        <v>#NUM!</v>
      </c>
      <c r="L63" s="27" t="e">
        <f t="shared" si="8"/>
        <v>#NUM!</v>
      </c>
      <c r="M63" s="17" t="e">
        <f t="shared" si="9"/>
        <v>#NUM!</v>
      </c>
      <c r="N63" s="17" t="e">
        <f t="shared" si="10"/>
        <v>#N/A</v>
      </c>
      <c r="O63" s="17" t="e">
        <f t="shared" si="11"/>
        <v>#N/A</v>
      </c>
      <c r="P63" s="17">
        <f t="shared" si="13"/>
        <v>0</v>
      </c>
      <c r="Q63" s="17">
        <f t="shared" si="14"/>
        <v>0</v>
      </c>
      <c r="S63" s="81"/>
      <c r="T63" s="30"/>
      <c r="U63" s="30"/>
      <c r="W63" s="30"/>
      <c r="X63" s="30"/>
      <c r="Y63" s="30"/>
      <c r="Z63" s="30"/>
      <c r="AA63" s="30"/>
      <c r="AB63" s="30"/>
      <c r="AC63" s="30"/>
      <c r="AD63" s="85"/>
      <c r="AE63" s="85"/>
      <c r="AF63" s="85"/>
      <c r="AH63" s="81"/>
      <c r="AI63" s="30"/>
      <c r="AJ63" s="30"/>
      <c r="AL63" s="30"/>
      <c r="AM63" s="30"/>
      <c r="AN63" s="30"/>
      <c r="AO63" s="30"/>
      <c r="AP63" s="30"/>
      <c r="AQ63" s="30"/>
      <c r="AR63" s="30"/>
      <c r="AS63" s="85"/>
      <c r="AT63" s="85"/>
      <c r="AU63" s="85"/>
      <c r="AW63" s="81"/>
      <c r="AX63" s="30"/>
      <c r="AY63" s="30"/>
      <c r="BA63" s="30"/>
      <c r="BB63" s="30"/>
      <c r="BC63" s="30"/>
      <c r="BD63" s="30"/>
      <c r="BE63" s="30"/>
      <c r="BF63" s="30"/>
      <c r="BG63" s="30"/>
      <c r="BH63" s="85"/>
      <c r="BI63" s="85"/>
      <c r="BJ63" s="85"/>
      <c r="BL63" s="81"/>
      <c r="BM63" s="30"/>
      <c r="BN63" s="30"/>
      <c r="BP63" s="30"/>
      <c r="BQ63" s="30"/>
      <c r="BR63" s="30"/>
      <c r="BS63" s="30"/>
      <c r="BT63" s="30"/>
      <c r="BU63" s="30"/>
      <c r="BV63" s="30"/>
      <c r="BW63" s="85"/>
      <c r="BX63" s="85"/>
      <c r="BY63" s="85"/>
      <c r="CA63" s="81"/>
      <c r="CB63" s="30"/>
      <c r="CC63" s="30"/>
      <c r="CE63" s="30"/>
      <c r="CF63" s="30"/>
      <c r="CG63" s="30"/>
      <c r="CH63" s="30"/>
      <c r="CI63" s="30"/>
      <c r="CJ63" s="30"/>
      <c r="CK63" s="30"/>
      <c r="CL63" s="85"/>
      <c r="CM63" s="85"/>
      <c r="CN63" s="85"/>
      <c r="CP63" s="81"/>
      <c r="CQ63" s="30"/>
      <c r="CR63" s="30"/>
      <c r="CT63" s="30"/>
      <c r="CU63" s="30"/>
      <c r="CV63" s="30"/>
      <c r="CW63" s="30"/>
      <c r="CX63" s="30"/>
      <c r="CY63" s="30"/>
      <c r="CZ63" s="30"/>
      <c r="DA63" s="85"/>
      <c r="DB63" s="85"/>
      <c r="DC63" s="85"/>
      <c r="DE63" s="81"/>
      <c r="DF63" s="30"/>
      <c r="DG63" s="30"/>
      <c r="DI63" s="30"/>
      <c r="DJ63" s="30"/>
      <c r="DK63" s="30"/>
      <c r="DL63" s="30"/>
      <c r="DM63" s="30"/>
      <c r="DN63" s="30"/>
      <c r="DO63" s="30"/>
      <c r="DP63" s="85"/>
      <c r="DQ63" s="85"/>
      <c r="DR63" s="85"/>
      <c r="DT63" s="81"/>
      <c r="DU63" s="30"/>
      <c r="DV63" s="30"/>
      <c r="DX63" s="30"/>
      <c r="DY63" s="30"/>
      <c r="DZ63" s="30"/>
      <c r="EA63" s="30"/>
      <c r="EB63" s="30"/>
      <c r="EC63" s="30"/>
      <c r="ED63" s="30"/>
      <c r="EE63" s="85"/>
      <c r="EF63" s="85"/>
      <c r="EG63" s="85"/>
      <c r="EI63" s="81"/>
      <c r="EJ63" s="30"/>
      <c r="EK63" s="30"/>
      <c r="EM63" s="30"/>
      <c r="EN63" s="30"/>
      <c r="EO63" s="30"/>
      <c r="EP63" s="30"/>
      <c r="EQ63" s="30"/>
      <c r="ER63" s="30"/>
      <c r="ES63" s="30"/>
      <c r="ET63" s="85"/>
      <c r="EU63" s="85"/>
      <c r="EV63" s="85"/>
    </row>
    <row r="64" spans="2:152">
      <c r="B64" s="11">
        <f t="shared" si="1"/>
        <v>0.17</v>
      </c>
      <c r="C64" s="28">
        <v>3.12</v>
      </c>
      <c r="D64" s="16"/>
      <c r="E64" s="8"/>
      <c r="F64" s="27">
        <f t="shared" si="2"/>
        <v>-2.3377837116154874</v>
      </c>
      <c r="G64" s="27">
        <f t="shared" si="3"/>
        <v>-0.531794163434267</v>
      </c>
      <c r="H64" s="27">
        <f t="shared" si="4"/>
        <v>4.1806436370633235E-2</v>
      </c>
      <c r="I64" s="27">
        <f t="shared" si="5"/>
        <v>-11.720389719890685</v>
      </c>
      <c r="J64" s="27">
        <f t="shared" si="6"/>
        <v>-0.17619383674429542</v>
      </c>
      <c r="K64" s="27" t="e">
        <f t="shared" si="7"/>
        <v>#NUM!</v>
      </c>
      <c r="L64" s="27" t="e">
        <f t="shared" si="8"/>
        <v>#NUM!</v>
      </c>
      <c r="M64" s="17" t="e">
        <f t="shared" si="9"/>
        <v>#NUM!</v>
      </c>
      <c r="N64" s="17" t="e">
        <f t="shared" si="10"/>
        <v>#N/A</v>
      </c>
      <c r="O64" s="17" t="e">
        <f t="shared" si="11"/>
        <v>#N/A</v>
      </c>
      <c r="P64" s="17">
        <f t="shared" si="13"/>
        <v>0</v>
      </c>
      <c r="Q64" s="17">
        <f t="shared" si="14"/>
        <v>0</v>
      </c>
      <c r="S64" s="81"/>
      <c r="T64" s="30"/>
      <c r="U64" s="30"/>
      <c r="W64" s="30"/>
      <c r="X64" s="30"/>
      <c r="Y64" s="30"/>
      <c r="Z64" s="30"/>
      <c r="AA64" s="30"/>
      <c r="AB64" s="30"/>
      <c r="AC64" s="30"/>
      <c r="AD64" s="85"/>
      <c r="AE64" s="85"/>
      <c r="AF64" s="85"/>
      <c r="AH64" s="81"/>
      <c r="AI64" s="30"/>
      <c r="AJ64" s="30"/>
      <c r="AL64" s="30"/>
      <c r="AM64" s="30"/>
      <c r="AN64" s="30"/>
      <c r="AO64" s="30"/>
      <c r="AP64" s="30"/>
      <c r="AQ64" s="30"/>
      <c r="AR64" s="30"/>
      <c r="AS64" s="85"/>
      <c r="AT64" s="85"/>
      <c r="AU64" s="85"/>
      <c r="AW64" s="81"/>
      <c r="AX64" s="30"/>
      <c r="AY64" s="30"/>
      <c r="BA64" s="30"/>
      <c r="BB64" s="30"/>
      <c r="BC64" s="30"/>
      <c r="BD64" s="30"/>
      <c r="BE64" s="30"/>
      <c r="BF64" s="30"/>
      <c r="BG64" s="30"/>
      <c r="BH64" s="85"/>
      <c r="BI64" s="85"/>
      <c r="BJ64" s="85"/>
      <c r="BL64" s="81"/>
      <c r="BM64" s="30"/>
      <c r="BN64" s="30"/>
      <c r="BP64" s="30"/>
      <c r="BQ64" s="30"/>
      <c r="BR64" s="30"/>
      <c r="BS64" s="30"/>
      <c r="BT64" s="30"/>
      <c r="BU64" s="30"/>
      <c r="BV64" s="30"/>
      <c r="BW64" s="85"/>
      <c r="BX64" s="85"/>
      <c r="BY64" s="85"/>
      <c r="CA64" s="81"/>
      <c r="CB64" s="30"/>
      <c r="CC64" s="30"/>
      <c r="CE64" s="30"/>
      <c r="CF64" s="30"/>
      <c r="CG64" s="30"/>
      <c r="CH64" s="30"/>
      <c r="CI64" s="30"/>
      <c r="CJ64" s="30"/>
      <c r="CK64" s="30"/>
      <c r="CL64" s="85"/>
      <c r="CM64" s="85"/>
      <c r="CN64" s="85"/>
      <c r="CP64" s="81"/>
      <c r="CQ64" s="30"/>
      <c r="CR64" s="30"/>
      <c r="CT64" s="30"/>
      <c r="CU64" s="30"/>
      <c r="CV64" s="30"/>
      <c r="CW64" s="30"/>
      <c r="CX64" s="30"/>
      <c r="CY64" s="30"/>
      <c r="CZ64" s="30"/>
      <c r="DA64" s="85"/>
      <c r="DB64" s="85"/>
      <c r="DC64" s="85"/>
      <c r="DE64" s="81"/>
      <c r="DF64" s="30"/>
      <c r="DG64" s="30"/>
      <c r="DI64" s="30"/>
      <c r="DJ64" s="30"/>
      <c r="DK64" s="30"/>
      <c r="DL64" s="30"/>
      <c r="DM64" s="30"/>
      <c r="DN64" s="30"/>
      <c r="DO64" s="30"/>
      <c r="DP64" s="85"/>
      <c r="DQ64" s="85"/>
      <c r="DR64" s="85"/>
      <c r="DT64" s="81"/>
      <c r="DU64" s="30"/>
      <c r="DV64" s="30"/>
      <c r="DX64" s="30"/>
      <c r="DY64" s="30"/>
      <c r="DZ64" s="30"/>
      <c r="EA64" s="30"/>
      <c r="EB64" s="30"/>
      <c r="EC64" s="30"/>
      <c r="ED64" s="30"/>
      <c r="EE64" s="85"/>
      <c r="EF64" s="85"/>
      <c r="EG64" s="85"/>
      <c r="EI64" s="81"/>
      <c r="EJ64" s="30"/>
      <c r="EK64" s="30"/>
      <c r="EM64" s="30"/>
      <c r="EN64" s="30"/>
      <c r="EO64" s="30"/>
      <c r="EP64" s="30"/>
      <c r="EQ64" s="30"/>
      <c r="ER64" s="30"/>
      <c r="ES64" s="30"/>
      <c r="ET64" s="85"/>
      <c r="EU64" s="85"/>
      <c r="EV64" s="85"/>
    </row>
    <row r="65" spans="2:152">
      <c r="B65" s="11">
        <f t="shared" si="1"/>
        <v>0.17</v>
      </c>
      <c r="C65" s="28">
        <v>3.18</v>
      </c>
      <c r="D65" s="16"/>
      <c r="E65" s="8"/>
      <c r="F65" s="27">
        <f t="shared" si="2"/>
        <v>-2.455425017277125</v>
      </c>
      <c r="G65" s="27">
        <f t="shared" si="3"/>
        <v>-0.53498417782325158</v>
      </c>
      <c r="H65" s="27">
        <f t="shared" si="4"/>
        <v>4.4996450759617911E-2</v>
      </c>
      <c r="I65" s="27">
        <f t="shared" si="5"/>
        <v>-10.889475031736801</v>
      </c>
      <c r="J65" s="27">
        <f t="shared" si="6"/>
        <v>-0.16918040453641997</v>
      </c>
      <c r="K65" s="27" t="e">
        <f t="shared" si="7"/>
        <v>#NUM!</v>
      </c>
      <c r="L65" s="27" t="e">
        <f t="shared" si="8"/>
        <v>#NUM!</v>
      </c>
      <c r="M65" s="17" t="e">
        <f t="shared" si="9"/>
        <v>#NUM!</v>
      </c>
      <c r="N65" s="17" t="e">
        <f t="shared" si="10"/>
        <v>#N/A</v>
      </c>
      <c r="O65" s="17" t="e">
        <f t="shared" si="11"/>
        <v>#N/A</v>
      </c>
      <c r="P65" s="17">
        <f t="shared" si="13"/>
        <v>0</v>
      </c>
      <c r="Q65" s="17">
        <f t="shared" si="14"/>
        <v>0</v>
      </c>
      <c r="S65" s="81"/>
      <c r="T65" s="30"/>
      <c r="U65" s="30"/>
      <c r="W65" s="30"/>
      <c r="X65" s="30"/>
      <c r="Y65" s="30"/>
      <c r="Z65" s="30"/>
      <c r="AA65" s="30"/>
      <c r="AB65" s="30"/>
      <c r="AC65" s="30"/>
      <c r="AD65" s="85"/>
      <c r="AE65" s="85"/>
      <c r="AF65" s="85"/>
      <c r="AH65" s="81"/>
      <c r="AI65" s="30"/>
      <c r="AJ65" s="30"/>
      <c r="AL65" s="30"/>
      <c r="AM65" s="30"/>
      <c r="AN65" s="30"/>
      <c r="AO65" s="30"/>
      <c r="AP65" s="30"/>
      <c r="AQ65" s="30"/>
      <c r="AR65" s="30"/>
      <c r="AS65" s="85"/>
      <c r="AT65" s="85"/>
      <c r="AU65" s="85"/>
      <c r="AW65" s="81"/>
      <c r="AX65" s="30"/>
      <c r="AY65" s="30"/>
      <c r="BA65" s="30"/>
      <c r="BB65" s="30"/>
      <c r="BC65" s="30"/>
      <c r="BD65" s="30"/>
      <c r="BE65" s="30"/>
      <c r="BF65" s="30"/>
      <c r="BG65" s="30"/>
      <c r="BH65" s="85"/>
      <c r="BI65" s="85"/>
      <c r="BJ65" s="85"/>
      <c r="BL65" s="81"/>
      <c r="BM65" s="30"/>
      <c r="BN65" s="30"/>
      <c r="BP65" s="30"/>
      <c r="BQ65" s="30"/>
      <c r="BR65" s="30"/>
      <c r="BS65" s="30"/>
      <c r="BT65" s="30"/>
      <c r="BU65" s="30"/>
      <c r="BV65" s="30"/>
      <c r="BW65" s="85"/>
      <c r="BX65" s="85"/>
      <c r="BY65" s="85"/>
      <c r="CA65" s="81"/>
      <c r="CB65" s="30"/>
      <c r="CC65" s="30"/>
      <c r="CE65" s="30"/>
      <c r="CF65" s="30"/>
      <c r="CG65" s="30"/>
      <c r="CH65" s="30"/>
      <c r="CI65" s="30"/>
      <c r="CJ65" s="30"/>
      <c r="CK65" s="30"/>
      <c r="CL65" s="85"/>
      <c r="CM65" s="85"/>
      <c r="CN65" s="85"/>
      <c r="CP65" s="81"/>
      <c r="CQ65" s="30"/>
      <c r="CR65" s="30"/>
      <c r="CT65" s="30"/>
      <c r="CU65" s="30"/>
      <c r="CV65" s="30"/>
      <c r="CW65" s="30"/>
      <c r="CX65" s="30"/>
      <c r="CY65" s="30"/>
      <c r="CZ65" s="30"/>
      <c r="DA65" s="85"/>
      <c r="DB65" s="85"/>
      <c r="DC65" s="85"/>
      <c r="DE65" s="81"/>
      <c r="DF65" s="30"/>
      <c r="DG65" s="30"/>
      <c r="DI65" s="30"/>
      <c r="DJ65" s="30"/>
      <c r="DK65" s="30"/>
      <c r="DL65" s="30"/>
      <c r="DM65" s="30"/>
      <c r="DN65" s="30"/>
      <c r="DO65" s="30"/>
      <c r="DP65" s="85"/>
      <c r="DQ65" s="85"/>
      <c r="DR65" s="85"/>
      <c r="DT65" s="81"/>
      <c r="DU65" s="30"/>
      <c r="DV65" s="30"/>
      <c r="DX65" s="30"/>
      <c r="DY65" s="30"/>
      <c r="DZ65" s="30"/>
      <c r="EA65" s="30"/>
      <c r="EB65" s="30"/>
      <c r="EC65" s="30"/>
      <c r="ED65" s="30"/>
      <c r="EE65" s="85"/>
      <c r="EF65" s="85"/>
      <c r="EG65" s="85"/>
      <c r="EI65" s="81"/>
      <c r="EJ65" s="30"/>
      <c r="EK65" s="30"/>
      <c r="EM65" s="30"/>
      <c r="EN65" s="30"/>
      <c r="EO65" s="30"/>
      <c r="EP65" s="30"/>
      <c r="EQ65" s="30"/>
      <c r="ER65" s="30"/>
      <c r="ES65" s="30"/>
      <c r="ET65" s="85"/>
      <c r="EU65" s="85"/>
      <c r="EV65" s="85"/>
    </row>
    <row r="66" spans="2:152">
      <c r="B66" s="11">
        <f t="shared" si="1"/>
        <v>0.17</v>
      </c>
      <c r="C66" s="28">
        <v>3.24</v>
      </c>
      <c r="D66" s="16"/>
      <c r="E66" s="8"/>
      <c r="F66" s="27">
        <f t="shared" si="2"/>
        <v>-2.5816618911174798</v>
      </c>
      <c r="G66" s="27">
        <f t="shared" si="3"/>
        <v>-0.53817419221223628</v>
      </c>
      <c r="H66" s="27">
        <f t="shared" si="4"/>
        <v>4.8186465148602572E-2</v>
      </c>
      <c r="I66" s="27">
        <f t="shared" si="5"/>
        <v>-10.168575876079666</v>
      </c>
      <c r="J66" s="27">
        <f t="shared" si="6"/>
        <v>-0.16225011622501154</v>
      </c>
      <c r="K66" s="27" t="e">
        <f t="shared" si="7"/>
        <v>#NUM!</v>
      </c>
      <c r="L66" s="27" t="e">
        <f t="shared" si="8"/>
        <v>#NUM!</v>
      </c>
      <c r="M66" s="17" t="e">
        <f t="shared" si="9"/>
        <v>#NUM!</v>
      </c>
      <c r="N66" s="17" t="e">
        <f t="shared" si="10"/>
        <v>#N/A</v>
      </c>
      <c r="O66" s="17" t="e">
        <f t="shared" si="11"/>
        <v>#N/A</v>
      </c>
      <c r="P66" s="17">
        <f t="shared" si="13"/>
        <v>0</v>
      </c>
      <c r="Q66" s="17">
        <f t="shared" si="14"/>
        <v>0</v>
      </c>
      <c r="S66" s="81"/>
      <c r="T66" s="30"/>
      <c r="U66" s="30"/>
      <c r="W66" s="30"/>
      <c r="X66" s="30"/>
      <c r="Y66" s="30"/>
      <c r="Z66" s="30"/>
      <c r="AA66" s="30"/>
      <c r="AB66" s="30"/>
      <c r="AC66" s="30"/>
      <c r="AD66" s="85"/>
      <c r="AE66" s="85"/>
      <c r="AF66" s="85"/>
      <c r="AH66" s="81"/>
      <c r="AI66" s="30"/>
      <c r="AJ66" s="30"/>
      <c r="AL66" s="30"/>
      <c r="AM66" s="30"/>
      <c r="AN66" s="30"/>
      <c r="AO66" s="30"/>
      <c r="AP66" s="30"/>
      <c r="AQ66" s="30"/>
      <c r="AR66" s="30"/>
      <c r="AS66" s="85"/>
      <c r="AT66" s="85"/>
      <c r="AU66" s="85"/>
      <c r="AW66" s="81"/>
      <c r="AX66" s="30"/>
      <c r="AY66" s="30"/>
      <c r="BA66" s="30"/>
      <c r="BB66" s="30"/>
      <c r="BC66" s="30"/>
      <c r="BD66" s="30"/>
      <c r="BE66" s="30"/>
      <c r="BF66" s="30"/>
      <c r="BG66" s="30"/>
      <c r="BH66" s="85"/>
      <c r="BI66" s="85"/>
      <c r="BJ66" s="85"/>
      <c r="BL66" s="81"/>
      <c r="BM66" s="30"/>
      <c r="BN66" s="30"/>
      <c r="BP66" s="30"/>
      <c r="BQ66" s="30"/>
      <c r="BR66" s="30"/>
      <c r="BS66" s="30"/>
      <c r="BT66" s="30"/>
      <c r="BU66" s="30"/>
      <c r="BV66" s="30"/>
      <c r="BW66" s="85"/>
      <c r="BX66" s="85"/>
      <c r="BY66" s="85"/>
      <c r="CA66" s="81"/>
      <c r="CB66" s="30"/>
      <c r="CC66" s="30"/>
      <c r="CE66" s="30"/>
      <c r="CF66" s="30"/>
      <c r="CG66" s="30"/>
      <c r="CH66" s="30"/>
      <c r="CI66" s="30"/>
      <c r="CJ66" s="30"/>
      <c r="CK66" s="30"/>
      <c r="CL66" s="85"/>
      <c r="CM66" s="85"/>
      <c r="CN66" s="85"/>
      <c r="CP66" s="81"/>
      <c r="CQ66" s="30"/>
      <c r="CR66" s="30"/>
      <c r="CT66" s="30"/>
      <c r="CU66" s="30"/>
      <c r="CV66" s="30"/>
      <c r="CW66" s="30"/>
      <c r="CX66" s="30"/>
      <c r="CY66" s="30"/>
      <c r="CZ66" s="30"/>
      <c r="DA66" s="85"/>
      <c r="DB66" s="85"/>
      <c r="DC66" s="85"/>
      <c r="DE66" s="81"/>
      <c r="DF66" s="30"/>
      <c r="DG66" s="30"/>
      <c r="DI66" s="30"/>
      <c r="DJ66" s="30"/>
      <c r="DK66" s="30"/>
      <c r="DL66" s="30"/>
      <c r="DM66" s="30"/>
      <c r="DN66" s="30"/>
      <c r="DO66" s="30"/>
      <c r="DP66" s="85"/>
      <c r="DQ66" s="85"/>
      <c r="DR66" s="85"/>
      <c r="DT66" s="81"/>
      <c r="DU66" s="30"/>
      <c r="DV66" s="30"/>
      <c r="DX66" s="30"/>
      <c r="DY66" s="30"/>
      <c r="DZ66" s="30"/>
      <c r="EA66" s="30"/>
      <c r="EB66" s="30"/>
      <c r="EC66" s="30"/>
      <c r="ED66" s="30"/>
      <c r="EE66" s="85"/>
      <c r="EF66" s="85"/>
      <c r="EG66" s="85"/>
      <c r="EI66" s="81"/>
      <c r="EJ66" s="30"/>
      <c r="EK66" s="30"/>
      <c r="EM66" s="30"/>
      <c r="EN66" s="30"/>
      <c r="EO66" s="30"/>
      <c r="EP66" s="30"/>
      <c r="EQ66" s="30"/>
      <c r="ER66" s="30"/>
      <c r="ES66" s="30"/>
      <c r="ET66" s="85"/>
      <c r="EU66" s="85"/>
      <c r="EV66" s="85"/>
    </row>
    <row r="67" spans="2:152">
      <c r="B67" s="11">
        <f t="shared" si="1"/>
        <v>0.17</v>
      </c>
      <c r="C67" s="28">
        <v>3.3</v>
      </c>
      <c r="D67" s="16"/>
      <c r="E67" s="8"/>
      <c r="F67" s="27">
        <f t="shared" si="2"/>
        <v>-2.7174721189591078</v>
      </c>
      <c r="G67" s="27">
        <f t="shared" si="3"/>
        <v>-0.54136420660122087</v>
      </c>
      <c r="H67" s="27">
        <f t="shared" si="4"/>
        <v>5.1376479537587227E-2</v>
      </c>
      <c r="I67" s="27">
        <f t="shared" si="5"/>
        <v>-9.5371993463498548</v>
      </c>
      <c r="J67" s="27">
        <f t="shared" si="6"/>
        <v>-0.15540150202195266</v>
      </c>
      <c r="K67" s="27" t="e">
        <f t="shared" si="7"/>
        <v>#NUM!</v>
      </c>
      <c r="L67" s="27" t="e">
        <f t="shared" si="8"/>
        <v>#NUM!</v>
      </c>
      <c r="M67" s="17" t="e">
        <f t="shared" si="9"/>
        <v>#NUM!</v>
      </c>
      <c r="N67" s="17" t="e">
        <f t="shared" si="10"/>
        <v>#N/A</v>
      </c>
      <c r="O67" s="17" t="e">
        <f t="shared" si="11"/>
        <v>#N/A</v>
      </c>
      <c r="P67" s="17">
        <f t="shared" si="13"/>
        <v>0</v>
      </c>
      <c r="Q67" s="17">
        <f t="shared" si="14"/>
        <v>0</v>
      </c>
      <c r="S67" s="81"/>
      <c r="T67" s="30"/>
      <c r="U67" s="30"/>
      <c r="W67" s="30"/>
      <c r="X67" s="30"/>
      <c r="Y67" s="30"/>
      <c r="Z67" s="30"/>
      <c r="AA67" s="30"/>
      <c r="AB67" s="30"/>
      <c r="AC67" s="30"/>
      <c r="AD67" s="85"/>
      <c r="AE67" s="85"/>
      <c r="AF67" s="85"/>
      <c r="AH67" s="81"/>
      <c r="AI67" s="30"/>
      <c r="AJ67" s="30"/>
      <c r="AL67" s="30"/>
      <c r="AM67" s="30"/>
      <c r="AN67" s="30"/>
      <c r="AO67" s="30"/>
      <c r="AP67" s="30"/>
      <c r="AQ67" s="30"/>
      <c r="AR67" s="30"/>
      <c r="AS67" s="85"/>
      <c r="AT67" s="85"/>
      <c r="AU67" s="85"/>
      <c r="AW67" s="81"/>
      <c r="AX67" s="30"/>
      <c r="AY67" s="30"/>
      <c r="BA67" s="30"/>
      <c r="BB67" s="30"/>
      <c r="BC67" s="30"/>
      <c r="BD67" s="30"/>
      <c r="BE67" s="30"/>
      <c r="BF67" s="30"/>
      <c r="BG67" s="30"/>
      <c r="BH67" s="85"/>
      <c r="BI67" s="85"/>
      <c r="BJ67" s="85"/>
      <c r="BL67" s="81"/>
      <c r="BM67" s="30"/>
      <c r="BN67" s="30"/>
      <c r="BP67" s="30"/>
      <c r="BQ67" s="30"/>
      <c r="BR67" s="30"/>
      <c r="BS67" s="30"/>
      <c r="BT67" s="30"/>
      <c r="BU67" s="30"/>
      <c r="BV67" s="30"/>
      <c r="BW67" s="85"/>
      <c r="BX67" s="85"/>
      <c r="BY67" s="85"/>
      <c r="CA67" s="81"/>
      <c r="CB67" s="30"/>
      <c r="CC67" s="30"/>
      <c r="CE67" s="30"/>
      <c r="CF67" s="30"/>
      <c r="CG67" s="30"/>
      <c r="CH67" s="30"/>
      <c r="CI67" s="30"/>
      <c r="CJ67" s="30"/>
      <c r="CK67" s="30"/>
      <c r="CL67" s="85"/>
      <c r="CM67" s="85"/>
      <c r="CN67" s="85"/>
      <c r="CP67" s="81"/>
      <c r="CQ67" s="30"/>
      <c r="CR67" s="30"/>
      <c r="CT67" s="30"/>
      <c r="CU67" s="30"/>
      <c r="CV67" s="30"/>
      <c r="CW67" s="30"/>
      <c r="CX67" s="30"/>
      <c r="CY67" s="30"/>
      <c r="CZ67" s="30"/>
      <c r="DA67" s="85"/>
      <c r="DB67" s="85"/>
      <c r="DC67" s="85"/>
      <c r="DE67" s="81"/>
      <c r="DF67" s="30"/>
      <c r="DG67" s="30"/>
      <c r="DI67" s="30"/>
      <c r="DJ67" s="30"/>
      <c r="DK67" s="30"/>
      <c r="DL67" s="30"/>
      <c r="DM67" s="30"/>
      <c r="DN67" s="30"/>
      <c r="DO67" s="30"/>
      <c r="DP67" s="85"/>
      <c r="DQ67" s="85"/>
      <c r="DR67" s="85"/>
      <c r="DT67" s="81"/>
      <c r="DU67" s="30"/>
      <c r="DV67" s="30"/>
      <c r="DX67" s="30"/>
      <c r="DY67" s="30"/>
      <c r="DZ67" s="30"/>
      <c r="EA67" s="30"/>
      <c r="EB67" s="30"/>
      <c r="EC67" s="30"/>
      <c r="ED67" s="30"/>
      <c r="EE67" s="85"/>
      <c r="EF67" s="85"/>
      <c r="EG67" s="85"/>
      <c r="EI67" s="81"/>
      <c r="EJ67" s="30"/>
      <c r="EK67" s="30"/>
      <c r="EM67" s="30"/>
      <c r="EN67" s="30"/>
      <c r="EO67" s="30"/>
      <c r="EP67" s="30"/>
      <c r="EQ67" s="30"/>
      <c r="ER67" s="30"/>
      <c r="ES67" s="30"/>
      <c r="ET67" s="85"/>
      <c r="EU67" s="85"/>
      <c r="EV67" s="85"/>
    </row>
    <row r="68" spans="2:152">
      <c r="B68" s="11">
        <f t="shared" si="1"/>
        <v>0.17</v>
      </c>
      <c r="C68" s="28">
        <v>3.36</v>
      </c>
      <c r="D68" s="16"/>
      <c r="E68" s="8"/>
      <c r="F68" s="27">
        <f t="shared" si="2"/>
        <v>-2.8639876352395666</v>
      </c>
      <c r="G68" s="27">
        <f t="shared" si="3"/>
        <v>-0.54455422099020567</v>
      </c>
      <c r="H68" s="27">
        <f t="shared" si="4"/>
        <v>5.4566493926571882E-2</v>
      </c>
      <c r="I68" s="27">
        <f t="shared" si="5"/>
        <v>-8.979644683108873</v>
      </c>
      <c r="J68" s="27">
        <f t="shared" si="6"/>
        <v>-0.14863312657937056</v>
      </c>
      <c r="K68" s="27" t="e">
        <f t="shared" si="7"/>
        <v>#NUM!</v>
      </c>
      <c r="L68" s="27" t="e">
        <f t="shared" si="8"/>
        <v>#NUM!</v>
      </c>
      <c r="M68" s="17" t="e">
        <f t="shared" si="9"/>
        <v>#NUM!</v>
      </c>
      <c r="N68" s="17" t="e">
        <f t="shared" si="10"/>
        <v>#N/A</v>
      </c>
      <c r="O68" s="17" t="e">
        <f t="shared" si="11"/>
        <v>#N/A</v>
      </c>
      <c r="P68" s="17">
        <f t="shared" si="13"/>
        <v>0</v>
      </c>
      <c r="Q68" s="17">
        <f t="shared" si="14"/>
        <v>0</v>
      </c>
      <c r="S68" s="81"/>
      <c r="T68" s="30"/>
      <c r="U68" s="30"/>
      <c r="W68" s="30"/>
      <c r="X68" s="30"/>
      <c r="Y68" s="30"/>
      <c r="Z68" s="30"/>
      <c r="AA68" s="30"/>
      <c r="AB68" s="30"/>
      <c r="AC68" s="30"/>
      <c r="AD68" s="85"/>
      <c r="AE68" s="85"/>
      <c r="AF68" s="85"/>
      <c r="AH68" s="81"/>
      <c r="AI68" s="30"/>
      <c r="AJ68" s="30"/>
      <c r="AL68" s="30"/>
      <c r="AM68" s="30"/>
      <c r="AN68" s="30"/>
      <c r="AO68" s="30"/>
      <c r="AP68" s="30"/>
      <c r="AQ68" s="30"/>
      <c r="AR68" s="30"/>
      <c r="AS68" s="85"/>
      <c r="AT68" s="85"/>
      <c r="AU68" s="85"/>
      <c r="AW68" s="81"/>
      <c r="AX68" s="30"/>
      <c r="AY68" s="30"/>
      <c r="BA68" s="30"/>
      <c r="BB68" s="30"/>
      <c r="BC68" s="30"/>
      <c r="BD68" s="30"/>
      <c r="BE68" s="30"/>
      <c r="BF68" s="30"/>
      <c r="BG68" s="30"/>
      <c r="BH68" s="85"/>
      <c r="BI68" s="85"/>
      <c r="BJ68" s="85"/>
      <c r="BL68" s="81"/>
      <c r="BM68" s="30"/>
      <c r="BN68" s="30"/>
      <c r="BP68" s="30"/>
      <c r="BQ68" s="30"/>
      <c r="BR68" s="30"/>
      <c r="BS68" s="30"/>
      <c r="BT68" s="30"/>
      <c r="BU68" s="30"/>
      <c r="BV68" s="30"/>
      <c r="BW68" s="85"/>
      <c r="BX68" s="85"/>
      <c r="BY68" s="85"/>
      <c r="CA68" s="81"/>
      <c r="CB68" s="30"/>
      <c r="CC68" s="30"/>
      <c r="CE68" s="30"/>
      <c r="CF68" s="30"/>
      <c r="CG68" s="30"/>
      <c r="CH68" s="30"/>
      <c r="CI68" s="30"/>
      <c r="CJ68" s="30"/>
      <c r="CK68" s="30"/>
      <c r="CL68" s="85"/>
      <c r="CM68" s="85"/>
      <c r="CN68" s="85"/>
      <c r="CP68" s="81"/>
      <c r="CQ68" s="30"/>
      <c r="CR68" s="30"/>
      <c r="CT68" s="30"/>
      <c r="CU68" s="30"/>
      <c r="CV68" s="30"/>
      <c r="CW68" s="30"/>
      <c r="CX68" s="30"/>
      <c r="CY68" s="30"/>
      <c r="CZ68" s="30"/>
      <c r="DA68" s="85"/>
      <c r="DB68" s="85"/>
      <c r="DC68" s="85"/>
      <c r="DE68" s="81"/>
      <c r="DF68" s="30"/>
      <c r="DG68" s="30"/>
      <c r="DI68" s="30"/>
      <c r="DJ68" s="30"/>
      <c r="DK68" s="30"/>
      <c r="DL68" s="30"/>
      <c r="DM68" s="30"/>
      <c r="DN68" s="30"/>
      <c r="DO68" s="30"/>
      <c r="DP68" s="85"/>
      <c r="DQ68" s="85"/>
      <c r="DR68" s="85"/>
      <c r="DT68" s="81"/>
      <c r="DU68" s="30"/>
      <c r="DV68" s="30"/>
      <c r="DX68" s="30"/>
      <c r="DY68" s="30"/>
      <c r="DZ68" s="30"/>
      <c r="EA68" s="30"/>
      <c r="EB68" s="30"/>
      <c r="EC68" s="30"/>
      <c r="ED68" s="30"/>
      <c r="EE68" s="85"/>
      <c r="EF68" s="85"/>
      <c r="EG68" s="85"/>
      <c r="EI68" s="81"/>
      <c r="EJ68" s="30"/>
      <c r="EK68" s="30"/>
      <c r="EM68" s="30"/>
      <c r="EN68" s="30"/>
      <c r="EO68" s="30"/>
      <c r="EP68" s="30"/>
      <c r="EQ68" s="30"/>
      <c r="ER68" s="30"/>
      <c r="ES68" s="30"/>
      <c r="ET68" s="85"/>
      <c r="EU68" s="85"/>
      <c r="EV68" s="85"/>
    </row>
    <row r="69" spans="2:152">
      <c r="B69" s="11">
        <f t="shared" si="1"/>
        <v>0.17</v>
      </c>
      <c r="C69" s="28">
        <v>3.42</v>
      </c>
      <c r="D69" s="16"/>
      <c r="E69" s="8"/>
      <c r="F69" s="27">
        <f t="shared" si="2"/>
        <v>-3.0225261464199527</v>
      </c>
      <c r="G69" s="27">
        <f t="shared" si="3"/>
        <v>-0.54774423537919037</v>
      </c>
      <c r="H69" s="27">
        <f t="shared" si="4"/>
        <v>5.7756508315556579E-2</v>
      </c>
      <c r="I69" s="27">
        <f t="shared" si="5"/>
        <v>-8.4836798718259221</v>
      </c>
      <c r="J69" s="27">
        <f t="shared" si="6"/>
        <v>-0.14194358798675338</v>
      </c>
      <c r="K69" s="27" t="e">
        <f t="shared" si="7"/>
        <v>#NUM!</v>
      </c>
      <c r="L69" s="27" t="e">
        <f t="shared" si="8"/>
        <v>#NUM!</v>
      </c>
      <c r="M69" s="17" t="e">
        <f t="shared" si="9"/>
        <v>#NUM!</v>
      </c>
      <c r="N69" s="17" t="e">
        <f t="shared" si="10"/>
        <v>#N/A</v>
      </c>
      <c r="O69" s="17" t="e">
        <f t="shared" si="11"/>
        <v>#N/A</v>
      </c>
      <c r="P69" s="17">
        <f t="shared" si="13"/>
        <v>0</v>
      </c>
      <c r="Q69" s="17">
        <f t="shared" si="14"/>
        <v>0</v>
      </c>
      <c r="S69" s="81"/>
      <c r="T69" s="30"/>
      <c r="U69" s="30"/>
      <c r="W69" s="30"/>
      <c r="X69" s="30"/>
      <c r="Y69" s="30"/>
      <c r="Z69" s="30"/>
      <c r="AA69" s="30"/>
      <c r="AB69" s="30"/>
      <c r="AC69" s="30"/>
      <c r="AD69" s="85"/>
      <c r="AE69" s="85"/>
      <c r="AF69" s="85"/>
      <c r="AH69" s="81"/>
      <c r="AI69" s="30"/>
      <c r="AJ69" s="30"/>
      <c r="AL69" s="30"/>
      <c r="AM69" s="30"/>
      <c r="AN69" s="30"/>
      <c r="AO69" s="30"/>
      <c r="AP69" s="30"/>
      <c r="AQ69" s="30"/>
      <c r="AR69" s="30"/>
      <c r="AS69" s="85"/>
      <c r="AT69" s="85"/>
      <c r="AU69" s="85"/>
      <c r="AW69" s="81"/>
      <c r="AX69" s="30"/>
      <c r="AY69" s="30"/>
      <c r="BA69" s="30"/>
      <c r="BB69" s="30"/>
      <c r="BC69" s="30"/>
      <c r="BD69" s="30"/>
      <c r="BE69" s="30"/>
      <c r="BF69" s="30"/>
      <c r="BG69" s="30"/>
      <c r="BH69" s="85"/>
      <c r="BI69" s="85"/>
      <c r="BJ69" s="85"/>
      <c r="BL69" s="81"/>
      <c r="BM69" s="30"/>
      <c r="BN69" s="30"/>
      <c r="BP69" s="30"/>
      <c r="BQ69" s="30"/>
      <c r="BR69" s="30"/>
      <c r="BS69" s="30"/>
      <c r="BT69" s="30"/>
      <c r="BU69" s="30"/>
      <c r="BV69" s="30"/>
      <c r="BW69" s="85"/>
      <c r="BX69" s="85"/>
      <c r="BY69" s="85"/>
      <c r="CA69" s="81"/>
      <c r="CB69" s="30"/>
      <c r="CC69" s="30"/>
      <c r="CE69" s="30"/>
      <c r="CF69" s="30"/>
      <c r="CG69" s="30"/>
      <c r="CH69" s="30"/>
      <c r="CI69" s="30"/>
      <c r="CJ69" s="30"/>
      <c r="CK69" s="30"/>
      <c r="CL69" s="85"/>
      <c r="CM69" s="85"/>
      <c r="CN69" s="85"/>
      <c r="CP69" s="81"/>
      <c r="CQ69" s="30"/>
      <c r="CR69" s="30"/>
      <c r="CT69" s="30"/>
      <c r="CU69" s="30"/>
      <c r="CV69" s="30"/>
      <c r="CW69" s="30"/>
      <c r="CX69" s="30"/>
      <c r="CY69" s="30"/>
      <c r="CZ69" s="30"/>
      <c r="DA69" s="85"/>
      <c r="DB69" s="85"/>
      <c r="DC69" s="85"/>
      <c r="DE69" s="81"/>
      <c r="DF69" s="30"/>
      <c r="DG69" s="30"/>
      <c r="DI69" s="30"/>
      <c r="DJ69" s="30"/>
      <c r="DK69" s="30"/>
      <c r="DL69" s="30"/>
      <c r="DM69" s="30"/>
      <c r="DN69" s="30"/>
      <c r="DO69" s="30"/>
      <c r="DP69" s="85"/>
      <c r="DQ69" s="85"/>
      <c r="DR69" s="85"/>
      <c r="DT69" s="81"/>
      <c r="DU69" s="30"/>
      <c r="DV69" s="30"/>
      <c r="DX69" s="30"/>
      <c r="DY69" s="30"/>
      <c r="DZ69" s="30"/>
      <c r="EA69" s="30"/>
      <c r="EB69" s="30"/>
      <c r="EC69" s="30"/>
      <c r="ED69" s="30"/>
      <c r="EE69" s="85"/>
      <c r="EF69" s="85"/>
      <c r="EG69" s="85"/>
      <c r="EI69" s="81"/>
      <c r="EJ69" s="30"/>
      <c r="EK69" s="30"/>
      <c r="EM69" s="30"/>
      <c r="EN69" s="30"/>
      <c r="EO69" s="30"/>
      <c r="EP69" s="30"/>
      <c r="EQ69" s="30"/>
      <c r="ER69" s="30"/>
      <c r="ES69" s="30"/>
      <c r="ET69" s="85"/>
      <c r="EU69" s="85"/>
      <c r="EV69" s="85"/>
    </row>
    <row r="70" spans="2:152">
      <c r="B70" s="11">
        <f t="shared" si="1"/>
        <v>0.17</v>
      </c>
      <c r="C70" s="28">
        <v>3.48</v>
      </c>
      <c r="D70" s="16"/>
      <c r="E70" s="8"/>
      <c r="F70" s="27">
        <f t="shared" si="2"/>
        <v>-3.1946308724832244</v>
      </c>
      <c r="G70" s="27">
        <f t="shared" si="3"/>
        <v>-0.55093424976817496</v>
      </c>
      <c r="H70" s="27">
        <f t="shared" si="4"/>
        <v>6.0946522704541199E-2</v>
      </c>
      <c r="I70" s="27">
        <f t="shared" si="5"/>
        <v>-8.0396338514506294</v>
      </c>
      <c r="J70" s="27">
        <f t="shared" si="6"/>
        <v>-0.13533151680290634</v>
      </c>
      <c r="K70" s="27" t="e">
        <f t="shared" si="7"/>
        <v>#NUM!</v>
      </c>
      <c r="L70" s="27" t="e">
        <f t="shared" si="8"/>
        <v>#NUM!</v>
      </c>
      <c r="M70" s="17" t="e">
        <f t="shared" si="9"/>
        <v>#NUM!</v>
      </c>
      <c r="N70" s="17" t="e">
        <f t="shared" si="10"/>
        <v>#N/A</v>
      </c>
      <c r="O70" s="17" t="e">
        <f t="shared" si="11"/>
        <v>#N/A</v>
      </c>
      <c r="P70" s="17">
        <f t="shared" si="13"/>
        <v>0</v>
      </c>
      <c r="Q70" s="17">
        <f t="shared" si="14"/>
        <v>0</v>
      </c>
      <c r="S70" s="81"/>
      <c r="T70" s="30"/>
      <c r="U70" s="30"/>
      <c r="W70" s="30"/>
      <c r="X70" s="30"/>
      <c r="Y70" s="30"/>
      <c r="Z70" s="30"/>
      <c r="AA70" s="30"/>
      <c r="AB70" s="30"/>
      <c r="AC70" s="30"/>
      <c r="AD70" s="85"/>
      <c r="AE70" s="85"/>
      <c r="AF70" s="85"/>
      <c r="AH70" s="81"/>
      <c r="AI70" s="30"/>
      <c r="AJ70" s="30"/>
      <c r="AL70" s="30"/>
      <c r="AM70" s="30"/>
      <c r="AN70" s="30"/>
      <c r="AO70" s="30"/>
      <c r="AP70" s="30"/>
      <c r="AQ70" s="30"/>
      <c r="AR70" s="30"/>
      <c r="AS70" s="85"/>
      <c r="AT70" s="85"/>
      <c r="AU70" s="85"/>
      <c r="AW70" s="81"/>
      <c r="AX70" s="30"/>
      <c r="AY70" s="30"/>
      <c r="BA70" s="30"/>
      <c r="BB70" s="30"/>
      <c r="BC70" s="30"/>
      <c r="BD70" s="30"/>
      <c r="BE70" s="30"/>
      <c r="BF70" s="30"/>
      <c r="BG70" s="30"/>
      <c r="BH70" s="85"/>
      <c r="BI70" s="85"/>
      <c r="BJ70" s="85"/>
      <c r="BL70" s="81"/>
      <c r="BM70" s="30"/>
      <c r="BN70" s="30"/>
      <c r="BP70" s="30"/>
      <c r="BQ70" s="30"/>
      <c r="BR70" s="30"/>
      <c r="BS70" s="30"/>
      <c r="BT70" s="30"/>
      <c r="BU70" s="30"/>
      <c r="BV70" s="30"/>
      <c r="BW70" s="85"/>
      <c r="BX70" s="85"/>
      <c r="BY70" s="85"/>
      <c r="CA70" s="81"/>
      <c r="CB70" s="30"/>
      <c r="CC70" s="30"/>
      <c r="CE70" s="30"/>
      <c r="CF70" s="30"/>
      <c r="CG70" s="30"/>
      <c r="CH70" s="30"/>
      <c r="CI70" s="30"/>
      <c r="CJ70" s="30"/>
      <c r="CK70" s="30"/>
      <c r="CL70" s="85"/>
      <c r="CM70" s="85"/>
      <c r="CN70" s="85"/>
      <c r="CP70" s="81"/>
      <c r="CQ70" s="30"/>
      <c r="CR70" s="30"/>
      <c r="CT70" s="30"/>
      <c r="CU70" s="30"/>
      <c r="CV70" s="30"/>
      <c r="CW70" s="30"/>
      <c r="CX70" s="30"/>
      <c r="CY70" s="30"/>
      <c r="CZ70" s="30"/>
      <c r="DA70" s="85"/>
      <c r="DB70" s="85"/>
      <c r="DC70" s="85"/>
      <c r="DE70" s="81"/>
      <c r="DF70" s="30"/>
      <c r="DG70" s="30"/>
      <c r="DI70" s="30"/>
      <c r="DJ70" s="30"/>
      <c r="DK70" s="30"/>
      <c r="DL70" s="30"/>
      <c r="DM70" s="30"/>
      <c r="DN70" s="30"/>
      <c r="DO70" s="30"/>
      <c r="DP70" s="85"/>
      <c r="DQ70" s="85"/>
      <c r="DR70" s="85"/>
      <c r="DT70" s="81"/>
      <c r="DU70" s="30"/>
      <c r="DV70" s="30"/>
      <c r="DX70" s="30"/>
      <c r="DY70" s="30"/>
      <c r="DZ70" s="30"/>
      <c r="EA70" s="30"/>
      <c r="EB70" s="30"/>
      <c r="EC70" s="30"/>
      <c r="ED70" s="30"/>
      <c r="EE70" s="85"/>
      <c r="EF70" s="85"/>
      <c r="EG70" s="85"/>
      <c r="EI70" s="81"/>
      <c r="EJ70" s="30"/>
      <c r="EK70" s="30"/>
      <c r="EM70" s="30"/>
      <c r="EN70" s="30"/>
      <c r="EO70" s="30"/>
      <c r="EP70" s="30"/>
      <c r="EQ70" s="30"/>
      <c r="ER70" s="30"/>
      <c r="ES70" s="30"/>
      <c r="ET70" s="85"/>
      <c r="EU70" s="85"/>
      <c r="EV70" s="85"/>
    </row>
    <row r="71" spans="2:152">
      <c r="B71" s="11">
        <f t="shared" si="1"/>
        <v>0.17</v>
      </c>
      <c r="C71" s="28">
        <v>3.54</v>
      </c>
      <c r="D71" s="16"/>
      <c r="E71" s="8"/>
      <c r="F71" s="27">
        <f t="shared" si="2"/>
        <v>-3.3821209465381252</v>
      </c>
      <c r="G71" s="27">
        <f t="shared" si="3"/>
        <v>-0.55412426415715954</v>
      </c>
      <c r="H71" s="27">
        <f t="shared" si="4"/>
        <v>6.4136537093525889E-2</v>
      </c>
      <c r="I71" s="27">
        <f t="shared" si="5"/>
        <v>-7.6397596326274737</v>
      </c>
      <c r="J71" s="27">
        <f t="shared" si="6"/>
        <v>-0.12879557512134551</v>
      </c>
      <c r="K71" s="27" t="e">
        <f t="shared" si="7"/>
        <v>#NUM!</v>
      </c>
      <c r="L71" s="27" t="e">
        <f t="shared" si="8"/>
        <v>#NUM!</v>
      </c>
      <c r="M71" s="17" t="e">
        <f t="shared" si="9"/>
        <v>#NUM!</v>
      </c>
      <c r="N71" s="17" t="e">
        <f t="shared" si="10"/>
        <v>#N/A</v>
      </c>
      <c r="O71" s="17" t="e">
        <f t="shared" si="11"/>
        <v>#N/A</v>
      </c>
      <c r="P71" s="17">
        <f t="shared" si="13"/>
        <v>0</v>
      </c>
      <c r="Q71" s="17">
        <f t="shared" si="14"/>
        <v>0</v>
      </c>
      <c r="S71" s="81"/>
      <c r="T71" s="30"/>
      <c r="U71" s="30"/>
      <c r="W71" s="30"/>
      <c r="X71" s="30"/>
      <c r="Y71" s="30"/>
      <c r="Z71" s="30"/>
      <c r="AA71" s="30"/>
      <c r="AB71" s="30"/>
      <c r="AC71" s="30"/>
      <c r="AD71" s="85"/>
      <c r="AE71" s="85"/>
      <c r="AF71" s="85"/>
      <c r="AH71" s="81"/>
      <c r="AI71" s="30"/>
      <c r="AJ71" s="30"/>
      <c r="AL71" s="30"/>
      <c r="AM71" s="30"/>
      <c r="AN71" s="30"/>
      <c r="AO71" s="30"/>
      <c r="AP71" s="30"/>
      <c r="AQ71" s="30"/>
      <c r="AR71" s="30"/>
      <c r="AS71" s="85"/>
      <c r="AT71" s="85"/>
      <c r="AU71" s="85"/>
      <c r="AW71" s="81"/>
      <c r="AX71" s="30"/>
      <c r="AY71" s="30"/>
      <c r="BA71" s="30"/>
      <c r="BB71" s="30"/>
      <c r="BC71" s="30"/>
      <c r="BD71" s="30"/>
      <c r="BE71" s="30"/>
      <c r="BF71" s="30"/>
      <c r="BG71" s="30"/>
      <c r="BH71" s="85"/>
      <c r="BI71" s="85"/>
      <c r="BJ71" s="85"/>
      <c r="BL71" s="81"/>
      <c r="BM71" s="30"/>
      <c r="BN71" s="30"/>
      <c r="BP71" s="30"/>
      <c r="BQ71" s="30"/>
      <c r="BR71" s="30"/>
      <c r="BS71" s="30"/>
      <c r="BT71" s="30"/>
      <c r="BU71" s="30"/>
      <c r="BV71" s="30"/>
      <c r="BW71" s="85"/>
      <c r="BX71" s="85"/>
      <c r="BY71" s="85"/>
      <c r="CA71" s="81"/>
      <c r="CB71" s="30"/>
      <c r="CC71" s="30"/>
      <c r="CE71" s="30"/>
      <c r="CF71" s="30"/>
      <c r="CG71" s="30"/>
      <c r="CH71" s="30"/>
      <c r="CI71" s="30"/>
      <c r="CJ71" s="30"/>
      <c r="CK71" s="30"/>
      <c r="CL71" s="85"/>
      <c r="CM71" s="85"/>
      <c r="CN71" s="85"/>
      <c r="CP71" s="81"/>
      <c r="CQ71" s="30"/>
      <c r="CR71" s="30"/>
      <c r="CT71" s="30"/>
      <c r="CU71" s="30"/>
      <c r="CV71" s="30"/>
      <c r="CW71" s="30"/>
      <c r="CX71" s="30"/>
      <c r="CY71" s="30"/>
      <c r="CZ71" s="30"/>
      <c r="DA71" s="85"/>
      <c r="DB71" s="85"/>
      <c r="DC71" s="85"/>
      <c r="DE71" s="81"/>
      <c r="DF71" s="30"/>
      <c r="DG71" s="30"/>
      <c r="DI71" s="30"/>
      <c r="DJ71" s="30"/>
      <c r="DK71" s="30"/>
      <c r="DL71" s="30"/>
      <c r="DM71" s="30"/>
      <c r="DN71" s="30"/>
      <c r="DO71" s="30"/>
      <c r="DP71" s="85"/>
      <c r="DQ71" s="85"/>
      <c r="DR71" s="85"/>
      <c r="DT71" s="81"/>
      <c r="DU71" s="30"/>
      <c r="DV71" s="30"/>
      <c r="DX71" s="30"/>
      <c r="DY71" s="30"/>
      <c r="DZ71" s="30"/>
      <c r="EA71" s="30"/>
      <c r="EB71" s="30"/>
      <c r="EC71" s="30"/>
      <c r="ED71" s="30"/>
      <c r="EE71" s="85"/>
      <c r="EF71" s="85"/>
      <c r="EG71" s="85"/>
      <c r="EI71" s="81"/>
      <c r="EJ71" s="30"/>
      <c r="EK71" s="30"/>
      <c r="EM71" s="30"/>
      <c r="EN71" s="30"/>
      <c r="EO71" s="30"/>
      <c r="EP71" s="30"/>
      <c r="EQ71" s="30"/>
      <c r="ER71" s="30"/>
      <c r="ES71" s="30"/>
      <c r="ET71" s="85"/>
      <c r="EU71" s="85"/>
      <c r="EV71" s="85"/>
    </row>
    <row r="72" spans="2:152">
      <c r="B72" s="11">
        <f t="shared" si="1"/>
        <v>0.17</v>
      </c>
      <c r="C72" s="28">
        <v>3.6</v>
      </c>
      <c r="D72" s="16"/>
      <c r="E72" s="8"/>
      <c r="F72" s="27">
        <f t="shared" si="2"/>
        <v>-3.5871559633027528</v>
      </c>
      <c r="G72" s="27">
        <f t="shared" si="3"/>
        <v>-0.55731427854614424</v>
      </c>
      <c r="H72" s="27">
        <f t="shared" si="4"/>
        <v>6.7326551482510544E-2</v>
      </c>
      <c r="I72" s="27">
        <f t="shared" si="5"/>
        <v>-7.2777784733400175</v>
      </c>
      <c r="J72" s="27">
        <f t="shared" si="6"/>
        <v>-0.12233445566778899</v>
      </c>
      <c r="K72" s="27" t="e">
        <f t="shared" si="7"/>
        <v>#NUM!</v>
      </c>
      <c r="L72" s="27" t="e">
        <f t="shared" si="8"/>
        <v>#NUM!</v>
      </c>
      <c r="M72" s="17" t="e">
        <f t="shared" si="9"/>
        <v>#NUM!</v>
      </c>
      <c r="N72" s="17" t="e">
        <f t="shared" si="10"/>
        <v>#N/A</v>
      </c>
      <c r="O72" s="17" t="e">
        <f t="shared" si="11"/>
        <v>#N/A</v>
      </c>
      <c r="P72" s="17">
        <f t="shared" si="13"/>
        <v>0</v>
      </c>
      <c r="Q72" s="17">
        <f t="shared" si="14"/>
        <v>0</v>
      </c>
      <c r="S72" s="81"/>
      <c r="T72" s="30"/>
      <c r="U72" s="30"/>
      <c r="W72" s="30"/>
      <c r="X72" s="30"/>
      <c r="Y72" s="30"/>
      <c r="Z72" s="30"/>
      <c r="AA72" s="30"/>
      <c r="AB72" s="30"/>
      <c r="AC72" s="30"/>
      <c r="AD72" s="85"/>
      <c r="AE72" s="85"/>
      <c r="AF72" s="85"/>
      <c r="AH72" s="81"/>
      <c r="AI72" s="30"/>
      <c r="AJ72" s="30"/>
      <c r="AL72" s="30"/>
      <c r="AM72" s="30"/>
      <c r="AN72" s="30"/>
      <c r="AO72" s="30"/>
      <c r="AP72" s="30"/>
      <c r="AQ72" s="30"/>
      <c r="AR72" s="30"/>
      <c r="AS72" s="85"/>
      <c r="AT72" s="85"/>
      <c r="AU72" s="85"/>
      <c r="AW72" s="81"/>
      <c r="AX72" s="30"/>
      <c r="AY72" s="30"/>
      <c r="BA72" s="30"/>
      <c r="BB72" s="30"/>
      <c r="BC72" s="30"/>
      <c r="BD72" s="30"/>
      <c r="BE72" s="30"/>
      <c r="BF72" s="30"/>
      <c r="BG72" s="30"/>
      <c r="BH72" s="85"/>
      <c r="BI72" s="85"/>
      <c r="BJ72" s="85"/>
      <c r="BL72" s="81"/>
      <c r="BM72" s="30"/>
      <c r="BN72" s="30"/>
      <c r="BP72" s="30"/>
      <c r="BQ72" s="30"/>
      <c r="BR72" s="30"/>
      <c r="BS72" s="30"/>
      <c r="BT72" s="30"/>
      <c r="BU72" s="30"/>
      <c r="BV72" s="30"/>
      <c r="BW72" s="85"/>
      <c r="BX72" s="85"/>
      <c r="BY72" s="85"/>
      <c r="CA72" s="81"/>
      <c r="CB72" s="30"/>
      <c r="CC72" s="30"/>
      <c r="CE72" s="30"/>
      <c r="CF72" s="30"/>
      <c r="CG72" s="30"/>
      <c r="CH72" s="30"/>
      <c r="CI72" s="30"/>
      <c r="CJ72" s="30"/>
      <c r="CK72" s="30"/>
      <c r="CL72" s="85"/>
      <c r="CM72" s="85"/>
      <c r="CN72" s="85"/>
      <c r="CP72" s="81"/>
      <c r="CQ72" s="30"/>
      <c r="CR72" s="30"/>
      <c r="CT72" s="30"/>
      <c r="CU72" s="30"/>
      <c r="CV72" s="30"/>
      <c r="CW72" s="30"/>
      <c r="CX72" s="30"/>
      <c r="CY72" s="30"/>
      <c r="CZ72" s="30"/>
      <c r="DA72" s="85"/>
      <c r="DB72" s="85"/>
      <c r="DC72" s="85"/>
      <c r="DE72" s="81"/>
      <c r="DF72" s="30"/>
      <c r="DG72" s="30"/>
      <c r="DI72" s="30"/>
      <c r="DJ72" s="30"/>
      <c r="DK72" s="30"/>
      <c r="DL72" s="30"/>
      <c r="DM72" s="30"/>
      <c r="DN72" s="30"/>
      <c r="DO72" s="30"/>
      <c r="DP72" s="85"/>
      <c r="DQ72" s="85"/>
      <c r="DR72" s="85"/>
      <c r="DT72" s="81"/>
      <c r="DU72" s="30"/>
      <c r="DV72" s="30"/>
      <c r="DX72" s="30"/>
      <c r="DY72" s="30"/>
      <c r="DZ72" s="30"/>
      <c r="EA72" s="30"/>
      <c r="EB72" s="30"/>
      <c r="EC72" s="30"/>
      <c r="ED72" s="30"/>
      <c r="EE72" s="85"/>
      <c r="EF72" s="85"/>
      <c r="EG72" s="85"/>
      <c r="EI72" s="81"/>
      <c r="EJ72" s="30"/>
      <c r="EK72" s="30"/>
      <c r="EM72" s="30"/>
      <c r="EN72" s="30"/>
      <c r="EO72" s="30"/>
      <c r="EP72" s="30"/>
      <c r="EQ72" s="30"/>
      <c r="ER72" s="30"/>
      <c r="ES72" s="30"/>
      <c r="ET72" s="85"/>
      <c r="EU72" s="85"/>
      <c r="EV72" s="85"/>
    </row>
    <row r="73" spans="2:152">
      <c r="B73" s="11">
        <f t="shared" si="1"/>
        <v>0.17</v>
      </c>
      <c r="C73" s="28">
        <v>3.66</v>
      </c>
      <c r="D73" s="16"/>
      <c r="E73" s="8"/>
      <c r="F73" s="27">
        <f t="shared" si="2"/>
        <v>-3.8123195380173271</v>
      </c>
      <c r="G73" s="27">
        <f t="shared" si="3"/>
        <v>-0.56050429293512904</v>
      </c>
      <c r="H73" s="27">
        <f t="shared" si="4"/>
        <v>7.051656587149524E-2</v>
      </c>
      <c r="I73" s="27">
        <f t="shared" si="5"/>
        <v>-6.948547777504583</v>
      </c>
      <c r="J73" s="27">
        <f t="shared" si="6"/>
        <v>-0.11594688092846772</v>
      </c>
      <c r="K73" s="27" t="e">
        <f t="shared" si="7"/>
        <v>#NUM!</v>
      </c>
      <c r="L73" s="27" t="e">
        <f t="shared" si="8"/>
        <v>#NUM!</v>
      </c>
      <c r="M73" s="17" t="e">
        <f t="shared" si="9"/>
        <v>#NUM!</v>
      </c>
      <c r="N73" s="17" t="e">
        <f t="shared" si="10"/>
        <v>#N/A</v>
      </c>
      <c r="O73" s="17" t="e">
        <f t="shared" si="11"/>
        <v>#N/A</v>
      </c>
      <c r="P73" s="17">
        <f t="shared" si="13"/>
        <v>0</v>
      </c>
      <c r="Q73" s="17">
        <f t="shared" si="14"/>
        <v>0</v>
      </c>
      <c r="S73" s="81"/>
      <c r="T73" s="30"/>
      <c r="U73" s="30"/>
      <c r="W73" s="30"/>
      <c r="X73" s="30"/>
      <c r="Y73" s="30"/>
      <c r="Z73" s="30"/>
      <c r="AA73" s="30"/>
      <c r="AB73" s="30"/>
      <c r="AC73" s="30"/>
      <c r="AD73" s="85"/>
      <c r="AE73" s="85"/>
      <c r="AF73" s="85"/>
      <c r="AH73" s="81"/>
      <c r="AI73" s="30"/>
      <c r="AJ73" s="30"/>
      <c r="AL73" s="30"/>
      <c r="AM73" s="30"/>
      <c r="AN73" s="30"/>
      <c r="AO73" s="30"/>
      <c r="AP73" s="30"/>
      <c r="AQ73" s="30"/>
      <c r="AR73" s="30"/>
      <c r="AS73" s="85"/>
      <c r="AT73" s="85"/>
      <c r="AU73" s="85"/>
      <c r="AW73" s="81"/>
      <c r="AX73" s="30"/>
      <c r="AY73" s="30"/>
      <c r="BA73" s="30"/>
      <c r="BB73" s="30"/>
      <c r="BC73" s="30"/>
      <c r="BD73" s="30"/>
      <c r="BE73" s="30"/>
      <c r="BF73" s="30"/>
      <c r="BG73" s="30"/>
      <c r="BH73" s="85"/>
      <c r="BI73" s="85"/>
      <c r="BJ73" s="85"/>
      <c r="BL73" s="81"/>
      <c r="BM73" s="30"/>
      <c r="BN73" s="30"/>
      <c r="BP73" s="30"/>
      <c r="BQ73" s="30"/>
      <c r="BR73" s="30"/>
      <c r="BS73" s="30"/>
      <c r="BT73" s="30"/>
      <c r="BU73" s="30"/>
      <c r="BV73" s="30"/>
      <c r="BW73" s="85"/>
      <c r="BX73" s="85"/>
      <c r="BY73" s="85"/>
      <c r="CA73" s="81"/>
      <c r="CB73" s="30"/>
      <c r="CC73" s="30"/>
      <c r="CE73" s="30"/>
      <c r="CF73" s="30"/>
      <c r="CG73" s="30"/>
      <c r="CH73" s="30"/>
      <c r="CI73" s="30"/>
      <c r="CJ73" s="30"/>
      <c r="CK73" s="30"/>
      <c r="CL73" s="85"/>
      <c r="CM73" s="85"/>
      <c r="CN73" s="85"/>
      <c r="CP73" s="81"/>
      <c r="CQ73" s="30"/>
      <c r="CR73" s="30"/>
      <c r="CT73" s="30"/>
      <c r="CU73" s="30"/>
      <c r="CV73" s="30"/>
      <c r="CW73" s="30"/>
      <c r="CX73" s="30"/>
      <c r="CY73" s="30"/>
      <c r="CZ73" s="30"/>
      <c r="DA73" s="85"/>
      <c r="DB73" s="85"/>
      <c r="DC73" s="85"/>
      <c r="DE73" s="81"/>
      <c r="DF73" s="30"/>
      <c r="DG73" s="30"/>
      <c r="DI73" s="30"/>
      <c r="DJ73" s="30"/>
      <c r="DK73" s="30"/>
      <c r="DL73" s="30"/>
      <c r="DM73" s="30"/>
      <c r="DN73" s="30"/>
      <c r="DO73" s="30"/>
      <c r="DP73" s="85"/>
      <c r="DQ73" s="85"/>
      <c r="DR73" s="85"/>
      <c r="DT73" s="81"/>
      <c r="DU73" s="30"/>
      <c r="DV73" s="30"/>
      <c r="DX73" s="30"/>
      <c r="DY73" s="30"/>
      <c r="DZ73" s="30"/>
      <c r="EA73" s="30"/>
      <c r="EB73" s="30"/>
      <c r="EC73" s="30"/>
      <c r="ED73" s="30"/>
      <c r="EE73" s="85"/>
      <c r="EF73" s="85"/>
      <c r="EG73" s="85"/>
      <c r="EI73" s="81"/>
      <c r="EJ73" s="30"/>
      <c r="EK73" s="30"/>
      <c r="EM73" s="30"/>
      <c r="EN73" s="30"/>
      <c r="EO73" s="30"/>
      <c r="EP73" s="30"/>
      <c r="EQ73" s="30"/>
      <c r="ER73" s="30"/>
      <c r="ES73" s="30"/>
      <c r="ET73" s="85"/>
      <c r="EU73" s="85"/>
      <c r="EV73" s="85"/>
    </row>
    <row r="74" spans="2:152">
      <c r="B74" s="11">
        <f t="shared" si="1"/>
        <v>0.17</v>
      </c>
      <c r="C74" s="28">
        <v>3.72</v>
      </c>
      <c r="D74" s="16"/>
      <c r="E74" s="8"/>
      <c r="F74" s="27">
        <f t="shared" si="2"/>
        <v>-4.0607287449392739</v>
      </c>
      <c r="G74" s="27">
        <f t="shared" si="3"/>
        <v>-0.56369430732411363</v>
      </c>
      <c r="H74" s="27">
        <f t="shared" si="4"/>
        <v>7.3706580260479895E-2</v>
      </c>
      <c r="I74" s="27">
        <f t="shared" si="5"/>
        <v>-6.6478152334840592</v>
      </c>
      <c r="J74" s="27">
        <f t="shared" si="6"/>
        <v>-0.10963160230803368</v>
      </c>
      <c r="K74" s="27" t="e">
        <f t="shared" si="7"/>
        <v>#NUM!</v>
      </c>
      <c r="L74" s="27" t="e">
        <f t="shared" si="8"/>
        <v>#NUM!</v>
      </c>
      <c r="M74" s="17" t="e">
        <f t="shared" si="9"/>
        <v>#NUM!</v>
      </c>
      <c r="N74" s="17" t="e">
        <f t="shared" si="10"/>
        <v>#N/A</v>
      </c>
      <c r="O74" s="17" t="e">
        <f t="shared" si="11"/>
        <v>#N/A</v>
      </c>
      <c r="P74" s="17">
        <f t="shared" si="13"/>
        <v>0</v>
      </c>
      <c r="Q74" s="17">
        <f t="shared" si="14"/>
        <v>0</v>
      </c>
      <c r="S74" s="81"/>
      <c r="T74" s="30"/>
      <c r="U74" s="30"/>
      <c r="W74" s="30"/>
      <c r="X74" s="30"/>
      <c r="Y74" s="30"/>
      <c r="Z74" s="30"/>
      <c r="AA74" s="30"/>
      <c r="AB74" s="30"/>
      <c r="AC74" s="30"/>
      <c r="AD74" s="85"/>
      <c r="AE74" s="85"/>
      <c r="AF74" s="85"/>
      <c r="AH74" s="81"/>
      <c r="AI74" s="30"/>
      <c r="AJ74" s="30"/>
      <c r="AL74" s="30"/>
      <c r="AM74" s="30"/>
      <c r="AN74" s="30"/>
      <c r="AO74" s="30"/>
      <c r="AP74" s="30"/>
      <c r="AQ74" s="30"/>
      <c r="AR74" s="30"/>
      <c r="AS74" s="85"/>
      <c r="AT74" s="85"/>
      <c r="AU74" s="85"/>
      <c r="AW74" s="81"/>
      <c r="AX74" s="30"/>
      <c r="AY74" s="30"/>
      <c r="BA74" s="30"/>
      <c r="BB74" s="30"/>
      <c r="BC74" s="30"/>
      <c r="BD74" s="30"/>
      <c r="BE74" s="30"/>
      <c r="BF74" s="30"/>
      <c r="BG74" s="30"/>
      <c r="BH74" s="85"/>
      <c r="BI74" s="85"/>
      <c r="BJ74" s="85"/>
      <c r="BL74" s="81"/>
      <c r="BM74" s="30"/>
      <c r="BN74" s="30"/>
      <c r="BP74" s="30"/>
      <c r="BQ74" s="30"/>
      <c r="BR74" s="30"/>
      <c r="BS74" s="30"/>
      <c r="BT74" s="30"/>
      <c r="BU74" s="30"/>
      <c r="BV74" s="30"/>
      <c r="BW74" s="85"/>
      <c r="BX74" s="85"/>
      <c r="BY74" s="85"/>
      <c r="CA74" s="81"/>
      <c r="CB74" s="30"/>
      <c r="CC74" s="30"/>
      <c r="CE74" s="30"/>
      <c r="CF74" s="30"/>
      <c r="CG74" s="30"/>
      <c r="CH74" s="30"/>
      <c r="CI74" s="30"/>
      <c r="CJ74" s="30"/>
      <c r="CK74" s="30"/>
      <c r="CL74" s="85"/>
      <c r="CM74" s="85"/>
      <c r="CN74" s="85"/>
      <c r="CP74" s="81"/>
      <c r="CQ74" s="30"/>
      <c r="CR74" s="30"/>
      <c r="CT74" s="30"/>
      <c r="CU74" s="30"/>
      <c r="CV74" s="30"/>
      <c r="CW74" s="30"/>
      <c r="CX74" s="30"/>
      <c r="CY74" s="30"/>
      <c r="CZ74" s="30"/>
      <c r="DA74" s="85"/>
      <c r="DB74" s="85"/>
      <c r="DC74" s="85"/>
      <c r="DE74" s="81"/>
      <c r="DF74" s="30"/>
      <c r="DG74" s="30"/>
      <c r="DI74" s="30"/>
      <c r="DJ74" s="30"/>
      <c r="DK74" s="30"/>
      <c r="DL74" s="30"/>
      <c r="DM74" s="30"/>
      <c r="DN74" s="30"/>
      <c r="DO74" s="30"/>
      <c r="DP74" s="85"/>
      <c r="DQ74" s="85"/>
      <c r="DR74" s="85"/>
      <c r="DT74" s="81"/>
      <c r="DU74" s="30"/>
      <c r="DV74" s="30"/>
      <c r="DX74" s="30"/>
      <c r="DY74" s="30"/>
      <c r="DZ74" s="30"/>
      <c r="EA74" s="30"/>
      <c r="EB74" s="30"/>
      <c r="EC74" s="30"/>
      <c r="ED74" s="30"/>
      <c r="EE74" s="85"/>
      <c r="EF74" s="85"/>
      <c r="EG74" s="85"/>
      <c r="EI74" s="81"/>
      <c r="EJ74" s="30"/>
      <c r="EK74" s="30"/>
      <c r="EM74" s="30"/>
      <c r="EN74" s="30"/>
      <c r="EO74" s="30"/>
      <c r="EP74" s="30"/>
      <c r="EQ74" s="30"/>
      <c r="ER74" s="30"/>
      <c r="ES74" s="30"/>
      <c r="ET74" s="85"/>
      <c r="EU74" s="85"/>
      <c r="EV74" s="85"/>
    </row>
    <row r="75" spans="2:152">
      <c r="B75" s="11">
        <f t="shared" si="1"/>
        <v>0.17</v>
      </c>
      <c r="C75" s="28">
        <v>3.78</v>
      </c>
      <c r="D75" s="16"/>
      <c r="E75" s="8"/>
      <c r="F75" s="27">
        <f t="shared" si="2"/>
        <v>-4.3361792956243326</v>
      </c>
      <c r="G75" s="27">
        <f t="shared" si="3"/>
        <v>-0.56688432171309822</v>
      </c>
      <c r="H75" s="27">
        <f t="shared" si="4"/>
        <v>7.6896594649464522E-2</v>
      </c>
      <c r="I75" s="27">
        <f t="shared" si="5"/>
        <v>-6.3720341492007249</v>
      </c>
      <c r="J75" s="27">
        <f t="shared" si="6"/>
        <v>-0.10338739931589983</v>
      </c>
      <c r="K75" s="27" t="e">
        <f t="shared" si="7"/>
        <v>#NUM!</v>
      </c>
      <c r="L75" s="27" t="e">
        <f t="shared" si="8"/>
        <v>#NUM!</v>
      </c>
      <c r="M75" s="17" t="e">
        <f t="shared" si="9"/>
        <v>#NUM!</v>
      </c>
      <c r="N75" s="17" t="e">
        <f t="shared" si="10"/>
        <v>#N/A</v>
      </c>
      <c r="O75" s="17" t="e">
        <f t="shared" si="11"/>
        <v>#N/A</v>
      </c>
      <c r="P75" s="17">
        <f t="shared" si="13"/>
        <v>0</v>
      </c>
      <c r="Q75" s="17">
        <f t="shared" si="14"/>
        <v>0</v>
      </c>
      <c r="S75" s="81"/>
      <c r="T75" s="30"/>
      <c r="U75" s="30"/>
      <c r="W75" s="30"/>
      <c r="X75" s="30"/>
      <c r="Y75" s="30"/>
      <c r="Z75" s="30"/>
      <c r="AA75" s="30"/>
      <c r="AB75" s="30"/>
      <c r="AC75" s="30"/>
      <c r="AD75" s="85"/>
      <c r="AE75" s="85"/>
      <c r="AF75" s="85"/>
      <c r="AH75" s="81"/>
      <c r="AI75" s="30"/>
      <c r="AJ75" s="30"/>
      <c r="AL75" s="30"/>
      <c r="AM75" s="30"/>
      <c r="AN75" s="30"/>
      <c r="AO75" s="30"/>
      <c r="AP75" s="30"/>
      <c r="AQ75" s="30"/>
      <c r="AR75" s="30"/>
      <c r="AS75" s="85"/>
      <c r="AT75" s="85"/>
      <c r="AU75" s="85"/>
      <c r="AW75" s="81"/>
      <c r="AX75" s="30"/>
      <c r="AY75" s="30"/>
      <c r="BA75" s="30"/>
      <c r="BB75" s="30"/>
      <c r="BC75" s="30"/>
      <c r="BD75" s="30"/>
      <c r="BE75" s="30"/>
      <c r="BF75" s="30"/>
      <c r="BG75" s="30"/>
      <c r="BH75" s="85"/>
      <c r="BI75" s="85"/>
      <c r="BJ75" s="85"/>
      <c r="BL75" s="81"/>
      <c r="BM75" s="30"/>
      <c r="BN75" s="30"/>
      <c r="BP75" s="30"/>
      <c r="BQ75" s="30"/>
      <c r="BR75" s="30"/>
      <c r="BS75" s="30"/>
      <c r="BT75" s="30"/>
      <c r="BU75" s="30"/>
      <c r="BV75" s="30"/>
      <c r="BW75" s="85"/>
      <c r="BX75" s="85"/>
      <c r="BY75" s="85"/>
      <c r="CA75" s="81"/>
      <c r="CB75" s="30"/>
      <c r="CC75" s="30"/>
      <c r="CE75" s="30"/>
      <c r="CF75" s="30"/>
      <c r="CG75" s="30"/>
      <c r="CH75" s="30"/>
      <c r="CI75" s="30"/>
      <c r="CJ75" s="30"/>
      <c r="CK75" s="30"/>
      <c r="CL75" s="85"/>
      <c r="CM75" s="85"/>
      <c r="CN75" s="85"/>
      <c r="CP75" s="81"/>
      <c r="CQ75" s="30"/>
      <c r="CR75" s="30"/>
      <c r="CT75" s="30"/>
      <c r="CU75" s="30"/>
      <c r="CV75" s="30"/>
      <c r="CW75" s="30"/>
      <c r="CX75" s="30"/>
      <c r="CY75" s="30"/>
      <c r="CZ75" s="30"/>
      <c r="DA75" s="85"/>
      <c r="DB75" s="85"/>
      <c r="DC75" s="85"/>
      <c r="DE75" s="81"/>
      <c r="DF75" s="30"/>
      <c r="DG75" s="30"/>
      <c r="DI75" s="30"/>
      <c r="DJ75" s="30"/>
      <c r="DK75" s="30"/>
      <c r="DL75" s="30"/>
      <c r="DM75" s="30"/>
      <c r="DN75" s="30"/>
      <c r="DO75" s="30"/>
      <c r="DP75" s="85"/>
      <c r="DQ75" s="85"/>
      <c r="DR75" s="85"/>
      <c r="DT75" s="81"/>
      <c r="DU75" s="30"/>
      <c r="DV75" s="30"/>
      <c r="DX75" s="30"/>
      <c r="DY75" s="30"/>
      <c r="DZ75" s="30"/>
      <c r="EA75" s="30"/>
      <c r="EB75" s="30"/>
      <c r="EC75" s="30"/>
      <c r="ED75" s="30"/>
      <c r="EE75" s="85"/>
      <c r="EF75" s="85"/>
      <c r="EG75" s="85"/>
      <c r="EI75" s="81"/>
      <c r="EJ75" s="30"/>
      <c r="EK75" s="30"/>
      <c r="EM75" s="30"/>
      <c r="EN75" s="30"/>
      <c r="EO75" s="30"/>
      <c r="EP75" s="30"/>
      <c r="EQ75" s="30"/>
      <c r="ER75" s="30"/>
      <c r="ES75" s="30"/>
      <c r="ET75" s="85"/>
      <c r="EU75" s="85"/>
      <c r="EV75" s="85"/>
    </row>
    <row r="76" spans="2:152">
      <c r="B76" s="11">
        <f t="shared" si="1"/>
        <v>0.17</v>
      </c>
      <c r="C76" s="28">
        <v>3.84</v>
      </c>
      <c r="D76" s="16"/>
      <c r="E76" s="8"/>
      <c r="F76" s="27">
        <f t="shared" si="2"/>
        <v>-4.6433408577878135</v>
      </c>
      <c r="G76" s="27">
        <f t="shared" si="3"/>
        <v>-0.57007433610208291</v>
      </c>
      <c r="H76" s="27">
        <f t="shared" si="4"/>
        <v>8.0086609038449219E-2</v>
      </c>
      <c r="I76" s="27">
        <f t="shared" si="5"/>
        <v>-6.1182229207431273</v>
      </c>
      <c r="J76" s="27">
        <f t="shared" si="6"/>
        <v>-9.7213078779899015E-2</v>
      </c>
      <c r="K76" s="27" t="e">
        <f t="shared" si="7"/>
        <v>#NUM!</v>
      </c>
      <c r="L76" s="27" t="e">
        <f t="shared" si="8"/>
        <v>#NUM!</v>
      </c>
      <c r="M76" s="17" t="e">
        <f t="shared" si="9"/>
        <v>#NUM!</v>
      </c>
      <c r="N76" s="17" t="e">
        <f t="shared" si="10"/>
        <v>#N/A</v>
      </c>
      <c r="O76" s="17" t="e">
        <f t="shared" si="11"/>
        <v>#N/A</v>
      </c>
      <c r="P76" s="17">
        <f t="shared" si="13"/>
        <v>0</v>
      </c>
      <c r="Q76" s="17">
        <f t="shared" si="14"/>
        <v>0</v>
      </c>
      <c r="S76" s="81"/>
      <c r="T76" s="30"/>
      <c r="U76" s="30"/>
      <c r="W76" s="30"/>
      <c r="X76" s="30"/>
      <c r="Y76" s="30"/>
      <c r="Z76" s="30"/>
      <c r="AA76" s="30"/>
      <c r="AB76" s="30"/>
      <c r="AC76" s="30"/>
      <c r="AD76" s="85"/>
      <c r="AE76" s="85"/>
      <c r="AF76" s="85"/>
      <c r="AH76" s="81"/>
      <c r="AI76" s="30"/>
      <c r="AJ76" s="30"/>
      <c r="AL76" s="30"/>
      <c r="AM76" s="30"/>
      <c r="AN76" s="30"/>
      <c r="AO76" s="30"/>
      <c r="AP76" s="30"/>
      <c r="AQ76" s="30"/>
      <c r="AR76" s="30"/>
      <c r="AS76" s="85"/>
      <c r="AT76" s="85"/>
      <c r="AU76" s="85"/>
      <c r="AW76" s="81"/>
      <c r="AX76" s="30"/>
      <c r="AY76" s="30"/>
      <c r="BA76" s="30"/>
      <c r="BB76" s="30"/>
      <c r="BC76" s="30"/>
      <c r="BD76" s="30"/>
      <c r="BE76" s="30"/>
      <c r="BF76" s="30"/>
      <c r="BG76" s="30"/>
      <c r="BH76" s="85"/>
      <c r="BI76" s="85"/>
      <c r="BJ76" s="85"/>
      <c r="BL76" s="81"/>
      <c r="BM76" s="30"/>
      <c r="BN76" s="30"/>
      <c r="BP76" s="30"/>
      <c r="BQ76" s="30"/>
      <c r="BR76" s="30"/>
      <c r="BS76" s="30"/>
      <c r="BT76" s="30"/>
      <c r="BU76" s="30"/>
      <c r="BV76" s="30"/>
      <c r="BW76" s="85"/>
      <c r="BX76" s="85"/>
      <c r="BY76" s="85"/>
      <c r="CA76" s="81"/>
      <c r="CB76" s="30"/>
      <c r="CC76" s="30"/>
      <c r="CE76" s="30"/>
      <c r="CF76" s="30"/>
      <c r="CG76" s="30"/>
      <c r="CH76" s="30"/>
      <c r="CI76" s="30"/>
      <c r="CJ76" s="30"/>
      <c r="CK76" s="30"/>
      <c r="CL76" s="85"/>
      <c r="CM76" s="85"/>
      <c r="CN76" s="85"/>
      <c r="CP76" s="81"/>
      <c r="CQ76" s="30"/>
      <c r="CR76" s="30"/>
      <c r="CT76" s="30"/>
      <c r="CU76" s="30"/>
      <c r="CV76" s="30"/>
      <c r="CW76" s="30"/>
      <c r="CX76" s="30"/>
      <c r="CY76" s="30"/>
      <c r="CZ76" s="30"/>
      <c r="DA76" s="85"/>
      <c r="DB76" s="85"/>
      <c r="DC76" s="85"/>
      <c r="DE76" s="81"/>
      <c r="DF76" s="30"/>
      <c r="DG76" s="30"/>
      <c r="DI76" s="30"/>
      <c r="DJ76" s="30"/>
      <c r="DK76" s="30"/>
      <c r="DL76" s="30"/>
      <c r="DM76" s="30"/>
      <c r="DN76" s="30"/>
      <c r="DO76" s="30"/>
      <c r="DP76" s="85"/>
      <c r="DQ76" s="85"/>
      <c r="DR76" s="85"/>
      <c r="DT76" s="81"/>
      <c r="DU76" s="30"/>
      <c r="DV76" s="30"/>
      <c r="DX76" s="30"/>
      <c r="DY76" s="30"/>
      <c r="DZ76" s="30"/>
      <c r="EA76" s="30"/>
      <c r="EB76" s="30"/>
      <c r="EC76" s="30"/>
      <c r="ED76" s="30"/>
      <c r="EE76" s="85"/>
      <c r="EF76" s="85"/>
      <c r="EG76" s="85"/>
      <c r="EI76" s="81"/>
      <c r="EJ76" s="30"/>
      <c r="EK76" s="30"/>
      <c r="EM76" s="30"/>
      <c r="EN76" s="30"/>
      <c r="EO76" s="30"/>
      <c r="EP76" s="30"/>
      <c r="EQ76" s="30"/>
      <c r="ER76" s="30"/>
      <c r="ES76" s="30"/>
      <c r="ET76" s="85"/>
      <c r="EU76" s="85"/>
      <c r="EV76" s="85"/>
    </row>
    <row r="77" spans="2:152">
      <c r="B77" s="11">
        <f t="shared" si="1"/>
        <v>0.17</v>
      </c>
      <c r="C77" s="28">
        <v>3.9</v>
      </c>
      <c r="D77" s="16"/>
      <c r="E77" s="8"/>
      <c r="F77" s="27">
        <f t="shared" si="2"/>
        <v>-4.9880239520958112</v>
      </c>
      <c r="G77" s="27">
        <f t="shared" si="3"/>
        <v>-0.57326435049106761</v>
      </c>
      <c r="H77" s="27">
        <f t="shared" si="4"/>
        <v>8.3276623427433874E-2</v>
      </c>
      <c r="I77" s="27">
        <f t="shared" si="5"/>
        <v>-5.8838568003492888</v>
      </c>
      <c r="J77" s="27">
        <f t="shared" si="6"/>
        <v>-9.1107474086197446E-2</v>
      </c>
      <c r="K77" s="27" t="e">
        <f t="shared" si="7"/>
        <v>#NUM!</v>
      </c>
      <c r="L77" s="27" t="e">
        <f t="shared" si="8"/>
        <v>#NUM!</v>
      </c>
      <c r="M77" s="17" t="e">
        <f t="shared" si="9"/>
        <v>#NUM!</v>
      </c>
      <c r="N77" s="17" t="e">
        <f t="shared" si="10"/>
        <v>#N/A</v>
      </c>
      <c r="O77" s="17" t="e">
        <f t="shared" si="11"/>
        <v>#N/A</v>
      </c>
      <c r="P77" s="17">
        <f t="shared" ref="P77:P108" si="15">IF(ISERROR(O77),0,IF(L77&lt;0,0,O77))</f>
        <v>0</v>
      </c>
      <c r="Q77" s="17">
        <f t="shared" ref="Q77:Q108" si="16">IF($P$10=P77,C77,0)</f>
        <v>0</v>
      </c>
      <c r="S77" s="81"/>
      <c r="T77" s="30"/>
      <c r="U77" s="30"/>
      <c r="W77" s="30"/>
      <c r="X77" s="30"/>
      <c r="Y77" s="30"/>
      <c r="Z77" s="30"/>
      <c r="AA77" s="30"/>
      <c r="AB77" s="30"/>
      <c r="AC77" s="30"/>
      <c r="AD77" s="85"/>
      <c r="AE77" s="85"/>
      <c r="AF77" s="85"/>
      <c r="AH77" s="81"/>
      <c r="AI77" s="30"/>
      <c r="AJ77" s="30"/>
      <c r="AL77" s="30"/>
      <c r="AM77" s="30"/>
      <c r="AN77" s="30"/>
      <c r="AO77" s="30"/>
      <c r="AP77" s="30"/>
      <c r="AQ77" s="30"/>
      <c r="AR77" s="30"/>
      <c r="AS77" s="85"/>
      <c r="AT77" s="85"/>
      <c r="AU77" s="85"/>
      <c r="AW77" s="81"/>
      <c r="AX77" s="30"/>
      <c r="AY77" s="30"/>
      <c r="BA77" s="30"/>
      <c r="BB77" s="30"/>
      <c r="BC77" s="30"/>
      <c r="BD77" s="30"/>
      <c r="BE77" s="30"/>
      <c r="BF77" s="30"/>
      <c r="BG77" s="30"/>
      <c r="BH77" s="85"/>
      <c r="BI77" s="85"/>
      <c r="BJ77" s="85"/>
      <c r="BL77" s="81"/>
      <c r="BM77" s="30"/>
      <c r="BN77" s="30"/>
      <c r="BP77" s="30"/>
      <c r="BQ77" s="30"/>
      <c r="BR77" s="30"/>
      <c r="BS77" s="30"/>
      <c r="BT77" s="30"/>
      <c r="BU77" s="30"/>
      <c r="BV77" s="30"/>
      <c r="BW77" s="85"/>
      <c r="BX77" s="85"/>
      <c r="BY77" s="85"/>
      <c r="CA77" s="81"/>
      <c r="CB77" s="30"/>
      <c r="CC77" s="30"/>
      <c r="CE77" s="30"/>
      <c r="CF77" s="30"/>
      <c r="CG77" s="30"/>
      <c r="CH77" s="30"/>
      <c r="CI77" s="30"/>
      <c r="CJ77" s="30"/>
      <c r="CK77" s="30"/>
      <c r="CL77" s="85"/>
      <c r="CM77" s="85"/>
      <c r="CN77" s="85"/>
      <c r="CP77" s="81"/>
      <c r="CQ77" s="30"/>
      <c r="CR77" s="30"/>
      <c r="CT77" s="30"/>
      <c r="CU77" s="30"/>
      <c r="CV77" s="30"/>
      <c r="CW77" s="30"/>
      <c r="CX77" s="30"/>
      <c r="CY77" s="30"/>
      <c r="CZ77" s="30"/>
      <c r="DA77" s="85"/>
      <c r="DB77" s="85"/>
      <c r="DC77" s="85"/>
      <c r="DE77" s="81"/>
      <c r="DF77" s="30"/>
      <c r="DG77" s="30"/>
      <c r="DI77" s="30"/>
      <c r="DJ77" s="30"/>
      <c r="DK77" s="30"/>
      <c r="DL77" s="30"/>
      <c r="DM77" s="30"/>
      <c r="DN77" s="30"/>
      <c r="DO77" s="30"/>
      <c r="DP77" s="85"/>
      <c r="DQ77" s="85"/>
      <c r="DR77" s="85"/>
      <c r="DT77" s="81"/>
      <c r="DU77" s="30"/>
      <c r="DV77" s="30"/>
      <c r="DX77" s="30"/>
      <c r="DY77" s="30"/>
      <c r="DZ77" s="30"/>
      <c r="EA77" s="30"/>
      <c r="EB77" s="30"/>
      <c r="EC77" s="30"/>
      <c r="ED77" s="30"/>
      <c r="EE77" s="85"/>
      <c r="EF77" s="85"/>
      <c r="EG77" s="85"/>
      <c r="EI77" s="81"/>
      <c r="EJ77" s="30"/>
      <c r="EK77" s="30"/>
      <c r="EM77" s="30"/>
      <c r="EN77" s="30"/>
      <c r="EO77" s="30"/>
      <c r="EP77" s="30"/>
      <c r="EQ77" s="30"/>
      <c r="ER77" s="30"/>
      <c r="ES77" s="30"/>
      <c r="ET77" s="85"/>
      <c r="EU77" s="85"/>
      <c r="EV77" s="85"/>
    </row>
    <row r="78" spans="2:152">
      <c r="B78" s="11">
        <f t="shared" ref="B78:B112" si="17">$C$10</f>
        <v>0.17</v>
      </c>
      <c r="C78" s="28">
        <v>3.96</v>
      </c>
      <c r="D78" s="16"/>
      <c r="E78" s="8"/>
      <c r="F78" s="27">
        <f t="shared" ref="F78:F112" si="18">(((1+C78)*B78)/(((1+C78)*B78)-1))</f>
        <v>-5.3775510204081653</v>
      </c>
      <c r="G78" s="27">
        <f t="shared" ref="G78:G112" si="19">(($C$2*($C$3-$D$13)*((1+C78)*B78+$C$8-1)))</f>
        <v>-0.57645436488005219</v>
      </c>
      <c r="H78" s="27">
        <f t="shared" ref="H78:H112" si="20">B78*(($C$5*($D$13-$C$6)-((C78*$E$13*($D$15-$D$13)))))</f>
        <v>8.6466637816418529E-2</v>
      </c>
      <c r="I78" s="27">
        <f t="shared" ref="I78:I112" si="21">(G78/H78)+1</f>
        <v>-5.6667836224180492</v>
      </c>
      <c r="J78" s="27">
        <f t="shared" ref="J78:J112" si="22">((C78+1)*B78-1)/((C78+1)*B78+$C$8-1)</f>
        <v>-8.506944444444442E-2</v>
      </c>
      <c r="K78" s="27" t="e">
        <f t="shared" ref="K78:K112" si="23">I78^J78</f>
        <v>#NUM!</v>
      </c>
      <c r="L78" s="27" t="e">
        <f t="shared" ref="L78:L112" si="24">(K78-1)*F78</f>
        <v>#NUM!</v>
      </c>
      <c r="M78" s="17" t="e">
        <f t="shared" ref="M78:M112" si="25">L78/(C78*(1+L78)+1)</f>
        <v>#NUM!</v>
      </c>
      <c r="N78" s="17" t="e">
        <f t="shared" ref="N78:N112" si="26">IFERROR(M78,NA())</f>
        <v>#N/A</v>
      </c>
      <c r="O78" s="17" t="e">
        <f t="shared" ref="O78:O112" si="27">IF(I78&lt;0,NA(),IF($C$2=0,NA(),IF(N78&lt;0,NA(),IF(ISERROR(N78),NA(),N78))))</f>
        <v>#N/A</v>
      </c>
      <c r="P78" s="17">
        <f t="shared" si="15"/>
        <v>0</v>
      </c>
      <c r="Q78" s="17">
        <f t="shared" si="16"/>
        <v>0</v>
      </c>
      <c r="S78" s="81"/>
      <c r="T78" s="30"/>
      <c r="U78" s="30"/>
      <c r="W78" s="30"/>
      <c r="X78" s="30"/>
      <c r="Y78" s="30"/>
      <c r="Z78" s="30"/>
      <c r="AA78" s="30"/>
      <c r="AB78" s="30"/>
      <c r="AC78" s="30"/>
      <c r="AD78" s="85"/>
      <c r="AE78" s="85"/>
      <c r="AF78" s="85"/>
      <c r="AH78" s="81"/>
      <c r="AI78" s="30"/>
      <c r="AJ78" s="30"/>
      <c r="AL78" s="30"/>
      <c r="AM78" s="30"/>
      <c r="AN78" s="30"/>
      <c r="AO78" s="30"/>
      <c r="AP78" s="30"/>
      <c r="AQ78" s="30"/>
      <c r="AR78" s="30"/>
      <c r="AS78" s="85"/>
      <c r="AT78" s="85"/>
      <c r="AU78" s="85"/>
      <c r="AW78" s="81"/>
      <c r="AX78" s="30"/>
      <c r="AY78" s="30"/>
      <c r="BA78" s="30"/>
      <c r="BB78" s="30"/>
      <c r="BC78" s="30"/>
      <c r="BD78" s="30"/>
      <c r="BE78" s="30"/>
      <c r="BF78" s="30"/>
      <c r="BG78" s="30"/>
      <c r="BH78" s="85"/>
      <c r="BI78" s="85"/>
      <c r="BJ78" s="85"/>
      <c r="BL78" s="81"/>
      <c r="BM78" s="30"/>
      <c r="BN78" s="30"/>
      <c r="BP78" s="30"/>
      <c r="BQ78" s="30"/>
      <c r="BR78" s="30"/>
      <c r="BS78" s="30"/>
      <c r="BT78" s="30"/>
      <c r="BU78" s="30"/>
      <c r="BV78" s="30"/>
      <c r="BW78" s="85"/>
      <c r="BX78" s="85"/>
      <c r="BY78" s="85"/>
      <c r="CA78" s="81"/>
      <c r="CB78" s="30"/>
      <c r="CC78" s="30"/>
      <c r="CE78" s="30"/>
      <c r="CF78" s="30"/>
      <c r="CG78" s="30"/>
      <c r="CH78" s="30"/>
      <c r="CI78" s="30"/>
      <c r="CJ78" s="30"/>
      <c r="CK78" s="30"/>
      <c r="CL78" s="85"/>
      <c r="CM78" s="85"/>
      <c r="CN78" s="85"/>
      <c r="CP78" s="81"/>
      <c r="CQ78" s="30"/>
      <c r="CR78" s="30"/>
      <c r="CT78" s="30"/>
      <c r="CU78" s="30"/>
      <c r="CV78" s="30"/>
      <c r="CW78" s="30"/>
      <c r="CX78" s="30"/>
      <c r="CY78" s="30"/>
      <c r="CZ78" s="30"/>
      <c r="DA78" s="85"/>
      <c r="DB78" s="85"/>
      <c r="DC78" s="85"/>
      <c r="DE78" s="81"/>
      <c r="DF78" s="30"/>
      <c r="DG78" s="30"/>
      <c r="DI78" s="30"/>
      <c r="DJ78" s="30"/>
      <c r="DK78" s="30"/>
      <c r="DL78" s="30"/>
      <c r="DM78" s="30"/>
      <c r="DN78" s="30"/>
      <c r="DO78" s="30"/>
      <c r="DP78" s="85"/>
      <c r="DQ78" s="85"/>
      <c r="DR78" s="85"/>
      <c r="DT78" s="81"/>
      <c r="DU78" s="30"/>
      <c r="DV78" s="30"/>
      <c r="DX78" s="30"/>
      <c r="DY78" s="30"/>
      <c r="DZ78" s="30"/>
      <c r="EA78" s="30"/>
      <c r="EB78" s="30"/>
      <c r="EC78" s="30"/>
      <c r="ED78" s="30"/>
      <c r="EE78" s="85"/>
      <c r="EF78" s="85"/>
      <c r="EG78" s="85"/>
      <c r="EI78" s="81"/>
      <c r="EJ78" s="30"/>
      <c r="EK78" s="30"/>
      <c r="EM78" s="30"/>
      <c r="EN78" s="30"/>
      <c r="EO78" s="30"/>
      <c r="EP78" s="30"/>
      <c r="EQ78" s="30"/>
      <c r="ER78" s="30"/>
      <c r="ES78" s="30"/>
      <c r="ET78" s="85"/>
      <c r="EU78" s="85"/>
      <c r="EV78" s="85"/>
    </row>
    <row r="79" spans="2:152">
      <c r="B79" s="11">
        <f t="shared" si="17"/>
        <v>0.17</v>
      </c>
      <c r="C79" s="28">
        <v>4.0199999999999996</v>
      </c>
      <c r="D79" s="16"/>
      <c r="E79" s="8"/>
      <c r="F79" s="27">
        <f t="shared" si="18"/>
        <v>-5.8212824010914019</v>
      </c>
      <c r="G79" s="27">
        <f t="shared" si="19"/>
        <v>-0.57964437926903678</v>
      </c>
      <c r="H79" s="27">
        <f t="shared" si="20"/>
        <v>8.9656652205403184E-2</v>
      </c>
      <c r="I79" s="27">
        <f t="shared" si="21"/>
        <v>-5.4651575205047012</v>
      </c>
      <c r="J79" s="27">
        <f t="shared" si="22"/>
        <v>-7.9097874177187916E-2</v>
      </c>
      <c r="K79" s="27" t="e">
        <f t="shared" si="23"/>
        <v>#NUM!</v>
      </c>
      <c r="L79" s="27" t="e">
        <f t="shared" si="24"/>
        <v>#NUM!</v>
      </c>
      <c r="M79" s="17" t="e">
        <f t="shared" si="25"/>
        <v>#NUM!</v>
      </c>
      <c r="N79" s="17" t="e">
        <f t="shared" si="26"/>
        <v>#N/A</v>
      </c>
      <c r="O79" s="17" t="e">
        <f t="shared" si="27"/>
        <v>#N/A</v>
      </c>
      <c r="P79" s="17">
        <f t="shared" si="15"/>
        <v>0</v>
      </c>
      <c r="Q79" s="17">
        <f t="shared" si="16"/>
        <v>0</v>
      </c>
      <c r="S79" s="81"/>
      <c r="T79" s="30"/>
      <c r="U79" s="30"/>
      <c r="W79" s="30"/>
      <c r="X79" s="30"/>
      <c r="Y79" s="30"/>
      <c r="Z79" s="30"/>
      <c r="AA79" s="30"/>
      <c r="AB79" s="30"/>
      <c r="AC79" s="30"/>
      <c r="AD79" s="85"/>
      <c r="AE79" s="85"/>
      <c r="AF79" s="85"/>
      <c r="AH79" s="81"/>
      <c r="AI79" s="30"/>
      <c r="AJ79" s="30"/>
      <c r="AL79" s="30"/>
      <c r="AM79" s="30"/>
      <c r="AN79" s="30"/>
      <c r="AO79" s="30"/>
      <c r="AP79" s="30"/>
      <c r="AQ79" s="30"/>
      <c r="AR79" s="30"/>
      <c r="AS79" s="85"/>
      <c r="AT79" s="85"/>
      <c r="AU79" s="85"/>
      <c r="AW79" s="81"/>
      <c r="AX79" s="30"/>
      <c r="AY79" s="30"/>
      <c r="BA79" s="30"/>
      <c r="BB79" s="30"/>
      <c r="BC79" s="30"/>
      <c r="BD79" s="30"/>
      <c r="BE79" s="30"/>
      <c r="BF79" s="30"/>
      <c r="BG79" s="30"/>
      <c r="BH79" s="85"/>
      <c r="BI79" s="85"/>
      <c r="BJ79" s="85"/>
      <c r="BL79" s="81"/>
      <c r="BM79" s="30"/>
      <c r="BN79" s="30"/>
      <c r="BP79" s="30"/>
      <c r="BQ79" s="30"/>
      <c r="BR79" s="30"/>
      <c r="BS79" s="30"/>
      <c r="BT79" s="30"/>
      <c r="BU79" s="30"/>
      <c r="BV79" s="30"/>
      <c r="BW79" s="85"/>
      <c r="BX79" s="85"/>
      <c r="BY79" s="85"/>
      <c r="CA79" s="81"/>
      <c r="CB79" s="30"/>
      <c r="CC79" s="30"/>
      <c r="CE79" s="30"/>
      <c r="CF79" s="30"/>
      <c r="CG79" s="30"/>
      <c r="CH79" s="30"/>
      <c r="CI79" s="30"/>
      <c r="CJ79" s="30"/>
      <c r="CK79" s="30"/>
      <c r="CL79" s="85"/>
      <c r="CM79" s="85"/>
      <c r="CN79" s="85"/>
      <c r="CP79" s="81"/>
      <c r="CQ79" s="30"/>
      <c r="CR79" s="30"/>
      <c r="CT79" s="30"/>
      <c r="CU79" s="30"/>
      <c r="CV79" s="30"/>
      <c r="CW79" s="30"/>
      <c r="CX79" s="30"/>
      <c r="CY79" s="30"/>
      <c r="CZ79" s="30"/>
      <c r="DA79" s="85"/>
      <c r="DB79" s="85"/>
      <c r="DC79" s="85"/>
      <c r="DE79" s="81"/>
      <c r="DF79" s="30"/>
      <c r="DG79" s="30"/>
      <c r="DI79" s="30"/>
      <c r="DJ79" s="30"/>
      <c r="DK79" s="30"/>
      <c r="DL79" s="30"/>
      <c r="DM79" s="30"/>
      <c r="DN79" s="30"/>
      <c r="DO79" s="30"/>
      <c r="DP79" s="85"/>
      <c r="DQ79" s="85"/>
      <c r="DR79" s="85"/>
      <c r="DT79" s="81"/>
      <c r="DU79" s="30"/>
      <c r="DV79" s="30"/>
      <c r="DX79" s="30"/>
      <c r="DY79" s="30"/>
      <c r="DZ79" s="30"/>
      <c r="EA79" s="30"/>
      <c r="EB79" s="30"/>
      <c r="EC79" s="30"/>
      <c r="ED79" s="30"/>
      <c r="EE79" s="85"/>
      <c r="EF79" s="85"/>
      <c r="EG79" s="85"/>
      <c r="EI79" s="81"/>
      <c r="EJ79" s="30"/>
      <c r="EK79" s="30"/>
      <c r="EM79" s="30"/>
      <c r="EN79" s="30"/>
      <c r="EO79" s="30"/>
      <c r="EP79" s="30"/>
      <c r="EQ79" s="30"/>
      <c r="ER79" s="30"/>
      <c r="ES79" s="30"/>
      <c r="ET79" s="85"/>
      <c r="EU79" s="85"/>
      <c r="EV79" s="85"/>
    </row>
    <row r="80" spans="2:152">
      <c r="B80" s="11">
        <f t="shared" si="17"/>
        <v>0.17</v>
      </c>
      <c r="C80" s="28">
        <v>4.08</v>
      </c>
      <c r="D80" s="16"/>
      <c r="E80" s="8"/>
      <c r="F80" s="27">
        <f t="shared" si="18"/>
        <v>-6.3313782991202361</v>
      </c>
      <c r="G80" s="27">
        <f t="shared" si="19"/>
        <v>-0.58283439365802159</v>
      </c>
      <c r="H80" s="27">
        <f t="shared" si="20"/>
        <v>9.2846666594387881E-2</v>
      </c>
      <c r="I80" s="27">
        <f t="shared" si="21"/>
        <v>-5.2773863083766441</v>
      </c>
      <c r="J80" s="27">
        <f t="shared" si="22"/>
        <v>-7.3191672032625013E-2</v>
      </c>
      <c r="K80" s="27" t="e">
        <f t="shared" si="23"/>
        <v>#NUM!</v>
      </c>
      <c r="L80" s="27" t="e">
        <f t="shared" si="24"/>
        <v>#NUM!</v>
      </c>
      <c r="M80" s="17" t="e">
        <f t="shared" si="25"/>
        <v>#NUM!</v>
      </c>
      <c r="N80" s="17" t="e">
        <f t="shared" si="26"/>
        <v>#N/A</v>
      </c>
      <c r="O80" s="17" t="e">
        <f t="shared" si="27"/>
        <v>#N/A</v>
      </c>
      <c r="P80" s="17">
        <f t="shared" si="15"/>
        <v>0</v>
      </c>
      <c r="Q80" s="17">
        <f t="shared" si="16"/>
        <v>0</v>
      </c>
      <c r="S80" s="81"/>
      <c r="T80" s="30"/>
      <c r="U80" s="30"/>
      <c r="W80" s="30"/>
      <c r="X80" s="30"/>
      <c r="Y80" s="30"/>
      <c r="Z80" s="30"/>
      <c r="AA80" s="30"/>
      <c r="AB80" s="30"/>
      <c r="AC80" s="30"/>
      <c r="AD80" s="85"/>
      <c r="AE80" s="85"/>
      <c r="AF80" s="85"/>
      <c r="AH80" s="81"/>
      <c r="AI80" s="30"/>
      <c r="AJ80" s="30"/>
      <c r="AL80" s="30"/>
      <c r="AM80" s="30"/>
      <c r="AN80" s="30"/>
      <c r="AO80" s="30"/>
      <c r="AP80" s="30"/>
      <c r="AQ80" s="30"/>
      <c r="AR80" s="30"/>
      <c r="AS80" s="85"/>
      <c r="AT80" s="85"/>
      <c r="AU80" s="85"/>
      <c r="AW80" s="81"/>
      <c r="AX80" s="30"/>
      <c r="AY80" s="30"/>
      <c r="BA80" s="30"/>
      <c r="BB80" s="30"/>
      <c r="BC80" s="30"/>
      <c r="BD80" s="30"/>
      <c r="BE80" s="30"/>
      <c r="BF80" s="30"/>
      <c r="BG80" s="30"/>
      <c r="BH80" s="85"/>
      <c r="BI80" s="85"/>
      <c r="BJ80" s="85"/>
      <c r="BL80" s="81"/>
      <c r="BM80" s="30"/>
      <c r="BN80" s="30"/>
      <c r="BP80" s="30"/>
      <c r="BQ80" s="30"/>
      <c r="BR80" s="30"/>
      <c r="BS80" s="30"/>
      <c r="BT80" s="30"/>
      <c r="BU80" s="30"/>
      <c r="BV80" s="30"/>
      <c r="BW80" s="85"/>
      <c r="BX80" s="85"/>
      <c r="BY80" s="85"/>
      <c r="CA80" s="81"/>
      <c r="CB80" s="30"/>
      <c r="CC80" s="30"/>
      <c r="CE80" s="30"/>
      <c r="CF80" s="30"/>
      <c r="CG80" s="30"/>
      <c r="CH80" s="30"/>
      <c r="CI80" s="30"/>
      <c r="CJ80" s="30"/>
      <c r="CK80" s="30"/>
      <c r="CL80" s="85"/>
      <c r="CM80" s="85"/>
      <c r="CN80" s="85"/>
      <c r="CP80" s="81"/>
      <c r="CQ80" s="30"/>
      <c r="CR80" s="30"/>
      <c r="CT80" s="30"/>
      <c r="CU80" s="30"/>
      <c r="CV80" s="30"/>
      <c r="CW80" s="30"/>
      <c r="CX80" s="30"/>
      <c r="CY80" s="30"/>
      <c r="CZ80" s="30"/>
      <c r="DA80" s="85"/>
      <c r="DB80" s="85"/>
      <c r="DC80" s="85"/>
      <c r="DE80" s="81"/>
      <c r="DF80" s="30"/>
      <c r="DG80" s="30"/>
      <c r="DI80" s="30"/>
      <c r="DJ80" s="30"/>
      <c r="DK80" s="30"/>
      <c r="DL80" s="30"/>
      <c r="DM80" s="30"/>
      <c r="DN80" s="30"/>
      <c r="DO80" s="30"/>
      <c r="DP80" s="85"/>
      <c r="DQ80" s="85"/>
      <c r="DR80" s="85"/>
      <c r="DT80" s="81"/>
      <c r="DU80" s="30"/>
      <c r="DV80" s="30"/>
      <c r="DX80" s="30"/>
      <c r="DY80" s="30"/>
      <c r="DZ80" s="30"/>
      <c r="EA80" s="30"/>
      <c r="EB80" s="30"/>
      <c r="EC80" s="30"/>
      <c r="ED80" s="30"/>
      <c r="EE80" s="85"/>
      <c r="EF80" s="85"/>
      <c r="EG80" s="85"/>
      <c r="EI80" s="81"/>
      <c r="EJ80" s="30"/>
      <c r="EK80" s="30"/>
      <c r="EM80" s="30"/>
      <c r="EN80" s="30"/>
      <c r="EO80" s="30"/>
      <c r="EP80" s="30"/>
      <c r="EQ80" s="30"/>
      <c r="ER80" s="30"/>
      <c r="ES80" s="30"/>
      <c r="ET80" s="85"/>
      <c r="EU80" s="85"/>
      <c r="EV80" s="85"/>
    </row>
    <row r="81" spans="2:152">
      <c r="B81" s="11">
        <f t="shared" si="17"/>
        <v>0.17</v>
      </c>
      <c r="C81" s="28">
        <v>4.1399999999999997</v>
      </c>
      <c r="D81" s="16"/>
      <c r="E81" s="8"/>
      <c r="F81" s="27">
        <f t="shared" si="18"/>
        <v>-6.9239302694136304</v>
      </c>
      <c r="G81" s="27">
        <f t="shared" si="19"/>
        <v>-0.58602440804700628</v>
      </c>
      <c r="H81" s="27">
        <f t="shared" si="20"/>
        <v>9.6036680983372494E-2</v>
      </c>
      <c r="I81" s="27">
        <f t="shared" si="21"/>
        <v>-5.1020893480114005</v>
      </c>
      <c r="J81" s="27">
        <f t="shared" si="22"/>
        <v>-6.7349770519799318E-2</v>
      </c>
      <c r="K81" s="27" t="e">
        <f t="shared" si="23"/>
        <v>#NUM!</v>
      </c>
      <c r="L81" s="27" t="e">
        <f t="shared" si="24"/>
        <v>#NUM!</v>
      </c>
      <c r="M81" s="17" t="e">
        <f t="shared" si="25"/>
        <v>#NUM!</v>
      </c>
      <c r="N81" s="17" t="e">
        <f t="shared" si="26"/>
        <v>#N/A</v>
      </c>
      <c r="O81" s="17" t="e">
        <f t="shared" si="27"/>
        <v>#N/A</v>
      </c>
      <c r="P81" s="17">
        <f t="shared" si="15"/>
        <v>0</v>
      </c>
      <c r="Q81" s="17">
        <f t="shared" si="16"/>
        <v>0</v>
      </c>
      <c r="S81" s="81"/>
      <c r="T81" s="30"/>
      <c r="U81" s="30"/>
      <c r="W81" s="30"/>
      <c r="X81" s="30"/>
      <c r="Y81" s="30"/>
      <c r="Z81" s="30"/>
      <c r="AA81" s="30"/>
      <c r="AB81" s="30"/>
      <c r="AC81" s="30"/>
      <c r="AD81" s="85"/>
      <c r="AE81" s="85"/>
      <c r="AF81" s="85"/>
      <c r="AH81" s="81"/>
      <c r="AI81" s="30"/>
      <c r="AJ81" s="30"/>
      <c r="AL81" s="30"/>
      <c r="AM81" s="30"/>
      <c r="AN81" s="30"/>
      <c r="AO81" s="30"/>
      <c r="AP81" s="30"/>
      <c r="AQ81" s="30"/>
      <c r="AR81" s="30"/>
      <c r="AS81" s="85"/>
      <c r="AT81" s="85"/>
      <c r="AU81" s="85"/>
      <c r="AW81" s="81"/>
      <c r="AX81" s="30"/>
      <c r="AY81" s="30"/>
      <c r="BA81" s="30"/>
      <c r="BB81" s="30"/>
      <c r="BC81" s="30"/>
      <c r="BD81" s="30"/>
      <c r="BE81" s="30"/>
      <c r="BF81" s="30"/>
      <c r="BG81" s="30"/>
      <c r="BH81" s="85"/>
      <c r="BI81" s="85"/>
      <c r="BJ81" s="85"/>
      <c r="BL81" s="81"/>
      <c r="BM81" s="30"/>
      <c r="BN81" s="30"/>
      <c r="BP81" s="30"/>
      <c r="BQ81" s="30"/>
      <c r="BR81" s="30"/>
      <c r="BS81" s="30"/>
      <c r="BT81" s="30"/>
      <c r="BU81" s="30"/>
      <c r="BV81" s="30"/>
      <c r="BW81" s="85"/>
      <c r="BX81" s="85"/>
      <c r="BY81" s="85"/>
      <c r="CA81" s="81"/>
      <c r="CB81" s="30"/>
      <c r="CC81" s="30"/>
      <c r="CE81" s="30"/>
      <c r="CF81" s="30"/>
      <c r="CG81" s="30"/>
      <c r="CH81" s="30"/>
      <c r="CI81" s="30"/>
      <c r="CJ81" s="30"/>
      <c r="CK81" s="30"/>
      <c r="CL81" s="85"/>
      <c r="CM81" s="85"/>
      <c r="CN81" s="85"/>
      <c r="CP81" s="81"/>
      <c r="CQ81" s="30"/>
      <c r="CR81" s="30"/>
      <c r="CT81" s="30"/>
      <c r="CU81" s="30"/>
      <c r="CV81" s="30"/>
      <c r="CW81" s="30"/>
      <c r="CX81" s="30"/>
      <c r="CY81" s="30"/>
      <c r="CZ81" s="30"/>
      <c r="DA81" s="85"/>
      <c r="DB81" s="85"/>
      <c r="DC81" s="85"/>
      <c r="DE81" s="81"/>
      <c r="DF81" s="30"/>
      <c r="DG81" s="30"/>
      <c r="DI81" s="30"/>
      <c r="DJ81" s="30"/>
      <c r="DK81" s="30"/>
      <c r="DL81" s="30"/>
      <c r="DM81" s="30"/>
      <c r="DN81" s="30"/>
      <c r="DO81" s="30"/>
      <c r="DP81" s="85"/>
      <c r="DQ81" s="85"/>
      <c r="DR81" s="85"/>
      <c r="DT81" s="81"/>
      <c r="DU81" s="30"/>
      <c r="DV81" s="30"/>
      <c r="DX81" s="30"/>
      <c r="DY81" s="30"/>
      <c r="DZ81" s="30"/>
      <c r="EA81" s="30"/>
      <c r="EB81" s="30"/>
      <c r="EC81" s="30"/>
      <c r="ED81" s="30"/>
      <c r="EE81" s="85"/>
      <c r="EF81" s="85"/>
      <c r="EG81" s="85"/>
      <c r="EI81" s="81"/>
      <c r="EJ81" s="30"/>
      <c r="EK81" s="30"/>
      <c r="EM81" s="30"/>
      <c r="EN81" s="30"/>
      <c r="EO81" s="30"/>
      <c r="EP81" s="30"/>
      <c r="EQ81" s="30"/>
      <c r="ER81" s="30"/>
      <c r="ES81" s="30"/>
      <c r="ET81" s="85"/>
      <c r="EU81" s="85"/>
      <c r="EV81" s="85"/>
    </row>
    <row r="82" spans="2:152">
      <c r="B82" s="11">
        <f t="shared" si="17"/>
        <v>0.17</v>
      </c>
      <c r="C82" s="28">
        <v>4.2</v>
      </c>
      <c r="D82" s="16"/>
      <c r="E82" s="8"/>
      <c r="F82" s="27">
        <f t="shared" si="18"/>
        <v>-7.6206896551724226</v>
      </c>
      <c r="G82" s="27">
        <f t="shared" si="19"/>
        <v>-0.58921442243599098</v>
      </c>
      <c r="H82" s="27">
        <f t="shared" si="20"/>
        <v>9.922669537235719E-2</v>
      </c>
      <c r="I82" s="27">
        <f t="shared" si="21"/>
        <v>-4.9380635445422252</v>
      </c>
      <c r="J82" s="27">
        <f t="shared" si="22"/>
        <v>-6.1571125265392705E-2</v>
      </c>
      <c r="K82" s="27" t="e">
        <f t="shared" si="23"/>
        <v>#NUM!</v>
      </c>
      <c r="L82" s="27" t="e">
        <f t="shared" si="24"/>
        <v>#NUM!</v>
      </c>
      <c r="M82" s="17" t="e">
        <f t="shared" si="25"/>
        <v>#NUM!</v>
      </c>
      <c r="N82" s="17" t="e">
        <f t="shared" si="26"/>
        <v>#N/A</v>
      </c>
      <c r="O82" s="17" t="e">
        <f t="shared" si="27"/>
        <v>#N/A</v>
      </c>
      <c r="P82" s="17">
        <f t="shared" si="15"/>
        <v>0</v>
      </c>
      <c r="Q82" s="17">
        <f t="shared" si="16"/>
        <v>0</v>
      </c>
      <c r="S82" s="81"/>
      <c r="T82" s="30"/>
      <c r="U82" s="30"/>
      <c r="W82" s="30"/>
      <c r="X82" s="30"/>
      <c r="Y82" s="30"/>
      <c r="Z82" s="30"/>
      <c r="AA82" s="30"/>
      <c r="AB82" s="30"/>
      <c r="AC82" s="30"/>
      <c r="AD82" s="85"/>
      <c r="AE82" s="85"/>
      <c r="AF82" s="85"/>
      <c r="AH82" s="81"/>
      <c r="AI82" s="30"/>
      <c r="AJ82" s="30"/>
      <c r="AL82" s="30"/>
      <c r="AM82" s="30"/>
      <c r="AN82" s="30"/>
      <c r="AO82" s="30"/>
      <c r="AP82" s="30"/>
      <c r="AQ82" s="30"/>
      <c r="AR82" s="30"/>
      <c r="AS82" s="85"/>
      <c r="AT82" s="85"/>
      <c r="AU82" s="85"/>
      <c r="AW82" s="81"/>
      <c r="AX82" s="30"/>
      <c r="AY82" s="30"/>
      <c r="BA82" s="30"/>
      <c r="BB82" s="30"/>
      <c r="BC82" s="30"/>
      <c r="BD82" s="30"/>
      <c r="BE82" s="30"/>
      <c r="BF82" s="30"/>
      <c r="BG82" s="30"/>
      <c r="BH82" s="85"/>
      <c r="BI82" s="85"/>
      <c r="BJ82" s="85"/>
      <c r="BL82" s="81"/>
      <c r="BM82" s="30"/>
      <c r="BN82" s="30"/>
      <c r="BP82" s="30"/>
      <c r="BQ82" s="30"/>
      <c r="BR82" s="30"/>
      <c r="BS82" s="30"/>
      <c r="BT82" s="30"/>
      <c r="BU82" s="30"/>
      <c r="BV82" s="30"/>
      <c r="BW82" s="85"/>
      <c r="BX82" s="85"/>
      <c r="BY82" s="85"/>
      <c r="CA82" s="81"/>
      <c r="CB82" s="30"/>
      <c r="CC82" s="30"/>
      <c r="CE82" s="30"/>
      <c r="CF82" s="30"/>
      <c r="CG82" s="30"/>
      <c r="CH82" s="30"/>
      <c r="CI82" s="30"/>
      <c r="CJ82" s="30"/>
      <c r="CK82" s="30"/>
      <c r="CL82" s="85"/>
      <c r="CM82" s="85"/>
      <c r="CN82" s="85"/>
      <c r="CP82" s="81"/>
      <c r="CQ82" s="30"/>
      <c r="CR82" s="30"/>
      <c r="CT82" s="30"/>
      <c r="CU82" s="30"/>
      <c r="CV82" s="30"/>
      <c r="CW82" s="30"/>
      <c r="CX82" s="30"/>
      <c r="CY82" s="30"/>
      <c r="CZ82" s="30"/>
      <c r="DA82" s="85"/>
      <c r="DB82" s="85"/>
      <c r="DC82" s="85"/>
      <c r="DE82" s="81"/>
      <c r="DF82" s="30"/>
      <c r="DG82" s="30"/>
      <c r="DI82" s="30"/>
      <c r="DJ82" s="30"/>
      <c r="DK82" s="30"/>
      <c r="DL82" s="30"/>
      <c r="DM82" s="30"/>
      <c r="DN82" s="30"/>
      <c r="DO82" s="30"/>
      <c r="DP82" s="85"/>
      <c r="DQ82" s="85"/>
      <c r="DR82" s="85"/>
      <c r="DT82" s="81"/>
      <c r="DU82" s="30"/>
      <c r="DV82" s="30"/>
      <c r="DX82" s="30"/>
      <c r="DY82" s="30"/>
      <c r="DZ82" s="30"/>
      <c r="EA82" s="30"/>
      <c r="EB82" s="30"/>
      <c r="EC82" s="30"/>
      <c r="ED82" s="30"/>
      <c r="EE82" s="85"/>
      <c r="EF82" s="85"/>
      <c r="EG82" s="85"/>
      <c r="EI82" s="81"/>
      <c r="EJ82" s="30"/>
      <c r="EK82" s="30"/>
      <c r="EM82" s="30"/>
      <c r="EN82" s="30"/>
      <c r="EO82" s="30"/>
      <c r="EP82" s="30"/>
      <c r="EQ82" s="30"/>
      <c r="ER82" s="30"/>
      <c r="ES82" s="30"/>
      <c r="ET82" s="85"/>
      <c r="EU82" s="85"/>
      <c r="EV82" s="85"/>
    </row>
    <row r="83" spans="2:152">
      <c r="B83" s="11">
        <f t="shared" si="17"/>
        <v>0.17</v>
      </c>
      <c r="C83" s="28">
        <v>4.26</v>
      </c>
      <c r="D83" s="16"/>
      <c r="E83" s="8"/>
      <c r="F83" s="27">
        <f t="shared" si="18"/>
        <v>-8.4517958412098295</v>
      </c>
      <c r="G83" s="27">
        <f t="shared" si="19"/>
        <v>-0.59240443682497557</v>
      </c>
      <c r="H83" s="27">
        <f t="shared" si="20"/>
        <v>0.10241670976134185</v>
      </c>
      <c r="I83" s="27">
        <f t="shared" si="21"/>
        <v>-4.7842556962182767</v>
      </c>
      <c r="J83" s="27">
        <f t="shared" si="22"/>
        <v>-5.5854714391299756E-2</v>
      </c>
      <c r="K83" s="27" t="e">
        <f t="shared" si="23"/>
        <v>#NUM!</v>
      </c>
      <c r="L83" s="27" t="e">
        <f t="shared" si="24"/>
        <v>#NUM!</v>
      </c>
      <c r="M83" s="17" t="e">
        <f t="shared" si="25"/>
        <v>#NUM!</v>
      </c>
      <c r="N83" s="17" t="e">
        <f t="shared" si="26"/>
        <v>#N/A</v>
      </c>
      <c r="O83" s="17" t="e">
        <f t="shared" si="27"/>
        <v>#N/A</v>
      </c>
      <c r="P83" s="17">
        <f t="shared" si="15"/>
        <v>0</v>
      </c>
      <c r="Q83" s="17">
        <f t="shared" si="16"/>
        <v>0</v>
      </c>
      <c r="S83" s="81"/>
      <c r="T83" s="30"/>
      <c r="U83" s="30"/>
      <c r="W83" s="30"/>
      <c r="X83" s="30"/>
      <c r="Y83" s="30"/>
      <c r="Z83" s="30"/>
      <c r="AA83" s="30"/>
      <c r="AB83" s="30"/>
      <c r="AC83" s="30"/>
      <c r="AD83" s="85"/>
      <c r="AE83" s="85"/>
      <c r="AF83" s="85"/>
      <c r="AH83" s="81"/>
      <c r="AI83" s="30"/>
      <c r="AJ83" s="30"/>
      <c r="AL83" s="30"/>
      <c r="AM83" s="30"/>
      <c r="AN83" s="30"/>
      <c r="AO83" s="30"/>
      <c r="AP83" s="30"/>
      <c r="AQ83" s="30"/>
      <c r="AR83" s="30"/>
      <c r="AS83" s="85"/>
      <c r="AT83" s="85"/>
      <c r="AU83" s="85"/>
      <c r="AW83" s="81"/>
      <c r="AX83" s="30"/>
      <c r="AY83" s="30"/>
      <c r="BA83" s="30"/>
      <c r="BB83" s="30"/>
      <c r="BC83" s="30"/>
      <c r="BD83" s="30"/>
      <c r="BE83" s="30"/>
      <c r="BF83" s="30"/>
      <c r="BG83" s="30"/>
      <c r="BH83" s="85"/>
      <c r="BI83" s="85"/>
      <c r="BJ83" s="85"/>
      <c r="BL83" s="81"/>
      <c r="BM83" s="30"/>
      <c r="BN83" s="30"/>
      <c r="BP83" s="30"/>
      <c r="BQ83" s="30"/>
      <c r="BR83" s="30"/>
      <c r="BS83" s="30"/>
      <c r="BT83" s="30"/>
      <c r="BU83" s="30"/>
      <c r="BV83" s="30"/>
      <c r="BW83" s="85"/>
      <c r="BX83" s="85"/>
      <c r="BY83" s="85"/>
      <c r="CA83" s="81"/>
      <c r="CB83" s="30"/>
      <c r="CC83" s="30"/>
      <c r="CE83" s="30"/>
      <c r="CF83" s="30"/>
      <c r="CG83" s="30"/>
      <c r="CH83" s="30"/>
      <c r="CI83" s="30"/>
      <c r="CJ83" s="30"/>
      <c r="CK83" s="30"/>
      <c r="CL83" s="85"/>
      <c r="CM83" s="85"/>
      <c r="CN83" s="85"/>
      <c r="CP83" s="81"/>
      <c r="CQ83" s="30"/>
      <c r="CR83" s="30"/>
      <c r="CT83" s="30"/>
      <c r="CU83" s="30"/>
      <c r="CV83" s="30"/>
      <c r="CW83" s="30"/>
      <c r="CX83" s="30"/>
      <c r="CY83" s="30"/>
      <c r="CZ83" s="30"/>
      <c r="DA83" s="85"/>
      <c r="DB83" s="85"/>
      <c r="DC83" s="85"/>
      <c r="DE83" s="81"/>
      <c r="DF83" s="30"/>
      <c r="DG83" s="30"/>
      <c r="DI83" s="30"/>
      <c r="DJ83" s="30"/>
      <c r="DK83" s="30"/>
      <c r="DL83" s="30"/>
      <c r="DM83" s="30"/>
      <c r="DN83" s="30"/>
      <c r="DO83" s="30"/>
      <c r="DP83" s="85"/>
      <c r="DQ83" s="85"/>
      <c r="DR83" s="85"/>
      <c r="DT83" s="81"/>
      <c r="DU83" s="30"/>
      <c r="DV83" s="30"/>
      <c r="DX83" s="30"/>
      <c r="DY83" s="30"/>
      <c r="DZ83" s="30"/>
      <c r="EA83" s="30"/>
      <c r="EB83" s="30"/>
      <c r="EC83" s="30"/>
      <c r="ED83" s="30"/>
      <c r="EE83" s="85"/>
      <c r="EF83" s="85"/>
      <c r="EG83" s="85"/>
      <c r="EI83" s="81"/>
      <c r="EJ83" s="30"/>
      <c r="EK83" s="30"/>
      <c r="EM83" s="30"/>
      <c r="EN83" s="30"/>
      <c r="EO83" s="30"/>
      <c r="EP83" s="30"/>
      <c r="EQ83" s="30"/>
      <c r="ER83" s="30"/>
      <c r="ES83" s="30"/>
      <c r="ET83" s="85"/>
      <c r="EU83" s="85"/>
      <c r="EV83" s="85"/>
    </row>
    <row r="84" spans="2:152">
      <c r="B84" s="11">
        <f t="shared" si="17"/>
        <v>0.17</v>
      </c>
      <c r="C84" s="28">
        <v>4.32</v>
      </c>
      <c r="D84" s="16"/>
      <c r="E84" s="8"/>
      <c r="F84" s="27">
        <f t="shared" si="18"/>
        <v>-9.4602510460251139</v>
      </c>
      <c r="G84" s="27">
        <f t="shared" si="19"/>
        <v>-0.59559445121396015</v>
      </c>
      <c r="H84" s="27">
        <f t="shared" si="20"/>
        <v>0.10560672415032654</v>
      </c>
      <c r="I84" s="27">
        <f t="shared" si="21"/>
        <v>-4.6397398556379565</v>
      </c>
      <c r="J84" s="27">
        <f t="shared" si="22"/>
        <v>-5.0199537912203274E-2</v>
      </c>
      <c r="K84" s="27" t="e">
        <f t="shared" si="23"/>
        <v>#NUM!</v>
      </c>
      <c r="L84" s="27" t="e">
        <f t="shared" si="24"/>
        <v>#NUM!</v>
      </c>
      <c r="M84" s="17" t="e">
        <f t="shared" si="25"/>
        <v>#NUM!</v>
      </c>
      <c r="N84" s="17" t="e">
        <f t="shared" si="26"/>
        <v>#N/A</v>
      </c>
      <c r="O84" s="17" t="e">
        <f t="shared" si="27"/>
        <v>#N/A</v>
      </c>
      <c r="P84" s="17">
        <f t="shared" si="15"/>
        <v>0</v>
      </c>
      <c r="Q84" s="17">
        <f t="shared" si="16"/>
        <v>0</v>
      </c>
      <c r="S84" s="81"/>
      <c r="T84" s="30"/>
      <c r="U84" s="30"/>
      <c r="W84" s="30"/>
      <c r="X84" s="30"/>
      <c r="Y84" s="30"/>
      <c r="Z84" s="30"/>
      <c r="AA84" s="30"/>
      <c r="AB84" s="30"/>
      <c r="AC84" s="30"/>
      <c r="AD84" s="85"/>
      <c r="AE84" s="85"/>
      <c r="AF84" s="85"/>
      <c r="AH84" s="81"/>
      <c r="AI84" s="30"/>
      <c r="AJ84" s="30"/>
      <c r="AL84" s="30"/>
      <c r="AM84" s="30"/>
      <c r="AN84" s="30"/>
      <c r="AO84" s="30"/>
      <c r="AP84" s="30"/>
      <c r="AQ84" s="30"/>
      <c r="AR84" s="30"/>
      <c r="AS84" s="85"/>
      <c r="AT84" s="85"/>
      <c r="AU84" s="85"/>
      <c r="AW84" s="81"/>
      <c r="AX84" s="30"/>
      <c r="AY84" s="30"/>
      <c r="BA84" s="30"/>
      <c r="BB84" s="30"/>
      <c r="BC84" s="30"/>
      <c r="BD84" s="30"/>
      <c r="BE84" s="30"/>
      <c r="BF84" s="30"/>
      <c r="BG84" s="30"/>
      <c r="BH84" s="85"/>
      <c r="BI84" s="85"/>
      <c r="BJ84" s="85"/>
      <c r="BL84" s="81"/>
      <c r="BM84" s="30"/>
      <c r="BN84" s="30"/>
      <c r="BP84" s="30"/>
      <c r="BQ84" s="30"/>
      <c r="BR84" s="30"/>
      <c r="BS84" s="30"/>
      <c r="BT84" s="30"/>
      <c r="BU84" s="30"/>
      <c r="BV84" s="30"/>
      <c r="BW84" s="85"/>
      <c r="BX84" s="85"/>
      <c r="BY84" s="85"/>
      <c r="CA84" s="81"/>
      <c r="CB84" s="30"/>
      <c r="CC84" s="30"/>
      <c r="CE84" s="30"/>
      <c r="CF84" s="30"/>
      <c r="CG84" s="30"/>
      <c r="CH84" s="30"/>
      <c r="CI84" s="30"/>
      <c r="CJ84" s="30"/>
      <c r="CK84" s="30"/>
      <c r="CL84" s="85"/>
      <c r="CM84" s="85"/>
      <c r="CN84" s="85"/>
      <c r="CP84" s="81"/>
      <c r="CQ84" s="30"/>
      <c r="CR84" s="30"/>
      <c r="CT84" s="30"/>
      <c r="CU84" s="30"/>
      <c r="CV84" s="30"/>
      <c r="CW84" s="30"/>
      <c r="CX84" s="30"/>
      <c r="CY84" s="30"/>
      <c r="CZ84" s="30"/>
      <c r="DA84" s="85"/>
      <c r="DB84" s="85"/>
      <c r="DC84" s="85"/>
      <c r="DE84" s="81"/>
      <c r="DF84" s="30"/>
      <c r="DG84" s="30"/>
      <c r="DI84" s="30"/>
      <c r="DJ84" s="30"/>
      <c r="DK84" s="30"/>
      <c r="DL84" s="30"/>
      <c r="DM84" s="30"/>
      <c r="DN84" s="30"/>
      <c r="DO84" s="30"/>
      <c r="DP84" s="85"/>
      <c r="DQ84" s="85"/>
      <c r="DR84" s="85"/>
      <c r="DT84" s="81"/>
      <c r="DU84" s="30"/>
      <c r="DV84" s="30"/>
      <c r="DX84" s="30"/>
      <c r="DY84" s="30"/>
      <c r="DZ84" s="30"/>
      <c r="EA84" s="30"/>
      <c r="EB84" s="30"/>
      <c r="EC84" s="30"/>
      <c r="ED84" s="30"/>
      <c r="EE84" s="85"/>
      <c r="EF84" s="85"/>
      <c r="EG84" s="85"/>
      <c r="EI84" s="81"/>
      <c r="EJ84" s="30"/>
      <c r="EK84" s="30"/>
      <c r="EM84" s="30"/>
      <c r="EN84" s="30"/>
      <c r="EO84" s="30"/>
      <c r="EP84" s="30"/>
      <c r="EQ84" s="30"/>
      <c r="ER84" s="30"/>
      <c r="ES84" s="30"/>
      <c r="ET84" s="85"/>
      <c r="EU84" s="85"/>
      <c r="EV84" s="85"/>
    </row>
    <row r="85" spans="2:152">
      <c r="B85" s="11">
        <f t="shared" si="17"/>
        <v>0.17</v>
      </c>
      <c r="C85" s="28">
        <v>4.38</v>
      </c>
      <c r="D85" s="16"/>
      <c r="E85" s="8"/>
      <c r="F85" s="27">
        <f t="shared" si="18"/>
        <v>-10.709601873536311</v>
      </c>
      <c r="G85" s="27">
        <f t="shared" si="19"/>
        <v>-0.59878446560294496</v>
      </c>
      <c r="H85" s="27">
        <f t="shared" si="20"/>
        <v>0.10879673853931117</v>
      </c>
      <c r="I85" s="27">
        <f t="shared" si="21"/>
        <v>-4.5036986737115114</v>
      </c>
      <c r="J85" s="27">
        <f t="shared" si="22"/>
        <v>-4.4604617152407773E-2</v>
      </c>
      <c r="K85" s="27" t="e">
        <f t="shared" si="23"/>
        <v>#NUM!</v>
      </c>
      <c r="L85" s="27" t="e">
        <f t="shared" si="24"/>
        <v>#NUM!</v>
      </c>
      <c r="M85" s="17" t="e">
        <f t="shared" si="25"/>
        <v>#NUM!</v>
      </c>
      <c r="N85" s="17" t="e">
        <f t="shared" si="26"/>
        <v>#N/A</v>
      </c>
      <c r="O85" s="17" t="e">
        <f t="shared" si="27"/>
        <v>#N/A</v>
      </c>
      <c r="P85" s="17">
        <f t="shared" si="15"/>
        <v>0</v>
      </c>
      <c r="Q85" s="17">
        <f t="shared" si="16"/>
        <v>0</v>
      </c>
      <c r="S85" s="81"/>
      <c r="T85" s="30"/>
      <c r="U85" s="30"/>
      <c r="W85" s="30"/>
      <c r="X85" s="30"/>
      <c r="Y85" s="30"/>
      <c r="Z85" s="30"/>
      <c r="AA85" s="30"/>
      <c r="AB85" s="30"/>
      <c r="AC85" s="30"/>
      <c r="AD85" s="85"/>
      <c r="AE85" s="85"/>
      <c r="AF85" s="85"/>
      <c r="AH85" s="81"/>
      <c r="AI85" s="30"/>
      <c r="AJ85" s="30"/>
      <c r="AL85" s="30"/>
      <c r="AM85" s="30"/>
      <c r="AN85" s="30"/>
      <c r="AO85" s="30"/>
      <c r="AP85" s="30"/>
      <c r="AQ85" s="30"/>
      <c r="AR85" s="30"/>
      <c r="AS85" s="85"/>
      <c r="AT85" s="85"/>
      <c r="AU85" s="85"/>
      <c r="AW85" s="81"/>
      <c r="AX85" s="30"/>
      <c r="AY85" s="30"/>
      <c r="BA85" s="30"/>
      <c r="BB85" s="30"/>
      <c r="BC85" s="30"/>
      <c r="BD85" s="30"/>
      <c r="BE85" s="30"/>
      <c r="BF85" s="30"/>
      <c r="BG85" s="30"/>
      <c r="BH85" s="85"/>
      <c r="BI85" s="85"/>
      <c r="BJ85" s="85"/>
      <c r="BL85" s="81"/>
      <c r="BM85" s="30"/>
      <c r="BN85" s="30"/>
      <c r="BP85" s="30"/>
      <c r="BQ85" s="30"/>
      <c r="BR85" s="30"/>
      <c r="BS85" s="30"/>
      <c r="BT85" s="30"/>
      <c r="BU85" s="30"/>
      <c r="BV85" s="30"/>
      <c r="BW85" s="85"/>
      <c r="BX85" s="85"/>
      <c r="BY85" s="85"/>
      <c r="CA85" s="81"/>
      <c r="CB85" s="30"/>
      <c r="CC85" s="30"/>
      <c r="CE85" s="30"/>
      <c r="CF85" s="30"/>
      <c r="CG85" s="30"/>
      <c r="CH85" s="30"/>
      <c r="CI85" s="30"/>
      <c r="CJ85" s="30"/>
      <c r="CK85" s="30"/>
      <c r="CL85" s="85"/>
      <c r="CM85" s="85"/>
      <c r="CN85" s="85"/>
      <c r="CP85" s="81"/>
      <c r="CQ85" s="30"/>
      <c r="CR85" s="30"/>
      <c r="CT85" s="30"/>
      <c r="CU85" s="30"/>
      <c r="CV85" s="30"/>
      <c r="CW85" s="30"/>
      <c r="CX85" s="30"/>
      <c r="CY85" s="30"/>
      <c r="CZ85" s="30"/>
      <c r="DA85" s="85"/>
      <c r="DB85" s="85"/>
      <c r="DC85" s="85"/>
      <c r="DE85" s="81"/>
      <c r="DF85" s="30"/>
      <c r="DG85" s="30"/>
      <c r="DI85" s="30"/>
      <c r="DJ85" s="30"/>
      <c r="DK85" s="30"/>
      <c r="DL85" s="30"/>
      <c r="DM85" s="30"/>
      <c r="DN85" s="30"/>
      <c r="DO85" s="30"/>
      <c r="DP85" s="85"/>
      <c r="DQ85" s="85"/>
      <c r="DR85" s="85"/>
      <c r="DT85" s="81"/>
      <c r="DU85" s="30"/>
      <c r="DV85" s="30"/>
      <c r="DX85" s="30"/>
      <c r="DY85" s="30"/>
      <c r="DZ85" s="30"/>
      <c r="EA85" s="30"/>
      <c r="EB85" s="30"/>
      <c r="EC85" s="30"/>
      <c r="ED85" s="30"/>
      <c r="EE85" s="85"/>
      <c r="EF85" s="85"/>
      <c r="EG85" s="85"/>
      <c r="EI85" s="81"/>
      <c r="EJ85" s="30"/>
      <c r="EK85" s="30"/>
      <c r="EM85" s="30"/>
      <c r="EN85" s="30"/>
      <c r="EO85" s="30"/>
      <c r="EP85" s="30"/>
      <c r="EQ85" s="30"/>
      <c r="ER85" s="30"/>
      <c r="ES85" s="30"/>
      <c r="ET85" s="85"/>
      <c r="EU85" s="85"/>
      <c r="EV85" s="85"/>
    </row>
    <row r="86" spans="2:152">
      <c r="B86" s="11">
        <f t="shared" si="17"/>
        <v>0.17</v>
      </c>
      <c r="C86" s="28">
        <v>4.4400000000000004</v>
      </c>
      <c r="D86" s="16"/>
      <c r="E86" s="8"/>
      <c r="F86" s="27">
        <f t="shared" si="18"/>
        <v>-12.297872340425563</v>
      </c>
      <c r="G86" s="27">
        <f t="shared" si="19"/>
        <v>-0.60197447999192966</v>
      </c>
      <c r="H86" s="27">
        <f t="shared" si="20"/>
        <v>0.11198675292829585</v>
      </c>
      <c r="I86" s="27">
        <f t="shared" si="21"/>
        <v>-4.3754079321986294</v>
      </c>
      <c r="J86" s="27">
        <f t="shared" si="22"/>
        <v>-3.9068994181213533E-2</v>
      </c>
      <c r="K86" s="27" t="e">
        <f t="shared" si="23"/>
        <v>#NUM!</v>
      </c>
      <c r="L86" s="27" t="e">
        <f t="shared" si="24"/>
        <v>#NUM!</v>
      </c>
      <c r="M86" s="17" t="e">
        <f t="shared" si="25"/>
        <v>#NUM!</v>
      </c>
      <c r="N86" s="17" t="e">
        <f t="shared" si="26"/>
        <v>#N/A</v>
      </c>
      <c r="O86" s="17" t="e">
        <f t="shared" si="27"/>
        <v>#N/A</v>
      </c>
      <c r="P86" s="17">
        <f t="shared" si="15"/>
        <v>0</v>
      </c>
      <c r="Q86" s="17">
        <f t="shared" si="16"/>
        <v>0</v>
      </c>
      <c r="S86" s="81"/>
      <c r="T86" s="30"/>
      <c r="U86" s="30"/>
      <c r="W86" s="30"/>
      <c r="X86" s="30"/>
      <c r="Y86" s="30"/>
      <c r="Z86" s="30"/>
      <c r="AA86" s="30"/>
      <c r="AB86" s="30"/>
      <c r="AC86" s="30"/>
      <c r="AD86" s="85"/>
      <c r="AE86" s="85"/>
      <c r="AF86" s="85"/>
      <c r="AH86" s="81"/>
      <c r="AI86" s="30"/>
      <c r="AJ86" s="30"/>
      <c r="AL86" s="30"/>
      <c r="AM86" s="30"/>
      <c r="AN86" s="30"/>
      <c r="AO86" s="30"/>
      <c r="AP86" s="30"/>
      <c r="AQ86" s="30"/>
      <c r="AR86" s="30"/>
      <c r="AS86" s="85"/>
      <c r="AT86" s="85"/>
      <c r="AU86" s="85"/>
      <c r="AW86" s="81"/>
      <c r="AX86" s="30"/>
      <c r="AY86" s="30"/>
      <c r="BA86" s="30"/>
      <c r="BB86" s="30"/>
      <c r="BC86" s="30"/>
      <c r="BD86" s="30"/>
      <c r="BE86" s="30"/>
      <c r="BF86" s="30"/>
      <c r="BG86" s="30"/>
      <c r="BH86" s="85"/>
      <c r="BI86" s="85"/>
      <c r="BJ86" s="85"/>
      <c r="BL86" s="81"/>
      <c r="BM86" s="30"/>
      <c r="BN86" s="30"/>
      <c r="BP86" s="30"/>
      <c r="BQ86" s="30"/>
      <c r="BR86" s="30"/>
      <c r="BS86" s="30"/>
      <c r="BT86" s="30"/>
      <c r="BU86" s="30"/>
      <c r="BV86" s="30"/>
      <c r="BW86" s="85"/>
      <c r="BX86" s="85"/>
      <c r="BY86" s="85"/>
      <c r="CA86" s="81"/>
      <c r="CB86" s="30"/>
      <c r="CC86" s="30"/>
      <c r="CE86" s="30"/>
      <c r="CF86" s="30"/>
      <c r="CG86" s="30"/>
      <c r="CH86" s="30"/>
      <c r="CI86" s="30"/>
      <c r="CJ86" s="30"/>
      <c r="CK86" s="30"/>
      <c r="CL86" s="85"/>
      <c r="CM86" s="85"/>
      <c r="CN86" s="85"/>
      <c r="CP86" s="81"/>
      <c r="CQ86" s="30"/>
      <c r="CR86" s="30"/>
      <c r="CT86" s="30"/>
      <c r="CU86" s="30"/>
      <c r="CV86" s="30"/>
      <c r="CW86" s="30"/>
      <c r="CX86" s="30"/>
      <c r="CY86" s="30"/>
      <c r="CZ86" s="30"/>
      <c r="DA86" s="85"/>
      <c r="DB86" s="85"/>
      <c r="DC86" s="85"/>
      <c r="DE86" s="81"/>
      <c r="DF86" s="30"/>
      <c r="DG86" s="30"/>
      <c r="DI86" s="30"/>
      <c r="DJ86" s="30"/>
      <c r="DK86" s="30"/>
      <c r="DL86" s="30"/>
      <c r="DM86" s="30"/>
      <c r="DN86" s="30"/>
      <c r="DO86" s="30"/>
      <c r="DP86" s="85"/>
      <c r="DQ86" s="85"/>
      <c r="DR86" s="85"/>
      <c r="DT86" s="81"/>
      <c r="DU86" s="30"/>
      <c r="DV86" s="30"/>
      <c r="DX86" s="30"/>
      <c r="DY86" s="30"/>
      <c r="DZ86" s="30"/>
      <c r="EA86" s="30"/>
      <c r="EB86" s="30"/>
      <c r="EC86" s="30"/>
      <c r="ED86" s="30"/>
      <c r="EE86" s="85"/>
      <c r="EF86" s="85"/>
      <c r="EG86" s="85"/>
      <c r="EI86" s="81"/>
      <c r="EJ86" s="30"/>
      <c r="EK86" s="30"/>
      <c r="EM86" s="30"/>
      <c r="EN86" s="30"/>
      <c r="EO86" s="30"/>
      <c r="EP86" s="30"/>
      <c r="EQ86" s="30"/>
      <c r="ER86" s="30"/>
      <c r="ES86" s="30"/>
      <c r="ET86" s="85"/>
      <c r="EU86" s="85"/>
      <c r="EV86" s="85"/>
    </row>
    <row r="87" spans="2:152">
      <c r="B87" s="11">
        <f t="shared" si="17"/>
        <v>0.17</v>
      </c>
      <c r="C87" s="28">
        <v>4.5</v>
      </c>
      <c r="D87" s="16"/>
      <c r="E87" s="8"/>
      <c r="F87" s="27">
        <f t="shared" si="18"/>
        <v>-14.384615384615397</v>
      </c>
      <c r="G87" s="27">
        <f t="shared" si="19"/>
        <v>-0.60516449438091424</v>
      </c>
      <c r="H87" s="27">
        <f t="shared" si="20"/>
        <v>0.11517676731728052</v>
      </c>
      <c r="I87" s="27">
        <f t="shared" si="21"/>
        <v>-4.2542236466304999</v>
      </c>
      <c r="J87" s="27">
        <f t="shared" si="22"/>
        <v>-3.3591731266149845E-2</v>
      </c>
      <c r="K87" s="27" t="e">
        <f t="shared" si="23"/>
        <v>#NUM!</v>
      </c>
      <c r="L87" s="27" t="e">
        <f t="shared" si="24"/>
        <v>#NUM!</v>
      </c>
      <c r="M87" s="17" t="e">
        <f t="shared" si="25"/>
        <v>#NUM!</v>
      </c>
      <c r="N87" s="17" t="e">
        <f t="shared" si="26"/>
        <v>#N/A</v>
      </c>
      <c r="O87" s="17" t="e">
        <f t="shared" si="27"/>
        <v>#N/A</v>
      </c>
      <c r="P87" s="17">
        <f t="shared" si="15"/>
        <v>0</v>
      </c>
      <c r="Q87" s="17">
        <f t="shared" si="16"/>
        <v>0</v>
      </c>
      <c r="S87" s="81"/>
      <c r="T87" s="30"/>
      <c r="U87" s="30"/>
      <c r="W87" s="30"/>
      <c r="X87" s="30"/>
      <c r="Y87" s="30"/>
      <c r="Z87" s="30"/>
      <c r="AA87" s="30"/>
      <c r="AB87" s="30"/>
      <c r="AC87" s="30"/>
      <c r="AD87" s="85"/>
      <c r="AE87" s="85"/>
      <c r="AF87" s="85"/>
      <c r="AH87" s="81"/>
      <c r="AI87" s="30"/>
      <c r="AJ87" s="30"/>
      <c r="AL87" s="30"/>
      <c r="AM87" s="30"/>
      <c r="AN87" s="30"/>
      <c r="AO87" s="30"/>
      <c r="AP87" s="30"/>
      <c r="AQ87" s="30"/>
      <c r="AR87" s="30"/>
      <c r="AS87" s="85"/>
      <c r="AT87" s="85"/>
      <c r="AU87" s="85"/>
      <c r="AW87" s="81"/>
      <c r="AX87" s="30"/>
      <c r="AY87" s="30"/>
      <c r="BA87" s="30"/>
      <c r="BB87" s="30"/>
      <c r="BC87" s="30"/>
      <c r="BD87" s="30"/>
      <c r="BE87" s="30"/>
      <c r="BF87" s="30"/>
      <c r="BG87" s="30"/>
      <c r="BH87" s="85"/>
      <c r="BI87" s="85"/>
      <c r="BJ87" s="85"/>
      <c r="BL87" s="81"/>
      <c r="BM87" s="30"/>
      <c r="BN87" s="30"/>
      <c r="BP87" s="30"/>
      <c r="BQ87" s="30"/>
      <c r="BR87" s="30"/>
      <c r="BS87" s="30"/>
      <c r="BT87" s="30"/>
      <c r="BU87" s="30"/>
      <c r="BV87" s="30"/>
      <c r="BW87" s="85"/>
      <c r="BX87" s="85"/>
      <c r="BY87" s="85"/>
      <c r="CA87" s="81"/>
      <c r="CB87" s="30"/>
      <c r="CC87" s="30"/>
      <c r="CE87" s="30"/>
      <c r="CF87" s="30"/>
      <c r="CG87" s="30"/>
      <c r="CH87" s="30"/>
      <c r="CI87" s="30"/>
      <c r="CJ87" s="30"/>
      <c r="CK87" s="30"/>
      <c r="CL87" s="85"/>
      <c r="CM87" s="85"/>
      <c r="CN87" s="85"/>
      <c r="CP87" s="81"/>
      <c r="CQ87" s="30"/>
      <c r="CR87" s="30"/>
      <c r="CT87" s="30"/>
      <c r="CU87" s="30"/>
      <c r="CV87" s="30"/>
      <c r="CW87" s="30"/>
      <c r="CX87" s="30"/>
      <c r="CY87" s="30"/>
      <c r="CZ87" s="30"/>
      <c r="DA87" s="85"/>
      <c r="DB87" s="85"/>
      <c r="DC87" s="85"/>
      <c r="DE87" s="81"/>
      <c r="DF87" s="30"/>
      <c r="DG87" s="30"/>
      <c r="DI87" s="30"/>
      <c r="DJ87" s="30"/>
      <c r="DK87" s="30"/>
      <c r="DL87" s="30"/>
      <c r="DM87" s="30"/>
      <c r="DN87" s="30"/>
      <c r="DO87" s="30"/>
      <c r="DP87" s="85"/>
      <c r="DQ87" s="85"/>
      <c r="DR87" s="85"/>
      <c r="DT87" s="81"/>
      <c r="DU87" s="30"/>
      <c r="DV87" s="30"/>
      <c r="DX87" s="30"/>
      <c r="DY87" s="30"/>
      <c r="DZ87" s="30"/>
      <c r="EA87" s="30"/>
      <c r="EB87" s="30"/>
      <c r="EC87" s="30"/>
      <c r="ED87" s="30"/>
      <c r="EE87" s="85"/>
      <c r="EF87" s="85"/>
      <c r="EG87" s="85"/>
      <c r="EI87" s="81"/>
      <c r="EJ87" s="30"/>
      <c r="EK87" s="30"/>
      <c r="EM87" s="30"/>
      <c r="EN87" s="30"/>
      <c r="EO87" s="30"/>
      <c r="EP87" s="30"/>
      <c r="EQ87" s="30"/>
      <c r="ER87" s="30"/>
      <c r="ES87" s="30"/>
      <c r="ET87" s="85"/>
      <c r="EU87" s="85"/>
      <c r="EV87" s="85"/>
    </row>
    <row r="88" spans="2:152">
      <c r="B88" s="11">
        <f t="shared" si="17"/>
        <v>0.17</v>
      </c>
      <c r="C88" s="28">
        <v>4.5599999999999996</v>
      </c>
      <c r="D88" s="16"/>
      <c r="E88" s="8"/>
      <c r="F88" s="27">
        <f t="shared" si="18"/>
        <v>-17.248175182481766</v>
      </c>
      <c r="G88" s="27">
        <f t="shared" si="19"/>
        <v>-0.60835450876989883</v>
      </c>
      <c r="H88" s="27">
        <f t="shared" si="20"/>
        <v>0.11836678170626518</v>
      </c>
      <c r="I88" s="27">
        <f t="shared" si="21"/>
        <v>-4.1395712547086889</v>
      </c>
      <c r="J88" s="27">
        <f t="shared" si="22"/>
        <v>-2.81719103434094E-2</v>
      </c>
      <c r="K88" s="27" t="e">
        <f t="shared" si="23"/>
        <v>#NUM!</v>
      </c>
      <c r="L88" s="27" t="e">
        <f t="shared" si="24"/>
        <v>#NUM!</v>
      </c>
      <c r="M88" s="17" t="e">
        <f t="shared" si="25"/>
        <v>#NUM!</v>
      </c>
      <c r="N88" s="17" t="e">
        <f t="shared" si="26"/>
        <v>#N/A</v>
      </c>
      <c r="O88" s="17" t="e">
        <f t="shared" si="27"/>
        <v>#N/A</v>
      </c>
      <c r="P88" s="17">
        <f t="shared" si="15"/>
        <v>0</v>
      </c>
      <c r="Q88" s="17">
        <f t="shared" si="16"/>
        <v>0</v>
      </c>
      <c r="S88" s="81"/>
      <c r="T88" s="30"/>
      <c r="U88" s="30"/>
      <c r="W88" s="30"/>
      <c r="X88" s="30"/>
      <c r="Y88" s="30"/>
      <c r="Z88" s="30"/>
      <c r="AA88" s="30"/>
      <c r="AB88" s="30"/>
      <c r="AC88" s="30"/>
      <c r="AD88" s="85"/>
      <c r="AE88" s="85"/>
      <c r="AF88" s="85"/>
      <c r="AH88" s="81"/>
      <c r="AI88" s="30"/>
      <c r="AJ88" s="30"/>
      <c r="AL88" s="30"/>
      <c r="AM88" s="30"/>
      <c r="AN88" s="30"/>
      <c r="AO88" s="30"/>
      <c r="AP88" s="30"/>
      <c r="AQ88" s="30"/>
      <c r="AR88" s="30"/>
      <c r="AS88" s="85"/>
      <c r="AT88" s="85"/>
      <c r="AU88" s="85"/>
      <c r="AW88" s="81"/>
      <c r="AX88" s="30"/>
      <c r="AY88" s="30"/>
      <c r="BA88" s="30"/>
      <c r="BB88" s="30"/>
      <c r="BC88" s="30"/>
      <c r="BD88" s="30"/>
      <c r="BE88" s="30"/>
      <c r="BF88" s="30"/>
      <c r="BG88" s="30"/>
      <c r="BH88" s="85"/>
      <c r="BI88" s="85"/>
      <c r="BJ88" s="85"/>
      <c r="BL88" s="81"/>
      <c r="BM88" s="30"/>
      <c r="BN88" s="30"/>
      <c r="BP88" s="30"/>
      <c r="BQ88" s="30"/>
      <c r="BR88" s="30"/>
      <c r="BS88" s="30"/>
      <c r="BT88" s="30"/>
      <c r="BU88" s="30"/>
      <c r="BV88" s="30"/>
      <c r="BW88" s="85"/>
      <c r="BX88" s="85"/>
      <c r="BY88" s="85"/>
      <c r="CA88" s="81"/>
      <c r="CB88" s="30"/>
      <c r="CC88" s="30"/>
      <c r="CE88" s="30"/>
      <c r="CF88" s="30"/>
      <c r="CG88" s="30"/>
      <c r="CH88" s="30"/>
      <c r="CI88" s="30"/>
      <c r="CJ88" s="30"/>
      <c r="CK88" s="30"/>
      <c r="CL88" s="85"/>
      <c r="CM88" s="85"/>
      <c r="CN88" s="85"/>
      <c r="CP88" s="81"/>
      <c r="CQ88" s="30"/>
      <c r="CR88" s="30"/>
      <c r="CT88" s="30"/>
      <c r="CU88" s="30"/>
      <c r="CV88" s="30"/>
      <c r="CW88" s="30"/>
      <c r="CX88" s="30"/>
      <c r="CY88" s="30"/>
      <c r="CZ88" s="30"/>
      <c r="DA88" s="85"/>
      <c r="DB88" s="85"/>
      <c r="DC88" s="85"/>
      <c r="DE88" s="81"/>
      <c r="DF88" s="30"/>
      <c r="DG88" s="30"/>
      <c r="DI88" s="30"/>
      <c r="DJ88" s="30"/>
      <c r="DK88" s="30"/>
      <c r="DL88" s="30"/>
      <c r="DM88" s="30"/>
      <c r="DN88" s="30"/>
      <c r="DO88" s="30"/>
      <c r="DP88" s="85"/>
      <c r="DQ88" s="85"/>
      <c r="DR88" s="85"/>
      <c r="DT88" s="81"/>
      <c r="DU88" s="30"/>
      <c r="DV88" s="30"/>
      <c r="DX88" s="30"/>
      <c r="DY88" s="30"/>
      <c r="DZ88" s="30"/>
      <c r="EA88" s="30"/>
      <c r="EB88" s="30"/>
      <c r="EC88" s="30"/>
      <c r="ED88" s="30"/>
      <c r="EE88" s="85"/>
      <c r="EF88" s="85"/>
      <c r="EG88" s="85"/>
      <c r="EI88" s="81"/>
      <c r="EJ88" s="30"/>
      <c r="EK88" s="30"/>
      <c r="EM88" s="30"/>
      <c r="EN88" s="30"/>
      <c r="EO88" s="30"/>
      <c r="EP88" s="30"/>
      <c r="EQ88" s="30"/>
      <c r="ER88" s="30"/>
      <c r="ES88" s="30"/>
      <c r="ET88" s="85"/>
      <c r="EU88" s="85"/>
      <c r="EV88" s="85"/>
    </row>
    <row r="89" spans="2:152">
      <c r="B89" s="11">
        <f t="shared" si="17"/>
        <v>0.17</v>
      </c>
      <c r="C89" s="28">
        <v>4.62</v>
      </c>
      <c r="D89" s="16"/>
      <c r="E89" s="8"/>
      <c r="F89" s="27">
        <f t="shared" si="18"/>
        <v>-21.4215246636772</v>
      </c>
      <c r="G89" s="27">
        <f t="shared" si="19"/>
        <v>-0.61154452315888352</v>
      </c>
      <c r="H89" s="27">
        <f t="shared" si="20"/>
        <v>0.12155679609524987</v>
      </c>
      <c r="I89" s="27">
        <f t="shared" si="21"/>
        <v>-4.0309365070768024</v>
      </c>
      <c r="J89" s="27">
        <f t="shared" si="22"/>
        <v>-2.2808632504858269E-2</v>
      </c>
      <c r="K89" s="27" t="e">
        <f t="shared" si="23"/>
        <v>#NUM!</v>
      </c>
      <c r="L89" s="27" t="e">
        <f t="shared" si="24"/>
        <v>#NUM!</v>
      </c>
      <c r="M89" s="17" t="e">
        <f t="shared" si="25"/>
        <v>#NUM!</v>
      </c>
      <c r="N89" s="17" t="e">
        <f t="shared" si="26"/>
        <v>#N/A</v>
      </c>
      <c r="O89" s="17" t="e">
        <f t="shared" si="27"/>
        <v>#N/A</v>
      </c>
      <c r="P89" s="17">
        <f t="shared" si="15"/>
        <v>0</v>
      </c>
      <c r="Q89" s="17">
        <f t="shared" si="16"/>
        <v>0</v>
      </c>
      <c r="S89" s="81"/>
      <c r="T89" s="30"/>
      <c r="U89" s="30"/>
      <c r="W89" s="30"/>
      <c r="X89" s="30"/>
      <c r="Y89" s="30"/>
      <c r="Z89" s="30"/>
      <c r="AA89" s="30"/>
      <c r="AB89" s="30"/>
      <c r="AC89" s="30"/>
      <c r="AD89" s="85"/>
      <c r="AE89" s="85"/>
      <c r="AF89" s="85"/>
      <c r="AH89" s="81"/>
      <c r="AI89" s="30"/>
      <c r="AJ89" s="30"/>
      <c r="AL89" s="30"/>
      <c r="AM89" s="30"/>
      <c r="AN89" s="30"/>
      <c r="AO89" s="30"/>
      <c r="AP89" s="30"/>
      <c r="AQ89" s="30"/>
      <c r="AR89" s="30"/>
      <c r="AS89" s="85"/>
      <c r="AT89" s="85"/>
      <c r="AU89" s="85"/>
      <c r="AW89" s="81"/>
      <c r="AX89" s="30"/>
      <c r="AY89" s="30"/>
      <c r="BA89" s="30"/>
      <c r="BB89" s="30"/>
      <c r="BC89" s="30"/>
      <c r="BD89" s="30"/>
      <c r="BE89" s="30"/>
      <c r="BF89" s="30"/>
      <c r="BG89" s="30"/>
      <c r="BH89" s="85"/>
      <c r="BI89" s="85"/>
      <c r="BJ89" s="85"/>
      <c r="BL89" s="81"/>
      <c r="BM89" s="30"/>
      <c r="BN89" s="30"/>
      <c r="BP89" s="30"/>
      <c r="BQ89" s="30"/>
      <c r="BR89" s="30"/>
      <c r="BS89" s="30"/>
      <c r="BT89" s="30"/>
      <c r="BU89" s="30"/>
      <c r="BV89" s="30"/>
      <c r="BW89" s="85"/>
      <c r="BX89" s="85"/>
      <c r="BY89" s="85"/>
      <c r="CA89" s="81"/>
      <c r="CB89" s="30"/>
      <c r="CC89" s="30"/>
      <c r="CE89" s="30"/>
      <c r="CF89" s="30"/>
      <c r="CG89" s="30"/>
      <c r="CH89" s="30"/>
      <c r="CI89" s="30"/>
      <c r="CJ89" s="30"/>
      <c r="CK89" s="30"/>
      <c r="CL89" s="85"/>
      <c r="CM89" s="85"/>
      <c r="CN89" s="85"/>
      <c r="CP89" s="81"/>
      <c r="CQ89" s="30"/>
      <c r="CR89" s="30"/>
      <c r="CT89" s="30"/>
      <c r="CU89" s="30"/>
      <c r="CV89" s="30"/>
      <c r="CW89" s="30"/>
      <c r="CX89" s="30"/>
      <c r="CY89" s="30"/>
      <c r="CZ89" s="30"/>
      <c r="DA89" s="85"/>
      <c r="DB89" s="85"/>
      <c r="DC89" s="85"/>
      <c r="DE89" s="81"/>
      <c r="DF89" s="30"/>
      <c r="DG89" s="30"/>
      <c r="DI89" s="30"/>
      <c r="DJ89" s="30"/>
      <c r="DK89" s="30"/>
      <c r="DL89" s="30"/>
      <c r="DM89" s="30"/>
      <c r="DN89" s="30"/>
      <c r="DO89" s="30"/>
      <c r="DP89" s="85"/>
      <c r="DQ89" s="85"/>
      <c r="DR89" s="85"/>
      <c r="DT89" s="81"/>
      <c r="DU89" s="30"/>
      <c r="DV89" s="30"/>
      <c r="DX89" s="30"/>
      <c r="DY89" s="30"/>
      <c r="DZ89" s="30"/>
      <c r="EA89" s="30"/>
      <c r="EB89" s="30"/>
      <c r="EC89" s="30"/>
      <c r="ED89" s="30"/>
      <c r="EE89" s="85"/>
      <c r="EF89" s="85"/>
      <c r="EG89" s="85"/>
      <c r="EI89" s="81"/>
      <c r="EJ89" s="30"/>
      <c r="EK89" s="30"/>
      <c r="EM89" s="30"/>
      <c r="EN89" s="30"/>
      <c r="EO89" s="30"/>
      <c r="EP89" s="30"/>
      <c r="EQ89" s="30"/>
      <c r="ER89" s="30"/>
      <c r="ES89" s="30"/>
      <c r="ET89" s="85"/>
      <c r="EU89" s="85"/>
      <c r="EV89" s="85"/>
    </row>
    <row r="90" spans="2:152">
      <c r="B90" s="11">
        <f t="shared" si="17"/>
        <v>0.17</v>
      </c>
      <c r="C90" s="28">
        <v>4.68</v>
      </c>
      <c r="D90" s="16"/>
      <c r="E90" s="8"/>
      <c r="F90" s="27">
        <f t="shared" si="18"/>
        <v>-28.069767441860478</v>
      </c>
      <c r="G90" s="27">
        <f t="shared" si="19"/>
        <v>-0.61473453754786833</v>
      </c>
      <c r="H90" s="27">
        <f t="shared" si="20"/>
        <v>0.12474681048423449</v>
      </c>
      <c r="I90" s="27">
        <f t="shared" si="21"/>
        <v>-3.9278577557344327</v>
      </c>
      <c r="J90" s="27">
        <f t="shared" si="22"/>
        <v>-1.7501017501017492E-2</v>
      </c>
      <c r="K90" s="27" t="e">
        <f t="shared" si="23"/>
        <v>#NUM!</v>
      </c>
      <c r="L90" s="27" t="e">
        <f t="shared" si="24"/>
        <v>#NUM!</v>
      </c>
      <c r="M90" s="17" t="e">
        <f t="shared" si="25"/>
        <v>#NUM!</v>
      </c>
      <c r="N90" s="17" t="e">
        <f t="shared" si="26"/>
        <v>#N/A</v>
      </c>
      <c r="O90" s="17" t="e">
        <f t="shared" si="27"/>
        <v>#N/A</v>
      </c>
      <c r="P90" s="17">
        <f t="shared" si="15"/>
        <v>0</v>
      </c>
      <c r="Q90" s="17">
        <f t="shared" si="16"/>
        <v>0</v>
      </c>
      <c r="S90" s="81"/>
      <c r="T90" s="30"/>
      <c r="U90" s="30"/>
      <c r="W90" s="30"/>
      <c r="X90" s="30"/>
      <c r="Y90" s="30"/>
      <c r="Z90" s="30"/>
      <c r="AA90" s="30"/>
      <c r="AB90" s="30"/>
      <c r="AC90" s="30"/>
      <c r="AD90" s="85"/>
      <c r="AE90" s="85"/>
      <c r="AF90" s="85"/>
      <c r="AH90" s="81"/>
      <c r="AI90" s="30"/>
      <c r="AJ90" s="30"/>
      <c r="AL90" s="30"/>
      <c r="AM90" s="30"/>
      <c r="AN90" s="30"/>
      <c r="AO90" s="30"/>
      <c r="AP90" s="30"/>
      <c r="AQ90" s="30"/>
      <c r="AR90" s="30"/>
      <c r="AS90" s="85"/>
      <c r="AT90" s="85"/>
      <c r="AU90" s="85"/>
      <c r="AW90" s="81"/>
      <c r="AX90" s="30"/>
      <c r="AY90" s="30"/>
      <c r="BA90" s="30"/>
      <c r="BB90" s="30"/>
      <c r="BC90" s="30"/>
      <c r="BD90" s="30"/>
      <c r="BE90" s="30"/>
      <c r="BF90" s="30"/>
      <c r="BG90" s="30"/>
      <c r="BH90" s="85"/>
      <c r="BI90" s="85"/>
      <c r="BJ90" s="85"/>
      <c r="BL90" s="81"/>
      <c r="BM90" s="30"/>
      <c r="BN90" s="30"/>
      <c r="BP90" s="30"/>
      <c r="BQ90" s="30"/>
      <c r="BR90" s="30"/>
      <c r="BS90" s="30"/>
      <c r="BT90" s="30"/>
      <c r="BU90" s="30"/>
      <c r="BV90" s="30"/>
      <c r="BW90" s="85"/>
      <c r="BX90" s="85"/>
      <c r="BY90" s="85"/>
      <c r="CA90" s="81"/>
      <c r="CB90" s="30"/>
      <c r="CC90" s="30"/>
      <c r="CE90" s="30"/>
      <c r="CF90" s="30"/>
      <c r="CG90" s="30"/>
      <c r="CH90" s="30"/>
      <c r="CI90" s="30"/>
      <c r="CJ90" s="30"/>
      <c r="CK90" s="30"/>
      <c r="CL90" s="85"/>
      <c r="CM90" s="85"/>
      <c r="CN90" s="85"/>
      <c r="CP90" s="81"/>
      <c r="CQ90" s="30"/>
      <c r="CR90" s="30"/>
      <c r="CT90" s="30"/>
      <c r="CU90" s="30"/>
      <c r="CV90" s="30"/>
      <c r="CW90" s="30"/>
      <c r="CX90" s="30"/>
      <c r="CY90" s="30"/>
      <c r="CZ90" s="30"/>
      <c r="DA90" s="85"/>
      <c r="DB90" s="85"/>
      <c r="DC90" s="85"/>
      <c r="DE90" s="81"/>
      <c r="DF90" s="30"/>
      <c r="DG90" s="30"/>
      <c r="DI90" s="30"/>
      <c r="DJ90" s="30"/>
      <c r="DK90" s="30"/>
      <c r="DL90" s="30"/>
      <c r="DM90" s="30"/>
      <c r="DN90" s="30"/>
      <c r="DO90" s="30"/>
      <c r="DP90" s="85"/>
      <c r="DQ90" s="85"/>
      <c r="DR90" s="85"/>
      <c r="DT90" s="81"/>
      <c r="DU90" s="30"/>
      <c r="DV90" s="30"/>
      <c r="DX90" s="30"/>
      <c r="DY90" s="30"/>
      <c r="DZ90" s="30"/>
      <c r="EA90" s="30"/>
      <c r="EB90" s="30"/>
      <c r="EC90" s="30"/>
      <c r="ED90" s="30"/>
      <c r="EE90" s="85"/>
      <c r="EF90" s="85"/>
      <c r="EG90" s="85"/>
      <c r="EI90" s="81"/>
      <c r="EJ90" s="30"/>
      <c r="EK90" s="30"/>
      <c r="EM90" s="30"/>
      <c r="EN90" s="30"/>
      <c r="EO90" s="30"/>
      <c r="EP90" s="30"/>
      <c r="EQ90" s="30"/>
      <c r="ER90" s="30"/>
      <c r="ES90" s="30"/>
      <c r="ET90" s="85"/>
      <c r="EU90" s="85"/>
      <c r="EV90" s="85"/>
    </row>
    <row r="91" spans="2:152">
      <c r="B91" s="11">
        <f t="shared" si="17"/>
        <v>0.17</v>
      </c>
      <c r="C91" s="28">
        <v>4.74</v>
      </c>
      <c r="D91" s="16"/>
      <c r="E91" s="8"/>
      <c r="F91" s="27">
        <f t="shared" si="18"/>
        <v>-40.322314049586964</v>
      </c>
      <c r="G91" s="27">
        <f t="shared" si="19"/>
        <v>-0.61792455193685292</v>
      </c>
      <c r="H91" s="27">
        <f t="shared" si="20"/>
        <v>0.12793682487321917</v>
      </c>
      <c r="I91" s="27">
        <f t="shared" si="21"/>
        <v>-3.8299193961487958</v>
      </c>
      <c r="J91" s="27">
        <f t="shared" si="22"/>
        <v>-1.2248203259439159E-2</v>
      </c>
      <c r="K91" s="27" t="e">
        <f t="shared" si="23"/>
        <v>#NUM!</v>
      </c>
      <c r="L91" s="27" t="e">
        <f t="shared" si="24"/>
        <v>#NUM!</v>
      </c>
      <c r="M91" s="17" t="e">
        <f t="shared" si="25"/>
        <v>#NUM!</v>
      </c>
      <c r="N91" s="17" t="e">
        <f t="shared" si="26"/>
        <v>#N/A</v>
      </c>
      <c r="O91" s="17" t="e">
        <f t="shared" si="27"/>
        <v>#N/A</v>
      </c>
      <c r="P91" s="17">
        <f t="shared" si="15"/>
        <v>0</v>
      </c>
      <c r="Q91" s="17">
        <f t="shared" si="16"/>
        <v>0</v>
      </c>
      <c r="S91" s="81"/>
      <c r="T91" s="30"/>
      <c r="U91" s="30"/>
      <c r="W91" s="30"/>
      <c r="X91" s="30"/>
      <c r="Y91" s="30"/>
      <c r="Z91" s="30"/>
      <c r="AA91" s="30"/>
      <c r="AB91" s="30"/>
      <c r="AC91" s="30"/>
      <c r="AD91" s="85"/>
      <c r="AE91" s="85"/>
      <c r="AF91" s="85"/>
      <c r="AH91" s="81"/>
      <c r="AI91" s="30"/>
      <c r="AJ91" s="30"/>
      <c r="AL91" s="30"/>
      <c r="AM91" s="30"/>
      <c r="AN91" s="30"/>
      <c r="AO91" s="30"/>
      <c r="AP91" s="30"/>
      <c r="AQ91" s="30"/>
      <c r="AR91" s="30"/>
      <c r="AS91" s="85"/>
      <c r="AT91" s="85"/>
      <c r="AU91" s="85"/>
      <c r="AW91" s="81"/>
      <c r="AX91" s="30"/>
      <c r="AY91" s="30"/>
      <c r="BA91" s="30"/>
      <c r="BB91" s="30"/>
      <c r="BC91" s="30"/>
      <c r="BD91" s="30"/>
      <c r="BE91" s="30"/>
      <c r="BF91" s="30"/>
      <c r="BG91" s="30"/>
      <c r="BH91" s="85"/>
      <c r="BI91" s="85"/>
      <c r="BJ91" s="85"/>
      <c r="BL91" s="81"/>
      <c r="BM91" s="30"/>
      <c r="BN91" s="30"/>
      <c r="BP91" s="30"/>
      <c r="BQ91" s="30"/>
      <c r="BR91" s="30"/>
      <c r="BS91" s="30"/>
      <c r="BT91" s="30"/>
      <c r="BU91" s="30"/>
      <c r="BV91" s="30"/>
      <c r="BW91" s="85"/>
      <c r="BX91" s="85"/>
      <c r="BY91" s="85"/>
      <c r="CA91" s="81"/>
      <c r="CB91" s="30"/>
      <c r="CC91" s="30"/>
      <c r="CE91" s="30"/>
      <c r="CF91" s="30"/>
      <c r="CG91" s="30"/>
      <c r="CH91" s="30"/>
      <c r="CI91" s="30"/>
      <c r="CJ91" s="30"/>
      <c r="CK91" s="30"/>
      <c r="CL91" s="85"/>
      <c r="CM91" s="85"/>
      <c r="CN91" s="85"/>
      <c r="CP91" s="81"/>
      <c r="CQ91" s="30"/>
      <c r="CR91" s="30"/>
      <c r="CT91" s="30"/>
      <c r="CU91" s="30"/>
      <c r="CV91" s="30"/>
      <c r="CW91" s="30"/>
      <c r="CX91" s="30"/>
      <c r="CY91" s="30"/>
      <c r="CZ91" s="30"/>
      <c r="DA91" s="85"/>
      <c r="DB91" s="85"/>
      <c r="DC91" s="85"/>
      <c r="DE91" s="81"/>
      <c r="DF91" s="30"/>
      <c r="DG91" s="30"/>
      <c r="DI91" s="30"/>
      <c r="DJ91" s="30"/>
      <c r="DK91" s="30"/>
      <c r="DL91" s="30"/>
      <c r="DM91" s="30"/>
      <c r="DN91" s="30"/>
      <c r="DO91" s="30"/>
      <c r="DP91" s="85"/>
      <c r="DQ91" s="85"/>
      <c r="DR91" s="85"/>
      <c r="DT91" s="81"/>
      <c r="DU91" s="30"/>
      <c r="DV91" s="30"/>
      <c r="DX91" s="30"/>
      <c r="DY91" s="30"/>
      <c r="DZ91" s="30"/>
      <c r="EA91" s="30"/>
      <c r="EB91" s="30"/>
      <c r="EC91" s="30"/>
      <c r="ED91" s="30"/>
      <c r="EE91" s="85"/>
      <c r="EF91" s="85"/>
      <c r="EG91" s="85"/>
      <c r="EI91" s="81"/>
      <c r="EJ91" s="30"/>
      <c r="EK91" s="30"/>
      <c r="EM91" s="30"/>
      <c r="EN91" s="30"/>
      <c r="EO91" s="30"/>
      <c r="EP91" s="30"/>
      <c r="EQ91" s="30"/>
      <c r="ER91" s="30"/>
      <c r="ES91" s="30"/>
      <c r="ET91" s="85"/>
      <c r="EU91" s="85"/>
      <c r="EV91" s="85"/>
    </row>
    <row r="92" spans="2:152">
      <c r="B92" s="11">
        <f t="shared" si="17"/>
        <v>0.17</v>
      </c>
      <c r="C92" s="28">
        <v>4.8</v>
      </c>
      <c r="D92" s="16"/>
      <c r="E92" s="8"/>
      <c r="F92" s="27">
        <f t="shared" si="18"/>
        <v>-70.42857142857136</v>
      </c>
      <c r="G92" s="27">
        <f t="shared" si="19"/>
        <v>-0.6211145663258375</v>
      </c>
      <c r="H92" s="27">
        <f t="shared" si="20"/>
        <v>0.13112683926220384</v>
      </c>
      <c r="I92" s="27">
        <f t="shared" si="21"/>
        <v>-3.7367462665964553</v>
      </c>
      <c r="J92" s="27">
        <f t="shared" si="22"/>
        <v>-7.0493454179254853E-3</v>
      </c>
      <c r="K92" s="27" t="e">
        <f t="shared" si="23"/>
        <v>#NUM!</v>
      </c>
      <c r="L92" s="27" t="e">
        <f t="shared" si="24"/>
        <v>#NUM!</v>
      </c>
      <c r="M92" s="17" t="e">
        <f t="shared" si="25"/>
        <v>#NUM!</v>
      </c>
      <c r="N92" s="17" t="e">
        <f t="shared" si="26"/>
        <v>#N/A</v>
      </c>
      <c r="O92" s="17" t="e">
        <f t="shared" si="27"/>
        <v>#N/A</v>
      </c>
      <c r="P92" s="17">
        <f t="shared" si="15"/>
        <v>0</v>
      </c>
      <c r="Q92" s="17">
        <f t="shared" si="16"/>
        <v>0</v>
      </c>
      <c r="S92" s="81"/>
      <c r="T92" s="30"/>
      <c r="U92" s="30"/>
      <c r="W92" s="30"/>
      <c r="X92" s="30"/>
      <c r="Y92" s="30"/>
      <c r="Z92" s="30"/>
      <c r="AA92" s="30"/>
      <c r="AB92" s="30"/>
      <c r="AC92" s="30"/>
      <c r="AD92" s="85"/>
      <c r="AE92" s="85"/>
      <c r="AF92" s="85"/>
      <c r="AH92" s="81"/>
      <c r="AI92" s="30"/>
      <c r="AJ92" s="30"/>
      <c r="AL92" s="30"/>
      <c r="AM92" s="30"/>
      <c r="AN92" s="30"/>
      <c r="AO92" s="30"/>
      <c r="AP92" s="30"/>
      <c r="AQ92" s="30"/>
      <c r="AR92" s="30"/>
      <c r="AS92" s="85"/>
      <c r="AT92" s="85"/>
      <c r="AU92" s="85"/>
      <c r="AW92" s="81"/>
      <c r="AX92" s="30"/>
      <c r="AY92" s="30"/>
      <c r="BA92" s="30"/>
      <c r="BB92" s="30"/>
      <c r="BC92" s="30"/>
      <c r="BD92" s="30"/>
      <c r="BE92" s="30"/>
      <c r="BF92" s="30"/>
      <c r="BG92" s="30"/>
      <c r="BH92" s="85"/>
      <c r="BI92" s="85"/>
      <c r="BJ92" s="85"/>
      <c r="BL92" s="81"/>
      <c r="BM92" s="30"/>
      <c r="BN92" s="30"/>
      <c r="BP92" s="30"/>
      <c r="BQ92" s="30"/>
      <c r="BR92" s="30"/>
      <c r="BS92" s="30"/>
      <c r="BT92" s="30"/>
      <c r="BU92" s="30"/>
      <c r="BV92" s="30"/>
      <c r="BW92" s="85"/>
      <c r="BX92" s="85"/>
      <c r="BY92" s="85"/>
      <c r="CA92" s="81"/>
      <c r="CB92" s="30"/>
      <c r="CC92" s="30"/>
      <c r="CE92" s="30"/>
      <c r="CF92" s="30"/>
      <c r="CG92" s="30"/>
      <c r="CH92" s="30"/>
      <c r="CI92" s="30"/>
      <c r="CJ92" s="30"/>
      <c r="CK92" s="30"/>
      <c r="CL92" s="85"/>
      <c r="CM92" s="85"/>
      <c r="CN92" s="85"/>
      <c r="CP92" s="81"/>
      <c r="CQ92" s="30"/>
      <c r="CR92" s="30"/>
      <c r="CT92" s="30"/>
      <c r="CU92" s="30"/>
      <c r="CV92" s="30"/>
      <c r="CW92" s="30"/>
      <c r="CX92" s="30"/>
      <c r="CY92" s="30"/>
      <c r="CZ92" s="30"/>
      <c r="DA92" s="85"/>
      <c r="DB92" s="85"/>
      <c r="DC92" s="85"/>
      <c r="DE92" s="81"/>
      <c r="DF92" s="30"/>
      <c r="DG92" s="30"/>
      <c r="DI92" s="30"/>
      <c r="DJ92" s="30"/>
      <c r="DK92" s="30"/>
      <c r="DL92" s="30"/>
      <c r="DM92" s="30"/>
      <c r="DN92" s="30"/>
      <c r="DO92" s="30"/>
      <c r="DP92" s="85"/>
      <c r="DQ92" s="85"/>
      <c r="DR92" s="85"/>
      <c r="DT92" s="81"/>
      <c r="DU92" s="30"/>
      <c r="DV92" s="30"/>
      <c r="DX92" s="30"/>
      <c r="DY92" s="30"/>
      <c r="DZ92" s="30"/>
      <c r="EA92" s="30"/>
      <c r="EB92" s="30"/>
      <c r="EC92" s="30"/>
      <c r="ED92" s="30"/>
      <c r="EE92" s="85"/>
      <c r="EF92" s="85"/>
      <c r="EG92" s="85"/>
      <c r="EI92" s="81"/>
      <c r="EJ92" s="30"/>
      <c r="EK92" s="30"/>
      <c r="EM92" s="30"/>
      <c r="EN92" s="30"/>
      <c r="EO92" s="30"/>
      <c r="EP92" s="30"/>
      <c r="EQ92" s="30"/>
      <c r="ER92" s="30"/>
      <c r="ES92" s="30"/>
      <c r="ET92" s="85"/>
      <c r="EU92" s="85"/>
      <c r="EV92" s="85"/>
    </row>
    <row r="93" spans="2:152">
      <c r="B93" s="11">
        <f t="shared" si="17"/>
        <v>0.17</v>
      </c>
      <c r="C93" s="28">
        <v>4.8600000000000003</v>
      </c>
      <c r="D93" s="16"/>
      <c r="E93" s="8"/>
      <c r="F93" s="27">
        <f t="shared" si="18"/>
        <v>-262.15789473684805</v>
      </c>
      <c r="G93" s="27">
        <f t="shared" si="19"/>
        <v>-0.6243045807148222</v>
      </c>
      <c r="H93" s="27">
        <f t="shared" si="20"/>
        <v>0.13431685365118853</v>
      </c>
      <c r="I93" s="27">
        <f t="shared" si="21"/>
        <v>-3.6479988455960823</v>
      </c>
      <c r="J93" s="27">
        <f t="shared" si="22"/>
        <v>-1.9036168720568654E-3</v>
      </c>
      <c r="K93" s="27" t="e">
        <f t="shared" si="23"/>
        <v>#NUM!</v>
      </c>
      <c r="L93" s="27" t="e">
        <f t="shared" si="24"/>
        <v>#NUM!</v>
      </c>
      <c r="M93" s="17" t="e">
        <f t="shared" si="25"/>
        <v>#NUM!</v>
      </c>
      <c r="N93" s="17" t="e">
        <f t="shared" si="26"/>
        <v>#N/A</v>
      </c>
      <c r="O93" s="17" t="e">
        <f t="shared" si="27"/>
        <v>#N/A</v>
      </c>
      <c r="P93" s="17">
        <f t="shared" si="15"/>
        <v>0</v>
      </c>
      <c r="Q93" s="17">
        <f t="shared" si="16"/>
        <v>0</v>
      </c>
      <c r="S93" s="81"/>
      <c r="T93" s="30"/>
      <c r="U93" s="30"/>
      <c r="W93" s="30"/>
      <c r="X93" s="30"/>
      <c r="Y93" s="30"/>
      <c r="Z93" s="30"/>
      <c r="AA93" s="30"/>
      <c r="AB93" s="30"/>
      <c r="AC93" s="30"/>
      <c r="AD93" s="85"/>
      <c r="AE93" s="85"/>
      <c r="AF93" s="85"/>
      <c r="AH93" s="81"/>
      <c r="AI93" s="30"/>
      <c r="AJ93" s="30"/>
      <c r="AL93" s="30"/>
      <c r="AM93" s="30"/>
      <c r="AN93" s="30"/>
      <c r="AO93" s="30"/>
      <c r="AP93" s="30"/>
      <c r="AQ93" s="30"/>
      <c r="AR93" s="30"/>
      <c r="AS93" s="85"/>
      <c r="AT93" s="85"/>
      <c r="AU93" s="85"/>
      <c r="AW93" s="81"/>
      <c r="AX93" s="30"/>
      <c r="AY93" s="30"/>
      <c r="BA93" s="30"/>
      <c r="BB93" s="30"/>
      <c r="BC93" s="30"/>
      <c r="BD93" s="30"/>
      <c r="BE93" s="30"/>
      <c r="BF93" s="30"/>
      <c r="BG93" s="30"/>
      <c r="BH93" s="85"/>
      <c r="BI93" s="85"/>
      <c r="BJ93" s="85"/>
      <c r="BL93" s="81"/>
      <c r="BM93" s="30"/>
      <c r="BN93" s="30"/>
      <c r="BP93" s="30"/>
      <c r="BQ93" s="30"/>
      <c r="BR93" s="30"/>
      <c r="BS93" s="30"/>
      <c r="BT93" s="30"/>
      <c r="BU93" s="30"/>
      <c r="BV93" s="30"/>
      <c r="BW93" s="85"/>
      <c r="BX93" s="85"/>
      <c r="BY93" s="85"/>
      <c r="CA93" s="81"/>
      <c r="CB93" s="30"/>
      <c r="CC93" s="30"/>
      <c r="CE93" s="30"/>
      <c r="CF93" s="30"/>
      <c r="CG93" s="30"/>
      <c r="CH93" s="30"/>
      <c r="CI93" s="30"/>
      <c r="CJ93" s="30"/>
      <c r="CK93" s="30"/>
      <c r="CL93" s="85"/>
      <c r="CM93" s="85"/>
      <c r="CN93" s="85"/>
      <c r="CP93" s="81"/>
      <c r="CQ93" s="30"/>
      <c r="CR93" s="30"/>
      <c r="CT93" s="30"/>
      <c r="CU93" s="30"/>
      <c r="CV93" s="30"/>
      <c r="CW93" s="30"/>
      <c r="CX93" s="30"/>
      <c r="CY93" s="30"/>
      <c r="CZ93" s="30"/>
      <c r="DA93" s="85"/>
      <c r="DB93" s="85"/>
      <c r="DC93" s="85"/>
      <c r="DE93" s="81"/>
      <c r="DF93" s="30"/>
      <c r="DG93" s="30"/>
      <c r="DI93" s="30"/>
      <c r="DJ93" s="30"/>
      <c r="DK93" s="30"/>
      <c r="DL93" s="30"/>
      <c r="DM93" s="30"/>
      <c r="DN93" s="30"/>
      <c r="DO93" s="30"/>
      <c r="DP93" s="85"/>
      <c r="DQ93" s="85"/>
      <c r="DR93" s="85"/>
      <c r="DT93" s="81"/>
      <c r="DU93" s="30"/>
      <c r="DV93" s="30"/>
      <c r="DX93" s="30"/>
      <c r="DY93" s="30"/>
      <c r="DZ93" s="30"/>
      <c r="EA93" s="30"/>
      <c r="EB93" s="30"/>
      <c r="EC93" s="30"/>
      <c r="ED93" s="30"/>
      <c r="EE93" s="85"/>
      <c r="EF93" s="85"/>
      <c r="EG93" s="85"/>
      <c r="EI93" s="81"/>
      <c r="EJ93" s="30"/>
      <c r="EK93" s="30"/>
      <c r="EM93" s="30"/>
      <c r="EN93" s="30"/>
      <c r="EO93" s="30"/>
      <c r="EP93" s="30"/>
      <c r="EQ93" s="30"/>
      <c r="ER93" s="30"/>
      <c r="ES93" s="30"/>
      <c r="ET93" s="85"/>
      <c r="EU93" s="85"/>
      <c r="EV93" s="85"/>
    </row>
    <row r="94" spans="2:152">
      <c r="B94" s="11">
        <f t="shared" si="17"/>
        <v>0.17</v>
      </c>
      <c r="C94" s="28">
        <v>4.92</v>
      </c>
      <c r="D94" s="16"/>
      <c r="E94" s="8"/>
      <c r="F94" s="27">
        <f t="shared" si="18"/>
        <v>157.25000000000094</v>
      </c>
      <c r="G94" s="27">
        <f t="shared" si="19"/>
        <v>-0.6274945951038069</v>
      </c>
      <c r="H94" s="27">
        <f t="shared" si="20"/>
        <v>0.13750686804017315</v>
      </c>
      <c r="I94" s="27">
        <f t="shared" si="21"/>
        <v>-3.5633691178282234</v>
      </c>
      <c r="J94" s="27">
        <f t="shared" si="22"/>
        <v>3.1897926634768545E-3</v>
      </c>
      <c r="K94" s="27" t="e">
        <f t="shared" si="23"/>
        <v>#NUM!</v>
      </c>
      <c r="L94" s="27" t="e">
        <f t="shared" si="24"/>
        <v>#NUM!</v>
      </c>
      <c r="M94" s="17" t="e">
        <f t="shared" si="25"/>
        <v>#NUM!</v>
      </c>
      <c r="N94" s="17" t="e">
        <f t="shared" si="26"/>
        <v>#N/A</v>
      </c>
      <c r="O94" s="17" t="e">
        <f t="shared" si="27"/>
        <v>#N/A</v>
      </c>
      <c r="P94" s="17">
        <f t="shared" si="15"/>
        <v>0</v>
      </c>
      <c r="Q94" s="17">
        <f t="shared" si="16"/>
        <v>0</v>
      </c>
      <c r="S94" s="81"/>
      <c r="T94" s="30"/>
      <c r="U94" s="30"/>
      <c r="W94" s="30"/>
      <c r="X94" s="30"/>
      <c r="Y94" s="30"/>
      <c r="Z94" s="30"/>
      <c r="AA94" s="30"/>
      <c r="AB94" s="30"/>
      <c r="AC94" s="30"/>
      <c r="AD94" s="85"/>
      <c r="AE94" s="85"/>
      <c r="AF94" s="85"/>
      <c r="AH94" s="81"/>
      <c r="AI94" s="30"/>
      <c r="AJ94" s="30"/>
      <c r="AL94" s="30"/>
      <c r="AM94" s="30"/>
      <c r="AN94" s="30"/>
      <c r="AO94" s="30"/>
      <c r="AP94" s="30"/>
      <c r="AQ94" s="30"/>
      <c r="AR94" s="30"/>
      <c r="AS94" s="85"/>
      <c r="AT94" s="85"/>
      <c r="AU94" s="85"/>
      <c r="AW94" s="81"/>
      <c r="AX94" s="30"/>
      <c r="AY94" s="30"/>
      <c r="BA94" s="30"/>
      <c r="BB94" s="30"/>
      <c r="BC94" s="30"/>
      <c r="BD94" s="30"/>
      <c r="BE94" s="30"/>
      <c r="BF94" s="30"/>
      <c r="BG94" s="30"/>
      <c r="BH94" s="85"/>
      <c r="BI94" s="85"/>
      <c r="BJ94" s="85"/>
      <c r="BL94" s="81"/>
      <c r="BM94" s="30"/>
      <c r="BN94" s="30"/>
      <c r="BP94" s="30"/>
      <c r="BQ94" s="30"/>
      <c r="BR94" s="30"/>
      <c r="BS94" s="30"/>
      <c r="BT94" s="30"/>
      <c r="BU94" s="30"/>
      <c r="BV94" s="30"/>
      <c r="BW94" s="85"/>
      <c r="BX94" s="85"/>
      <c r="BY94" s="85"/>
      <c r="CA94" s="81"/>
      <c r="CB94" s="30"/>
      <c r="CC94" s="30"/>
      <c r="CE94" s="30"/>
      <c r="CF94" s="30"/>
      <c r="CG94" s="30"/>
      <c r="CH94" s="30"/>
      <c r="CI94" s="30"/>
      <c r="CJ94" s="30"/>
      <c r="CK94" s="30"/>
      <c r="CL94" s="85"/>
      <c r="CM94" s="85"/>
      <c r="CN94" s="85"/>
      <c r="CP94" s="81"/>
      <c r="CQ94" s="30"/>
      <c r="CR94" s="30"/>
      <c r="CT94" s="30"/>
      <c r="CU94" s="30"/>
      <c r="CV94" s="30"/>
      <c r="CW94" s="30"/>
      <c r="CX94" s="30"/>
      <c r="CY94" s="30"/>
      <c r="CZ94" s="30"/>
      <c r="DA94" s="85"/>
      <c r="DB94" s="85"/>
      <c r="DC94" s="85"/>
      <c r="DE94" s="81"/>
      <c r="DF94" s="30"/>
      <c r="DG94" s="30"/>
      <c r="DI94" s="30"/>
      <c r="DJ94" s="30"/>
      <c r="DK94" s="30"/>
      <c r="DL94" s="30"/>
      <c r="DM94" s="30"/>
      <c r="DN94" s="30"/>
      <c r="DO94" s="30"/>
      <c r="DP94" s="85"/>
      <c r="DQ94" s="85"/>
      <c r="DR94" s="85"/>
      <c r="DT94" s="81"/>
      <c r="DU94" s="30"/>
      <c r="DV94" s="30"/>
      <c r="DX94" s="30"/>
      <c r="DY94" s="30"/>
      <c r="DZ94" s="30"/>
      <c r="EA94" s="30"/>
      <c r="EB94" s="30"/>
      <c r="EC94" s="30"/>
      <c r="ED94" s="30"/>
      <c r="EE94" s="85"/>
      <c r="EF94" s="85"/>
      <c r="EG94" s="85"/>
      <c r="EI94" s="81"/>
      <c r="EJ94" s="30"/>
      <c r="EK94" s="30"/>
      <c r="EM94" s="30"/>
      <c r="EN94" s="30"/>
      <c r="EO94" s="30"/>
      <c r="EP94" s="30"/>
      <c r="EQ94" s="30"/>
      <c r="ER94" s="30"/>
      <c r="ES94" s="30"/>
      <c r="ET94" s="85"/>
      <c r="EU94" s="85"/>
      <c r="EV94" s="85"/>
    </row>
    <row r="95" spans="2:152">
      <c r="B95" s="11">
        <f t="shared" si="17"/>
        <v>0.17</v>
      </c>
      <c r="C95" s="28">
        <v>4.9800000000000004</v>
      </c>
      <c r="D95" s="16"/>
      <c r="E95" s="8"/>
      <c r="F95" s="27">
        <f t="shared" si="18"/>
        <v>61.240963855421072</v>
      </c>
      <c r="G95" s="27">
        <f t="shared" si="19"/>
        <v>-0.6306846094927917</v>
      </c>
      <c r="H95" s="27">
        <f t="shared" si="20"/>
        <v>0.14069688242915784</v>
      </c>
      <c r="I95" s="27">
        <f t="shared" si="21"/>
        <v>-3.4825770024460008</v>
      </c>
      <c r="J95" s="27">
        <f t="shared" si="22"/>
        <v>8.2316770802341403E-3</v>
      </c>
      <c r="K95" s="27" t="e">
        <f t="shared" si="23"/>
        <v>#NUM!</v>
      </c>
      <c r="L95" s="27" t="e">
        <f t="shared" si="24"/>
        <v>#NUM!</v>
      </c>
      <c r="M95" s="17" t="e">
        <f t="shared" si="25"/>
        <v>#NUM!</v>
      </c>
      <c r="N95" s="17" t="e">
        <f t="shared" si="26"/>
        <v>#N/A</v>
      </c>
      <c r="O95" s="17" t="e">
        <f t="shared" si="27"/>
        <v>#N/A</v>
      </c>
      <c r="P95" s="17">
        <f t="shared" si="15"/>
        <v>0</v>
      </c>
      <c r="Q95" s="17">
        <f t="shared" si="16"/>
        <v>0</v>
      </c>
      <c r="S95" s="81"/>
      <c r="T95" s="30"/>
      <c r="U95" s="30"/>
      <c r="W95" s="30"/>
      <c r="X95" s="30"/>
      <c r="Y95" s="30"/>
      <c r="Z95" s="30"/>
      <c r="AA95" s="30"/>
      <c r="AB95" s="30"/>
      <c r="AC95" s="30"/>
      <c r="AD95" s="85"/>
      <c r="AE95" s="85"/>
      <c r="AF95" s="85"/>
      <c r="AH95" s="81"/>
      <c r="AI95" s="30"/>
      <c r="AJ95" s="30"/>
      <c r="AL95" s="30"/>
      <c r="AM95" s="30"/>
      <c r="AN95" s="30"/>
      <c r="AO95" s="30"/>
      <c r="AP95" s="30"/>
      <c r="AQ95" s="30"/>
      <c r="AR95" s="30"/>
      <c r="AS95" s="85"/>
      <c r="AT95" s="85"/>
      <c r="AU95" s="85"/>
      <c r="AW95" s="81"/>
      <c r="AX95" s="30"/>
      <c r="AY95" s="30"/>
      <c r="BA95" s="30"/>
      <c r="BB95" s="30"/>
      <c r="BC95" s="30"/>
      <c r="BD95" s="30"/>
      <c r="BE95" s="30"/>
      <c r="BF95" s="30"/>
      <c r="BG95" s="30"/>
      <c r="BH95" s="85"/>
      <c r="BI95" s="85"/>
      <c r="BJ95" s="85"/>
      <c r="BL95" s="81"/>
      <c r="BM95" s="30"/>
      <c r="BN95" s="30"/>
      <c r="BP95" s="30"/>
      <c r="BQ95" s="30"/>
      <c r="BR95" s="30"/>
      <c r="BS95" s="30"/>
      <c r="BT95" s="30"/>
      <c r="BU95" s="30"/>
      <c r="BV95" s="30"/>
      <c r="BW95" s="85"/>
      <c r="BX95" s="85"/>
      <c r="BY95" s="85"/>
      <c r="CA95" s="81"/>
      <c r="CB95" s="30"/>
      <c r="CC95" s="30"/>
      <c r="CE95" s="30"/>
      <c r="CF95" s="30"/>
      <c r="CG95" s="30"/>
      <c r="CH95" s="30"/>
      <c r="CI95" s="30"/>
      <c r="CJ95" s="30"/>
      <c r="CK95" s="30"/>
      <c r="CL95" s="85"/>
      <c r="CM95" s="85"/>
      <c r="CN95" s="85"/>
      <c r="CP95" s="81"/>
      <c r="CQ95" s="30"/>
      <c r="CR95" s="30"/>
      <c r="CT95" s="30"/>
      <c r="CU95" s="30"/>
      <c r="CV95" s="30"/>
      <c r="CW95" s="30"/>
      <c r="CX95" s="30"/>
      <c r="CY95" s="30"/>
      <c r="CZ95" s="30"/>
      <c r="DA95" s="85"/>
      <c r="DB95" s="85"/>
      <c r="DC95" s="85"/>
      <c r="DE95" s="81"/>
      <c r="DF95" s="30"/>
      <c r="DG95" s="30"/>
      <c r="DI95" s="30"/>
      <c r="DJ95" s="30"/>
      <c r="DK95" s="30"/>
      <c r="DL95" s="30"/>
      <c r="DM95" s="30"/>
      <c r="DN95" s="30"/>
      <c r="DO95" s="30"/>
      <c r="DP95" s="85"/>
      <c r="DQ95" s="85"/>
      <c r="DR95" s="85"/>
      <c r="DT95" s="81"/>
      <c r="DU95" s="30"/>
      <c r="DV95" s="30"/>
      <c r="DX95" s="30"/>
      <c r="DY95" s="30"/>
      <c r="DZ95" s="30"/>
      <c r="EA95" s="30"/>
      <c r="EB95" s="30"/>
      <c r="EC95" s="30"/>
      <c r="ED95" s="30"/>
      <c r="EE95" s="85"/>
      <c r="EF95" s="85"/>
      <c r="EG95" s="85"/>
      <c r="EI95" s="81"/>
      <c r="EJ95" s="30"/>
      <c r="EK95" s="30"/>
      <c r="EM95" s="30"/>
      <c r="EN95" s="30"/>
      <c r="EO95" s="30"/>
      <c r="EP95" s="30"/>
      <c r="EQ95" s="30"/>
      <c r="ER95" s="30"/>
      <c r="ES95" s="30"/>
      <c r="ET95" s="85"/>
      <c r="EU95" s="85"/>
      <c r="EV95" s="85"/>
    </row>
    <row r="96" spans="2:152">
      <c r="B96" s="11">
        <f t="shared" si="17"/>
        <v>0.17</v>
      </c>
      <c r="C96" s="28">
        <v>5.04</v>
      </c>
      <c r="D96" s="16"/>
      <c r="E96" s="8"/>
      <c r="F96" s="27">
        <f t="shared" si="18"/>
        <v>38.313432835820677</v>
      </c>
      <c r="G96" s="27">
        <f t="shared" si="19"/>
        <v>-0.63387462388177629</v>
      </c>
      <c r="H96" s="27">
        <f t="shared" si="20"/>
        <v>0.14388689681814251</v>
      </c>
      <c r="I96" s="27">
        <f t="shared" si="21"/>
        <v>-3.4053672564981738</v>
      </c>
      <c r="J96" s="27">
        <f t="shared" si="22"/>
        <v>1.3222814288533726E-2</v>
      </c>
      <c r="K96" s="27" t="e">
        <f t="shared" si="23"/>
        <v>#NUM!</v>
      </c>
      <c r="L96" s="27" t="e">
        <f t="shared" si="24"/>
        <v>#NUM!</v>
      </c>
      <c r="M96" s="17" t="e">
        <f t="shared" si="25"/>
        <v>#NUM!</v>
      </c>
      <c r="N96" s="17" t="e">
        <f t="shared" si="26"/>
        <v>#N/A</v>
      </c>
      <c r="O96" s="17" t="e">
        <f t="shared" si="27"/>
        <v>#N/A</v>
      </c>
      <c r="P96" s="17">
        <f t="shared" si="15"/>
        <v>0</v>
      </c>
      <c r="Q96" s="17">
        <f t="shared" si="16"/>
        <v>0</v>
      </c>
      <c r="S96" s="81"/>
      <c r="T96" s="30"/>
      <c r="U96" s="30"/>
      <c r="W96" s="30"/>
      <c r="X96" s="30"/>
      <c r="Y96" s="30"/>
      <c r="Z96" s="30"/>
      <c r="AA96" s="30"/>
      <c r="AB96" s="30"/>
      <c r="AC96" s="30"/>
      <c r="AD96" s="85"/>
      <c r="AE96" s="85"/>
      <c r="AF96" s="85"/>
      <c r="AH96" s="81"/>
      <c r="AI96" s="30"/>
      <c r="AJ96" s="30"/>
      <c r="AL96" s="30"/>
      <c r="AM96" s="30"/>
      <c r="AN96" s="30"/>
      <c r="AO96" s="30"/>
      <c r="AP96" s="30"/>
      <c r="AQ96" s="30"/>
      <c r="AR96" s="30"/>
      <c r="AS96" s="85"/>
      <c r="AT96" s="85"/>
      <c r="AU96" s="85"/>
      <c r="AW96" s="81"/>
      <c r="AX96" s="30"/>
      <c r="AY96" s="30"/>
      <c r="BA96" s="30"/>
      <c r="BB96" s="30"/>
      <c r="BC96" s="30"/>
      <c r="BD96" s="30"/>
      <c r="BE96" s="30"/>
      <c r="BF96" s="30"/>
      <c r="BG96" s="30"/>
      <c r="BH96" s="85"/>
      <c r="BI96" s="85"/>
      <c r="BJ96" s="85"/>
      <c r="BL96" s="81"/>
      <c r="BM96" s="30"/>
      <c r="BN96" s="30"/>
      <c r="BP96" s="30"/>
      <c r="BQ96" s="30"/>
      <c r="BR96" s="30"/>
      <c r="BS96" s="30"/>
      <c r="BT96" s="30"/>
      <c r="BU96" s="30"/>
      <c r="BV96" s="30"/>
      <c r="BW96" s="85"/>
      <c r="BX96" s="85"/>
      <c r="BY96" s="85"/>
      <c r="CA96" s="81"/>
      <c r="CB96" s="30"/>
      <c r="CC96" s="30"/>
      <c r="CE96" s="30"/>
      <c r="CF96" s="30"/>
      <c r="CG96" s="30"/>
      <c r="CH96" s="30"/>
      <c r="CI96" s="30"/>
      <c r="CJ96" s="30"/>
      <c r="CK96" s="30"/>
      <c r="CL96" s="85"/>
      <c r="CM96" s="85"/>
      <c r="CN96" s="85"/>
      <c r="CP96" s="81"/>
      <c r="CQ96" s="30"/>
      <c r="CR96" s="30"/>
      <c r="CT96" s="30"/>
      <c r="CU96" s="30"/>
      <c r="CV96" s="30"/>
      <c r="CW96" s="30"/>
      <c r="CX96" s="30"/>
      <c r="CY96" s="30"/>
      <c r="CZ96" s="30"/>
      <c r="DA96" s="85"/>
      <c r="DB96" s="85"/>
      <c r="DC96" s="85"/>
      <c r="DE96" s="81"/>
      <c r="DF96" s="30"/>
      <c r="DG96" s="30"/>
      <c r="DI96" s="30"/>
      <c r="DJ96" s="30"/>
      <c r="DK96" s="30"/>
      <c r="DL96" s="30"/>
      <c r="DM96" s="30"/>
      <c r="DN96" s="30"/>
      <c r="DO96" s="30"/>
      <c r="DP96" s="85"/>
      <c r="DQ96" s="85"/>
      <c r="DR96" s="85"/>
      <c r="DT96" s="81"/>
      <c r="DU96" s="30"/>
      <c r="DV96" s="30"/>
      <c r="DX96" s="30"/>
      <c r="DY96" s="30"/>
      <c r="DZ96" s="30"/>
      <c r="EA96" s="30"/>
      <c r="EB96" s="30"/>
      <c r="EC96" s="30"/>
      <c r="ED96" s="30"/>
      <c r="EE96" s="85"/>
      <c r="EF96" s="85"/>
      <c r="EG96" s="85"/>
      <c r="EI96" s="81"/>
      <c r="EJ96" s="30"/>
      <c r="EK96" s="30"/>
      <c r="EM96" s="30"/>
      <c r="EN96" s="30"/>
      <c r="EO96" s="30"/>
      <c r="EP96" s="30"/>
      <c r="EQ96" s="30"/>
      <c r="ER96" s="30"/>
      <c r="ES96" s="30"/>
      <c r="ET96" s="85"/>
      <c r="EU96" s="85"/>
      <c r="EV96" s="85"/>
    </row>
    <row r="97" spans="2:152">
      <c r="B97" s="11">
        <f t="shared" si="17"/>
        <v>0.17</v>
      </c>
      <c r="C97" s="28">
        <v>5.0999999999999996</v>
      </c>
      <c r="D97" s="16"/>
      <c r="E97" s="8"/>
      <c r="F97" s="27">
        <f t="shared" si="18"/>
        <v>28.027027027027085</v>
      </c>
      <c r="G97" s="27">
        <f t="shared" si="19"/>
        <v>-0.63706463827076087</v>
      </c>
      <c r="H97" s="27">
        <f t="shared" si="20"/>
        <v>0.14707691120712715</v>
      </c>
      <c r="I97" s="27">
        <f t="shared" si="21"/>
        <v>-3.3315067813301313</v>
      </c>
      <c r="J97" s="27">
        <f t="shared" si="22"/>
        <v>1.8163966617574828E-2</v>
      </c>
      <c r="K97" s="27" t="e">
        <f t="shared" si="23"/>
        <v>#NUM!</v>
      </c>
      <c r="L97" s="27" t="e">
        <f t="shared" si="24"/>
        <v>#NUM!</v>
      </c>
      <c r="M97" s="17" t="e">
        <f t="shared" si="25"/>
        <v>#NUM!</v>
      </c>
      <c r="N97" s="17" t="e">
        <f t="shared" si="26"/>
        <v>#N/A</v>
      </c>
      <c r="O97" s="17" t="e">
        <f t="shared" si="27"/>
        <v>#N/A</v>
      </c>
      <c r="P97" s="17">
        <f t="shared" si="15"/>
        <v>0</v>
      </c>
      <c r="Q97" s="17">
        <f t="shared" si="16"/>
        <v>0</v>
      </c>
      <c r="S97" s="81"/>
      <c r="T97" s="30"/>
      <c r="U97" s="30"/>
      <c r="W97" s="30"/>
      <c r="X97" s="30"/>
      <c r="Y97" s="30"/>
      <c r="Z97" s="30"/>
      <c r="AA97" s="30"/>
      <c r="AB97" s="30"/>
      <c r="AC97" s="30"/>
      <c r="AD97" s="85"/>
      <c r="AE97" s="85"/>
      <c r="AF97" s="85"/>
      <c r="AH97" s="81"/>
      <c r="AI97" s="30"/>
      <c r="AJ97" s="30"/>
      <c r="AL97" s="30"/>
      <c r="AM97" s="30"/>
      <c r="AN97" s="30"/>
      <c r="AO97" s="30"/>
      <c r="AP97" s="30"/>
      <c r="AQ97" s="30"/>
      <c r="AR97" s="30"/>
      <c r="AS97" s="85"/>
      <c r="AT97" s="85"/>
      <c r="AU97" s="85"/>
      <c r="AW97" s="81"/>
      <c r="AX97" s="30"/>
      <c r="AY97" s="30"/>
      <c r="BA97" s="30"/>
      <c r="BB97" s="30"/>
      <c r="BC97" s="30"/>
      <c r="BD97" s="30"/>
      <c r="BE97" s="30"/>
      <c r="BF97" s="30"/>
      <c r="BG97" s="30"/>
      <c r="BH97" s="85"/>
      <c r="BI97" s="85"/>
      <c r="BJ97" s="85"/>
      <c r="BL97" s="81"/>
      <c r="BM97" s="30"/>
      <c r="BN97" s="30"/>
      <c r="BP97" s="30"/>
      <c r="BQ97" s="30"/>
      <c r="BR97" s="30"/>
      <c r="BS97" s="30"/>
      <c r="BT97" s="30"/>
      <c r="BU97" s="30"/>
      <c r="BV97" s="30"/>
      <c r="BW97" s="85"/>
      <c r="BX97" s="85"/>
      <c r="BY97" s="85"/>
      <c r="CA97" s="81"/>
      <c r="CB97" s="30"/>
      <c r="CC97" s="30"/>
      <c r="CE97" s="30"/>
      <c r="CF97" s="30"/>
      <c r="CG97" s="30"/>
      <c r="CH97" s="30"/>
      <c r="CI97" s="30"/>
      <c r="CJ97" s="30"/>
      <c r="CK97" s="30"/>
      <c r="CL97" s="85"/>
      <c r="CM97" s="85"/>
      <c r="CN97" s="85"/>
      <c r="CP97" s="81"/>
      <c r="CQ97" s="30"/>
      <c r="CR97" s="30"/>
      <c r="CT97" s="30"/>
      <c r="CU97" s="30"/>
      <c r="CV97" s="30"/>
      <c r="CW97" s="30"/>
      <c r="CX97" s="30"/>
      <c r="CY97" s="30"/>
      <c r="CZ97" s="30"/>
      <c r="DA97" s="85"/>
      <c r="DB97" s="85"/>
      <c r="DC97" s="85"/>
      <c r="DE97" s="81"/>
      <c r="DF97" s="30"/>
      <c r="DG97" s="30"/>
      <c r="DI97" s="30"/>
      <c r="DJ97" s="30"/>
      <c r="DK97" s="30"/>
      <c r="DL97" s="30"/>
      <c r="DM97" s="30"/>
      <c r="DN97" s="30"/>
      <c r="DO97" s="30"/>
      <c r="DP97" s="85"/>
      <c r="DQ97" s="85"/>
      <c r="DR97" s="85"/>
      <c r="DT97" s="81"/>
      <c r="DU97" s="30"/>
      <c r="DV97" s="30"/>
      <c r="DX97" s="30"/>
      <c r="DY97" s="30"/>
      <c r="DZ97" s="30"/>
      <c r="EA97" s="30"/>
      <c r="EB97" s="30"/>
      <c r="EC97" s="30"/>
      <c r="ED97" s="30"/>
      <c r="EE97" s="85"/>
      <c r="EF97" s="85"/>
      <c r="EG97" s="85"/>
      <c r="EI97" s="81"/>
      <c r="EJ97" s="30"/>
      <c r="EK97" s="30"/>
      <c r="EM97" s="30"/>
      <c r="EN97" s="30"/>
      <c r="EO97" s="30"/>
      <c r="EP97" s="30"/>
      <c r="EQ97" s="30"/>
      <c r="ER97" s="30"/>
      <c r="ES97" s="30"/>
      <c r="ET97" s="85"/>
      <c r="EU97" s="85"/>
      <c r="EV97" s="85"/>
    </row>
    <row r="98" spans="2:152">
      <c r="B98" s="11">
        <f t="shared" si="17"/>
        <v>0.17</v>
      </c>
      <c r="C98" s="28">
        <v>5.16</v>
      </c>
      <c r="D98" s="16"/>
      <c r="E98" s="8"/>
      <c r="F98" s="27">
        <f t="shared" si="18"/>
        <v>22.186440677966043</v>
      </c>
      <c r="G98" s="27">
        <f t="shared" si="19"/>
        <v>-0.64025465265974557</v>
      </c>
      <c r="H98" s="27">
        <f t="shared" si="20"/>
        <v>0.15026692559611182</v>
      </c>
      <c r="I98" s="27">
        <f t="shared" si="21"/>
        <v>-3.2607822720791209</v>
      </c>
      <c r="J98" s="27">
        <f t="shared" si="22"/>
        <v>2.3055881203595217E-2</v>
      </c>
      <c r="K98" s="27" t="e">
        <f t="shared" si="23"/>
        <v>#NUM!</v>
      </c>
      <c r="L98" s="27" t="e">
        <f t="shared" si="24"/>
        <v>#NUM!</v>
      </c>
      <c r="M98" s="17" t="e">
        <f t="shared" si="25"/>
        <v>#NUM!</v>
      </c>
      <c r="N98" s="17" t="e">
        <f t="shared" si="26"/>
        <v>#N/A</v>
      </c>
      <c r="O98" s="17" t="e">
        <f t="shared" si="27"/>
        <v>#N/A</v>
      </c>
      <c r="P98" s="17">
        <f t="shared" si="15"/>
        <v>0</v>
      </c>
      <c r="Q98" s="17">
        <f t="shared" si="16"/>
        <v>0</v>
      </c>
      <c r="S98" s="81"/>
      <c r="T98" s="30"/>
      <c r="U98" s="30"/>
      <c r="W98" s="30"/>
      <c r="X98" s="30"/>
      <c r="Y98" s="30"/>
      <c r="Z98" s="30"/>
      <c r="AA98" s="30"/>
      <c r="AB98" s="30"/>
      <c r="AC98" s="30"/>
      <c r="AD98" s="85"/>
      <c r="AE98" s="85"/>
      <c r="AF98" s="85"/>
      <c r="AH98" s="81"/>
      <c r="AI98" s="30"/>
      <c r="AJ98" s="30"/>
      <c r="AL98" s="30"/>
      <c r="AM98" s="30"/>
      <c r="AN98" s="30"/>
      <c r="AO98" s="30"/>
      <c r="AP98" s="30"/>
      <c r="AQ98" s="30"/>
      <c r="AR98" s="30"/>
      <c r="AS98" s="85"/>
      <c r="AT98" s="85"/>
      <c r="AU98" s="85"/>
      <c r="AW98" s="81"/>
      <c r="AX98" s="30"/>
      <c r="AY98" s="30"/>
      <c r="BA98" s="30"/>
      <c r="BB98" s="30"/>
      <c r="BC98" s="30"/>
      <c r="BD98" s="30"/>
      <c r="BE98" s="30"/>
      <c r="BF98" s="30"/>
      <c r="BG98" s="30"/>
      <c r="BH98" s="85"/>
      <c r="BI98" s="85"/>
      <c r="BJ98" s="85"/>
      <c r="BL98" s="81"/>
      <c r="BM98" s="30"/>
      <c r="BN98" s="30"/>
      <c r="BP98" s="30"/>
      <c r="BQ98" s="30"/>
      <c r="BR98" s="30"/>
      <c r="BS98" s="30"/>
      <c r="BT98" s="30"/>
      <c r="BU98" s="30"/>
      <c r="BV98" s="30"/>
      <c r="BW98" s="85"/>
      <c r="BX98" s="85"/>
      <c r="BY98" s="85"/>
      <c r="CA98" s="81"/>
      <c r="CB98" s="30"/>
      <c r="CC98" s="30"/>
      <c r="CE98" s="30"/>
      <c r="CF98" s="30"/>
      <c r="CG98" s="30"/>
      <c r="CH98" s="30"/>
      <c r="CI98" s="30"/>
      <c r="CJ98" s="30"/>
      <c r="CK98" s="30"/>
      <c r="CL98" s="85"/>
      <c r="CM98" s="85"/>
      <c r="CN98" s="85"/>
      <c r="CP98" s="81"/>
      <c r="CQ98" s="30"/>
      <c r="CR98" s="30"/>
      <c r="CT98" s="30"/>
      <c r="CU98" s="30"/>
      <c r="CV98" s="30"/>
      <c r="CW98" s="30"/>
      <c r="CX98" s="30"/>
      <c r="CY98" s="30"/>
      <c r="CZ98" s="30"/>
      <c r="DA98" s="85"/>
      <c r="DB98" s="85"/>
      <c r="DC98" s="85"/>
      <c r="DE98" s="81"/>
      <c r="DF98" s="30"/>
      <c r="DG98" s="30"/>
      <c r="DI98" s="30"/>
      <c r="DJ98" s="30"/>
      <c r="DK98" s="30"/>
      <c r="DL98" s="30"/>
      <c r="DM98" s="30"/>
      <c r="DN98" s="30"/>
      <c r="DO98" s="30"/>
      <c r="DP98" s="85"/>
      <c r="DQ98" s="85"/>
      <c r="DR98" s="85"/>
      <c r="DT98" s="81"/>
      <c r="DU98" s="30"/>
      <c r="DV98" s="30"/>
      <c r="DX98" s="30"/>
      <c r="DY98" s="30"/>
      <c r="DZ98" s="30"/>
      <c r="EA98" s="30"/>
      <c r="EB98" s="30"/>
      <c r="EC98" s="30"/>
      <c r="ED98" s="30"/>
      <c r="EE98" s="85"/>
      <c r="EF98" s="85"/>
      <c r="EG98" s="85"/>
      <c r="EI98" s="81"/>
      <c r="EJ98" s="30"/>
      <c r="EK98" s="30"/>
      <c r="EM98" s="30"/>
      <c r="EN98" s="30"/>
      <c r="EO98" s="30"/>
      <c r="EP98" s="30"/>
      <c r="EQ98" s="30"/>
      <c r="ER98" s="30"/>
      <c r="ES98" s="30"/>
      <c r="ET98" s="85"/>
      <c r="EU98" s="85"/>
      <c r="EV98" s="85"/>
    </row>
    <row r="99" spans="2:152">
      <c r="B99" s="11">
        <f t="shared" si="17"/>
        <v>0.17</v>
      </c>
      <c r="C99" s="28">
        <v>5.22</v>
      </c>
      <c r="D99" s="16"/>
      <c r="E99" s="8"/>
      <c r="F99" s="27">
        <f t="shared" si="18"/>
        <v>18.421602787456411</v>
      </c>
      <c r="G99" s="27">
        <f t="shared" si="19"/>
        <v>-0.64344466704873027</v>
      </c>
      <c r="H99" s="27">
        <f t="shared" si="20"/>
        <v>0.15345693998509646</v>
      </c>
      <c r="I99" s="27">
        <f t="shared" si="21"/>
        <v>-3.1929981603387949</v>
      </c>
      <c r="J99" s="27">
        <f t="shared" si="22"/>
        <v>2.7899290366482019E-2</v>
      </c>
      <c r="K99" s="27" t="e">
        <f t="shared" si="23"/>
        <v>#NUM!</v>
      </c>
      <c r="L99" s="27" t="e">
        <f t="shared" si="24"/>
        <v>#NUM!</v>
      </c>
      <c r="M99" s="17" t="e">
        <f t="shared" si="25"/>
        <v>#NUM!</v>
      </c>
      <c r="N99" s="17" t="e">
        <f t="shared" si="26"/>
        <v>#N/A</v>
      </c>
      <c r="O99" s="17" t="e">
        <f t="shared" si="27"/>
        <v>#N/A</v>
      </c>
      <c r="P99" s="17">
        <f t="shared" si="15"/>
        <v>0</v>
      </c>
      <c r="Q99" s="17">
        <f t="shared" si="16"/>
        <v>0</v>
      </c>
      <c r="S99" s="81"/>
      <c r="T99" s="30"/>
      <c r="U99" s="30"/>
      <c r="W99" s="30"/>
      <c r="X99" s="30"/>
      <c r="Y99" s="30"/>
      <c r="Z99" s="30"/>
      <c r="AA99" s="30"/>
      <c r="AB99" s="30"/>
      <c r="AC99" s="30"/>
      <c r="AD99" s="85"/>
      <c r="AE99" s="85"/>
      <c r="AF99" s="85"/>
      <c r="AH99" s="81"/>
      <c r="AI99" s="30"/>
      <c r="AJ99" s="30"/>
      <c r="AL99" s="30"/>
      <c r="AM99" s="30"/>
      <c r="AN99" s="30"/>
      <c r="AO99" s="30"/>
      <c r="AP99" s="30"/>
      <c r="AQ99" s="30"/>
      <c r="AR99" s="30"/>
      <c r="AS99" s="85"/>
      <c r="AT99" s="85"/>
      <c r="AU99" s="85"/>
      <c r="AW99" s="81"/>
      <c r="AX99" s="30"/>
      <c r="AY99" s="30"/>
      <c r="BA99" s="30"/>
      <c r="BB99" s="30"/>
      <c r="BC99" s="30"/>
      <c r="BD99" s="30"/>
      <c r="BE99" s="30"/>
      <c r="BF99" s="30"/>
      <c r="BG99" s="30"/>
      <c r="BH99" s="85"/>
      <c r="BI99" s="85"/>
      <c r="BJ99" s="85"/>
      <c r="BL99" s="81"/>
      <c r="BM99" s="30"/>
      <c r="BN99" s="30"/>
      <c r="BP99" s="30"/>
      <c r="BQ99" s="30"/>
      <c r="BR99" s="30"/>
      <c r="BS99" s="30"/>
      <c r="BT99" s="30"/>
      <c r="BU99" s="30"/>
      <c r="BV99" s="30"/>
      <c r="BW99" s="85"/>
      <c r="BX99" s="85"/>
      <c r="BY99" s="85"/>
      <c r="CA99" s="81"/>
      <c r="CB99" s="30"/>
      <c r="CC99" s="30"/>
      <c r="CE99" s="30"/>
      <c r="CF99" s="30"/>
      <c r="CG99" s="30"/>
      <c r="CH99" s="30"/>
      <c r="CI99" s="30"/>
      <c r="CJ99" s="30"/>
      <c r="CK99" s="30"/>
      <c r="CL99" s="85"/>
      <c r="CM99" s="85"/>
      <c r="CN99" s="85"/>
      <c r="CP99" s="81"/>
      <c r="CQ99" s="30"/>
      <c r="CR99" s="30"/>
      <c r="CT99" s="30"/>
      <c r="CU99" s="30"/>
      <c r="CV99" s="30"/>
      <c r="CW99" s="30"/>
      <c r="CX99" s="30"/>
      <c r="CY99" s="30"/>
      <c r="CZ99" s="30"/>
      <c r="DA99" s="85"/>
      <c r="DB99" s="85"/>
      <c r="DC99" s="85"/>
      <c r="DE99" s="81"/>
      <c r="DF99" s="30"/>
      <c r="DG99" s="30"/>
      <c r="DI99" s="30"/>
      <c r="DJ99" s="30"/>
      <c r="DK99" s="30"/>
      <c r="DL99" s="30"/>
      <c r="DM99" s="30"/>
      <c r="DN99" s="30"/>
      <c r="DO99" s="30"/>
      <c r="DP99" s="85"/>
      <c r="DQ99" s="85"/>
      <c r="DR99" s="85"/>
      <c r="DT99" s="81"/>
      <c r="DU99" s="30"/>
      <c r="DV99" s="30"/>
      <c r="DX99" s="30"/>
      <c r="DY99" s="30"/>
      <c r="DZ99" s="30"/>
      <c r="EA99" s="30"/>
      <c r="EB99" s="30"/>
      <c r="EC99" s="30"/>
      <c r="ED99" s="30"/>
      <c r="EE99" s="85"/>
      <c r="EF99" s="85"/>
      <c r="EG99" s="85"/>
      <c r="EI99" s="81"/>
      <c r="EJ99" s="30"/>
      <c r="EK99" s="30"/>
      <c r="EM99" s="30"/>
      <c r="EN99" s="30"/>
      <c r="EO99" s="30"/>
      <c r="EP99" s="30"/>
      <c r="EQ99" s="30"/>
      <c r="ER99" s="30"/>
      <c r="ES99" s="30"/>
      <c r="ET99" s="85"/>
      <c r="EU99" s="85"/>
      <c r="EV99" s="85"/>
    </row>
    <row r="100" spans="2:152">
      <c r="B100" s="11">
        <f t="shared" si="17"/>
        <v>0.17</v>
      </c>
      <c r="C100" s="28">
        <v>5.28</v>
      </c>
      <c r="D100" s="16"/>
      <c r="E100" s="8"/>
      <c r="F100" s="27">
        <f t="shared" si="18"/>
        <v>15.792899408284001</v>
      </c>
      <c r="G100" s="27">
        <f t="shared" si="19"/>
        <v>-0.64663468143771485</v>
      </c>
      <c r="H100" s="27">
        <f t="shared" si="20"/>
        <v>0.15664695437408116</v>
      </c>
      <c r="I100" s="27">
        <f t="shared" si="21"/>
        <v>-3.127974808201615</v>
      </c>
      <c r="J100" s="27">
        <f t="shared" si="22"/>
        <v>3.2694911975237037E-2</v>
      </c>
      <c r="K100" s="27" t="e">
        <f t="shared" si="23"/>
        <v>#NUM!</v>
      </c>
      <c r="L100" s="27" t="e">
        <f t="shared" si="24"/>
        <v>#NUM!</v>
      </c>
      <c r="M100" s="17" t="e">
        <f t="shared" si="25"/>
        <v>#NUM!</v>
      </c>
      <c r="N100" s="17" t="e">
        <f t="shared" si="26"/>
        <v>#N/A</v>
      </c>
      <c r="O100" s="17" t="e">
        <f t="shared" si="27"/>
        <v>#N/A</v>
      </c>
      <c r="P100" s="17">
        <f t="shared" si="15"/>
        <v>0</v>
      </c>
      <c r="Q100" s="17">
        <f t="shared" si="16"/>
        <v>0</v>
      </c>
      <c r="S100" s="81"/>
      <c r="T100" s="30"/>
      <c r="U100" s="30"/>
      <c r="W100" s="30"/>
      <c r="X100" s="30"/>
      <c r="Y100" s="30"/>
      <c r="Z100" s="30"/>
      <c r="AA100" s="30"/>
      <c r="AB100" s="30"/>
      <c r="AC100" s="30"/>
      <c r="AD100" s="85"/>
      <c r="AE100" s="85"/>
      <c r="AF100" s="85"/>
      <c r="AH100" s="81"/>
      <c r="AI100" s="30"/>
      <c r="AJ100" s="30"/>
      <c r="AL100" s="30"/>
      <c r="AM100" s="30"/>
      <c r="AN100" s="30"/>
      <c r="AO100" s="30"/>
      <c r="AP100" s="30"/>
      <c r="AQ100" s="30"/>
      <c r="AR100" s="30"/>
      <c r="AS100" s="85"/>
      <c r="AT100" s="85"/>
      <c r="AU100" s="85"/>
      <c r="AW100" s="81"/>
      <c r="AX100" s="30"/>
      <c r="AY100" s="30"/>
      <c r="BA100" s="30"/>
      <c r="BB100" s="30"/>
      <c r="BC100" s="30"/>
      <c r="BD100" s="30"/>
      <c r="BE100" s="30"/>
      <c r="BF100" s="30"/>
      <c r="BG100" s="30"/>
      <c r="BH100" s="85"/>
      <c r="BI100" s="85"/>
      <c r="BJ100" s="85"/>
      <c r="BL100" s="81"/>
      <c r="BM100" s="30"/>
      <c r="BN100" s="30"/>
      <c r="BP100" s="30"/>
      <c r="BQ100" s="30"/>
      <c r="BR100" s="30"/>
      <c r="BS100" s="30"/>
      <c r="BT100" s="30"/>
      <c r="BU100" s="30"/>
      <c r="BV100" s="30"/>
      <c r="BW100" s="85"/>
      <c r="BX100" s="85"/>
      <c r="BY100" s="85"/>
      <c r="CA100" s="81"/>
      <c r="CB100" s="30"/>
      <c r="CC100" s="30"/>
      <c r="CE100" s="30"/>
      <c r="CF100" s="30"/>
      <c r="CG100" s="30"/>
      <c r="CH100" s="30"/>
      <c r="CI100" s="30"/>
      <c r="CJ100" s="30"/>
      <c r="CK100" s="30"/>
      <c r="CL100" s="85"/>
      <c r="CM100" s="85"/>
      <c r="CN100" s="85"/>
      <c r="CP100" s="81"/>
      <c r="CQ100" s="30"/>
      <c r="CR100" s="30"/>
      <c r="CT100" s="30"/>
      <c r="CU100" s="30"/>
      <c r="CV100" s="30"/>
      <c r="CW100" s="30"/>
      <c r="CX100" s="30"/>
      <c r="CY100" s="30"/>
      <c r="CZ100" s="30"/>
      <c r="DA100" s="85"/>
      <c r="DB100" s="85"/>
      <c r="DC100" s="85"/>
      <c r="DE100" s="81"/>
      <c r="DF100" s="30"/>
      <c r="DG100" s="30"/>
      <c r="DI100" s="30"/>
      <c r="DJ100" s="30"/>
      <c r="DK100" s="30"/>
      <c r="DL100" s="30"/>
      <c r="DM100" s="30"/>
      <c r="DN100" s="30"/>
      <c r="DO100" s="30"/>
      <c r="DP100" s="85"/>
      <c r="DQ100" s="85"/>
      <c r="DR100" s="85"/>
      <c r="DT100" s="81"/>
      <c r="DU100" s="30"/>
      <c r="DV100" s="30"/>
      <c r="DX100" s="30"/>
      <c r="DY100" s="30"/>
      <c r="DZ100" s="30"/>
      <c r="EA100" s="30"/>
      <c r="EB100" s="30"/>
      <c r="EC100" s="30"/>
      <c r="ED100" s="30"/>
      <c r="EE100" s="85"/>
      <c r="EF100" s="85"/>
      <c r="EG100" s="85"/>
      <c r="EI100" s="81"/>
      <c r="EJ100" s="30"/>
      <c r="EK100" s="30"/>
      <c r="EM100" s="30"/>
      <c r="EN100" s="30"/>
      <c r="EO100" s="30"/>
      <c r="EP100" s="30"/>
      <c r="EQ100" s="30"/>
      <c r="ER100" s="30"/>
      <c r="ES100" s="30"/>
      <c r="ET100" s="85"/>
      <c r="EU100" s="85"/>
      <c r="EV100" s="85"/>
    </row>
    <row r="101" spans="2:152">
      <c r="B101" s="11">
        <f t="shared" si="17"/>
        <v>0.17</v>
      </c>
      <c r="C101" s="28">
        <v>5.34</v>
      </c>
      <c r="D101" s="16"/>
      <c r="E101" s="8"/>
      <c r="F101" s="27">
        <f t="shared" si="18"/>
        <v>13.853470437017981</v>
      </c>
      <c r="G101" s="27">
        <f t="shared" si="19"/>
        <v>-0.64982469582669944</v>
      </c>
      <c r="H101" s="27">
        <f t="shared" si="20"/>
        <v>0.15983696876306583</v>
      </c>
      <c r="I101" s="27">
        <f t="shared" si="21"/>
        <v>-3.0655469185602886</v>
      </c>
      <c r="J101" s="27">
        <f t="shared" si="22"/>
        <v>3.744344980267595E-2</v>
      </c>
      <c r="K101" s="27" t="e">
        <f t="shared" si="23"/>
        <v>#NUM!</v>
      </c>
      <c r="L101" s="27" t="e">
        <f t="shared" si="24"/>
        <v>#NUM!</v>
      </c>
      <c r="M101" s="17" t="e">
        <f t="shared" si="25"/>
        <v>#NUM!</v>
      </c>
      <c r="N101" s="17" t="e">
        <f t="shared" si="26"/>
        <v>#N/A</v>
      </c>
      <c r="O101" s="17" t="e">
        <f t="shared" si="27"/>
        <v>#N/A</v>
      </c>
      <c r="P101" s="17">
        <f t="shared" si="15"/>
        <v>0</v>
      </c>
      <c r="Q101" s="17">
        <f t="shared" si="16"/>
        <v>0</v>
      </c>
      <c r="S101" s="81"/>
      <c r="T101" s="30"/>
      <c r="U101" s="30"/>
      <c r="W101" s="30"/>
      <c r="X101" s="30"/>
      <c r="Y101" s="30"/>
      <c r="Z101" s="30"/>
      <c r="AA101" s="30"/>
      <c r="AB101" s="30"/>
      <c r="AC101" s="30"/>
      <c r="AD101" s="85"/>
      <c r="AE101" s="85"/>
      <c r="AF101" s="85"/>
      <c r="AH101" s="81"/>
      <c r="AI101" s="30"/>
      <c r="AJ101" s="30"/>
      <c r="AL101" s="30"/>
      <c r="AM101" s="30"/>
      <c r="AN101" s="30"/>
      <c r="AO101" s="30"/>
      <c r="AP101" s="30"/>
      <c r="AQ101" s="30"/>
      <c r="AR101" s="30"/>
      <c r="AS101" s="85"/>
      <c r="AT101" s="85"/>
      <c r="AU101" s="85"/>
      <c r="AW101" s="81"/>
      <c r="AX101" s="30"/>
      <c r="AY101" s="30"/>
      <c r="BA101" s="30"/>
      <c r="BB101" s="30"/>
      <c r="BC101" s="30"/>
      <c r="BD101" s="30"/>
      <c r="BE101" s="30"/>
      <c r="BF101" s="30"/>
      <c r="BG101" s="30"/>
      <c r="BH101" s="85"/>
      <c r="BI101" s="85"/>
      <c r="BJ101" s="85"/>
      <c r="BL101" s="81"/>
      <c r="BM101" s="30"/>
      <c r="BN101" s="30"/>
      <c r="BP101" s="30"/>
      <c r="BQ101" s="30"/>
      <c r="BR101" s="30"/>
      <c r="BS101" s="30"/>
      <c r="BT101" s="30"/>
      <c r="BU101" s="30"/>
      <c r="BV101" s="30"/>
      <c r="BW101" s="85"/>
      <c r="BX101" s="85"/>
      <c r="BY101" s="85"/>
      <c r="CA101" s="81"/>
      <c r="CB101" s="30"/>
      <c r="CC101" s="30"/>
      <c r="CE101" s="30"/>
      <c r="CF101" s="30"/>
      <c r="CG101" s="30"/>
      <c r="CH101" s="30"/>
      <c r="CI101" s="30"/>
      <c r="CJ101" s="30"/>
      <c r="CK101" s="30"/>
      <c r="CL101" s="85"/>
      <c r="CM101" s="85"/>
      <c r="CN101" s="85"/>
      <c r="CP101" s="81"/>
      <c r="CQ101" s="30"/>
      <c r="CR101" s="30"/>
      <c r="CT101" s="30"/>
      <c r="CU101" s="30"/>
      <c r="CV101" s="30"/>
      <c r="CW101" s="30"/>
      <c r="CX101" s="30"/>
      <c r="CY101" s="30"/>
      <c r="CZ101" s="30"/>
      <c r="DA101" s="85"/>
      <c r="DB101" s="85"/>
      <c r="DC101" s="85"/>
      <c r="DE101" s="81"/>
      <c r="DF101" s="30"/>
      <c r="DG101" s="30"/>
      <c r="DI101" s="30"/>
      <c r="DJ101" s="30"/>
      <c r="DK101" s="30"/>
      <c r="DL101" s="30"/>
      <c r="DM101" s="30"/>
      <c r="DN101" s="30"/>
      <c r="DO101" s="30"/>
      <c r="DP101" s="85"/>
      <c r="DQ101" s="85"/>
      <c r="DR101" s="85"/>
      <c r="DT101" s="81"/>
      <c r="DU101" s="30"/>
      <c r="DV101" s="30"/>
      <c r="DX101" s="30"/>
      <c r="DY101" s="30"/>
      <c r="DZ101" s="30"/>
      <c r="EA101" s="30"/>
      <c r="EB101" s="30"/>
      <c r="EC101" s="30"/>
      <c r="ED101" s="30"/>
      <c r="EE101" s="85"/>
      <c r="EF101" s="85"/>
      <c r="EG101" s="85"/>
      <c r="EI101" s="81"/>
      <c r="EJ101" s="30"/>
      <c r="EK101" s="30"/>
      <c r="EM101" s="30"/>
      <c r="EN101" s="30"/>
      <c r="EO101" s="30"/>
      <c r="EP101" s="30"/>
      <c r="EQ101" s="30"/>
      <c r="ER101" s="30"/>
      <c r="ES101" s="30"/>
      <c r="ET101" s="85"/>
      <c r="EU101" s="85"/>
      <c r="EV101" s="85"/>
    </row>
    <row r="102" spans="2:152">
      <c r="B102" s="11">
        <f t="shared" si="17"/>
        <v>0.17</v>
      </c>
      <c r="C102" s="28">
        <v>5.4</v>
      </c>
      <c r="D102" s="16"/>
      <c r="E102" s="8"/>
      <c r="F102" s="27">
        <f t="shared" si="18"/>
        <v>12.363636363636353</v>
      </c>
      <c r="G102" s="27">
        <f t="shared" si="19"/>
        <v>-0.65301471021568425</v>
      </c>
      <c r="H102" s="27">
        <f t="shared" si="20"/>
        <v>0.16302698315205047</v>
      </c>
      <c r="I102" s="27">
        <f t="shared" si="21"/>
        <v>-3.0055621320467951</v>
      </c>
      <c r="J102" s="27">
        <f t="shared" si="22"/>
        <v>4.2145593869731837E-2</v>
      </c>
      <c r="K102" s="27" t="e">
        <f t="shared" si="23"/>
        <v>#NUM!</v>
      </c>
      <c r="L102" s="27" t="e">
        <f t="shared" si="24"/>
        <v>#NUM!</v>
      </c>
      <c r="M102" s="17" t="e">
        <f t="shared" si="25"/>
        <v>#NUM!</v>
      </c>
      <c r="N102" s="17" t="e">
        <f t="shared" si="26"/>
        <v>#N/A</v>
      </c>
      <c r="O102" s="17" t="e">
        <f t="shared" si="27"/>
        <v>#N/A</v>
      </c>
      <c r="P102" s="17">
        <f t="shared" si="15"/>
        <v>0</v>
      </c>
      <c r="Q102" s="17">
        <f t="shared" si="16"/>
        <v>0</v>
      </c>
      <c r="S102" s="81"/>
      <c r="T102" s="30"/>
      <c r="U102" s="30"/>
      <c r="W102" s="30"/>
      <c r="X102" s="30"/>
      <c r="Y102" s="30"/>
      <c r="Z102" s="30"/>
      <c r="AA102" s="30"/>
      <c r="AB102" s="30"/>
      <c r="AC102" s="30"/>
      <c r="AD102" s="85"/>
      <c r="AE102" s="85"/>
      <c r="AF102" s="85"/>
      <c r="AH102" s="81"/>
      <c r="AI102" s="30"/>
      <c r="AJ102" s="30"/>
      <c r="AL102" s="30"/>
      <c r="AM102" s="30"/>
      <c r="AN102" s="30"/>
      <c r="AO102" s="30"/>
      <c r="AP102" s="30"/>
      <c r="AQ102" s="30"/>
      <c r="AR102" s="30"/>
      <c r="AS102" s="85"/>
      <c r="AT102" s="85"/>
      <c r="AU102" s="85"/>
      <c r="AW102" s="81"/>
      <c r="AX102" s="30"/>
      <c r="AY102" s="30"/>
      <c r="BA102" s="30"/>
      <c r="BB102" s="30"/>
      <c r="BC102" s="30"/>
      <c r="BD102" s="30"/>
      <c r="BE102" s="30"/>
      <c r="BF102" s="30"/>
      <c r="BG102" s="30"/>
      <c r="BH102" s="85"/>
      <c r="BI102" s="85"/>
      <c r="BJ102" s="85"/>
      <c r="BL102" s="81"/>
      <c r="BM102" s="30"/>
      <c r="BN102" s="30"/>
      <c r="BP102" s="30"/>
      <c r="BQ102" s="30"/>
      <c r="BR102" s="30"/>
      <c r="BS102" s="30"/>
      <c r="BT102" s="30"/>
      <c r="BU102" s="30"/>
      <c r="BV102" s="30"/>
      <c r="BW102" s="85"/>
      <c r="BX102" s="85"/>
      <c r="BY102" s="85"/>
      <c r="CA102" s="81"/>
      <c r="CB102" s="30"/>
      <c r="CC102" s="30"/>
      <c r="CE102" s="30"/>
      <c r="CF102" s="30"/>
      <c r="CG102" s="30"/>
      <c r="CH102" s="30"/>
      <c r="CI102" s="30"/>
      <c r="CJ102" s="30"/>
      <c r="CK102" s="30"/>
      <c r="CL102" s="85"/>
      <c r="CM102" s="85"/>
      <c r="CN102" s="85"/>
      <c r="CP102" s="81"/>
      <c r="CQ102" s="30"/>
      <c r="CR102" s="30"/>
      <c r="CT102" s="30"/>
      <c r="CU102" s="30"/>
      <c r="CV102" s="30"/>
      <c r="CW102" s="30"/>
      <c r="CX102" s="30"/>
      <c r="CY102" s="30"/>
      <c r="CZ102" s="30"/>
      <c r="DA102" s="85"/>
      <c r="DB102" s="85"/>
      <c r="DC102" s="85"/>
      <c r="DE102" s="81"/>
      <c r="DF102" s="30"/>
      <c r="DG102" s="30"/>
      <c r="DI102" s="30"/>
      <c r="DJ102" s="30"/>
      <c r="DK102" s="30"/>
      <c r="DL102" s="30"/>
      <c r="DM102" s="30"/>
      <c r="DN102" s="30"/>
      <c r="DO102" s="30"/>
      <c r="DP102" s="85"/>
      <c r="DQ102" s="85"/>
      <c r="DR102" s="85"/>
      <c r="DT102" s="81"/>
      <c r="DU102" s="30"/>
      <c r="DV102" s="30"/>
      <c r="DX102" s="30"/>
      <c r="DY102" s="30"/>
      <c r="DZ102" s="30"/>
      <c r="EA102" s="30"/>
      <c r="EB102" s="30"/>
      <c r="EC102" s="30"/>
      <c r="ED102" s="30"/>
      <c r="EE102" s="85"/>
      <c r="EF102" s="85"/>
      <c r="EG102" s="85"/>
      <c r="EI102" s="81"/>
      <c r="EJ102" s="30"/>
      <c r="EK102" s="30"/>
      <c r="EM102" s="30"/>
      <c r="EN102" s="30"/>
      <c r="EO102" s="30"/>
      <c r="EP102" s="30"/>
      <c r="EQ102" s="30"/>
      <c r="ER102" s="30"/>
      <c r="ES102" s="30"/>
      <c r="ET102" s="85"/>
      <c r="EU102" s="85"/>
      <c r="EV102" s="85"/>
    </row>
    <row r="103" spans="2:152">
      <c r="B103" s="11">
        <f t="shared" si="17"/>
        <v>0.17</v>
      </c>
      <c r="C103" s="28">
        <v>5.46</v>
      </c>
      <c r="D103" s="16"/>
      <c r="E103" s="8"/>
      <c r="F103" s="27">
        <f t="shared" si="18"/>
        <v>11.18329938900203</v>
      </c>
      <c r="G103" s="27">
        <f t="shared" si="19"/>
        <v>-0.65620472460466894</v>
      </c>
      <c r="H103" s="27">
        <f t="shared" si="20"/>
        <v>0.16621699754103514</v>
      </c>
      <c r="I103" s="27">
        <f t="shared" si="21"/>
        <v>-2.9478797855355747</v>
      </c>
      <c r="J103" s="27">
        <f t="shared" si="22"/>
        <v>4.6802020779715972E-2</v>
      </c>
      <c r="K103" s="27" t="e">
        <f t="shared" si="23"/>
        <v>#NUM!</v>
      </c>
      <c r="L103" s="27" t="e">
        <f t="shared" si="24"/>
        <v>#NUM!</v>
      </c>
      <c r="M103" s="17" t="e">
        <f t="shared" si="25"/>
        <v>#NUM!</v>
      </c>
      <c r="N103" s="17" t="e">
        <f t="shared" si="26"/>
        <v>#N/A</v>
      </c>
      <c r="O103" s="17" t="e">
        <f t="shared" si="27"/>
        <v>#N/A</v>
      </c>
      <c r="P103" s="17">
        <f t="shared" si="15"/>
        <v>0</v>
      </c>
      <c r="Q103" s="17">
        <f t="shared" si="16"/>
        <v>0</v>
      </c>
      <c r="S103" s="81"/>
      <c r="T103" s="30"/>
      <c r="U103" s="30"/>
      <c r="W103" s="30"/>
      <c r="X103" s="30"/>
      <c r="Y103" s="30"/>
      <c r="Z103" s="30"/>
      <c r="AA103" s="30"/>
      <c r="AB103" s="30"/>
      <c r="AC103" s="30"/>
      <c r="AD103" s="85"/>
      <c r="AE103" s="85"/>
      <c r="AF103" s="85"/>
      <c r="AH103" s="81"/>
      <c r="AI103" s="30"/>
      <c r="AJ103" s="30"/>
      <c r="AL103" s="30"/>
      <c r="AM103" s="30"/>
      <c r="AN103" s="30"/>
      <c r="AO103" s="30"/>
      <c r="AP103" s="30"/>
      <c r="AQ103" s="30"/>
      <c r="AR103" s="30"/>
      <c r="AS103" s="85"/>
      <c r="AT103" s="85"/>
      <c r="AU103" s="85"/>
      <c r="AW103" s="81"/>
      <c r="AX103" s="30"/>
      <c r="AY103" s="30"/>
      <c r="BA103" s="30"/>
      <c r="BB103" s="30"/>
      <c r="BC103" s="30"/>
      <c r="BD103" s="30"/>
      <c r="BE103" s="30"/>
      <c r="BF103" s="30"/>
      <c r="BG103" s="30"/>
      <c r="BH103" s="85"/>
      <c r="BI103" s="85"/>
      <c r="BJ103" s="85"/>
      <c r="BL103" s="81"/>
      <c r="BM103" s="30"/>
      <c r="BN103" s="30"/>
      <c r="BP103" s="30"/>
      <c r="BQ103" s="30"/>
      <c r="BR103" s="30"/>
      <c r="BS103" s="30"/>
      <c r="BT103" s="30"/>
      <c r="BU103" s="30"/>
      <c r="BV103" s="30"/>
      <c r="BW103" s="85"/>
      <c r="BX103" s="85"/>
      <c r="BY103" s="85"/>
      <c r="CA103" s="81"/>
      <c r="CB103" s="30"/>
      <c r="CC103" s="30"/>
      <c r="CE103" s="30"/>
      <c r="CF103" s="30"/>
      <c r="CG103" s="30"/>
      <c r="CH103" s="30"/>
      <c r="CI103" s="30"/>
      <c r="CJ103" s="30"/>
      <c r="CK103" s="30"/>
      <c r="CL103" s="85"/>
      <c r="CM103" s="85"/>
      <c r="CN103" s="85"/>
      <c r="CP103" s="81"/>
      <c r="CQ103" s="30"/>
      <c r="CR103" s="30"/>
      <c r="CT103" s="30"/>
      <c r="CU103" s="30"/>
      <c r="CV103" s="30"/>
      <c r="CW103" s="30"/>
      <c r="CX103" s="30"/>
      <c r="CY103" s="30"/>
      <c r="CZ103" s="30"/>
      <c r="DA103" s="85"/>
      <c r="DB103" s="85"/>
      <c r="DC103" s="85"/>
      <c r="DE103" s="81"/>
      <c r="DF103" s="30"/>
      <c r="DG103" s="30"/>
      <c r="DI103" s="30"/>
      <c r="DJ103" s="30"/>
      <c r="DK103" s="30"/>
      <c r="DL103" s="30"/>
      <c r="DM103" s="30"/>
      <c r="DN103" s="30"/>
      <c r="DO103" s="30"/>
      <c r="DP103" s="85"/>
      <c r="DQ103" s="85"/>
      <c r="DR103" s="85"/>
      <c r="DT103" s="81"/>
      <c r="DU103" s="30"/>
      <c r="DV103" s="30"/>
      <c r="DX103" s="30"/>
      <c r="DY103" s="30"/>
      <c r="DZ103" s="30"/>
      <c r="EA103" s="30"/>
      <c r="EB103" s="30"/>
      <c r="EC103" s="30"/>
      <c r="ED103" s="30"/>
      <c r="EE103" s="85"/>
      <c r="EF103" s="85"/>
      <c r="EG103" s="85"/>
      <c r="EI103" s="81"/>
      <c r="EJ103" s="30"/>
      <c r="EK103" s="30"/>
      <c r="EM103" s="30"/>
      <c r="EN103" s="30"/>
      <c r="EO103" s="30"/>
      <c r="EP103" s="30"/>
      <c r="EQ103" s="30"/>
      <c r="ER103" s="30"/>
      <c r="ES103" s="30"/>
      <c r="ET103" s="85"/>
      <c r="EU103" s="85"/>
      <c r="EV103" s="85"/>
    </row>
    <row r="104" spans="2:152">
      <c r="B104" s="11">
        <f t="shared" si="17"/>
        <v>0.17</v>
      </c>
      <c r="C104" s="28">
        <v>5.52</v>
      </c>
      <c r="D104" s="16"/>
      <c r="E104" s="8"/>
      <c r="F104" s="27">
        <f t="shared" si="18"/>
        <v>10.225092250922504</v>
      </c>
      <c r="G104" s="27">
        <f t="shared" si="19"/>
        <v>-0.65939473899365353</v>
      </c>
      <c r="H104" s="27">
        <f t="shared" si="20"/>
        <v>0.16940701193001981</v>
      </c>
      <c r="I104" s="27">
        <f t="shared" si="21"/>
        <v>-2.8923698109145701</v>
      </c>
      <c r="J104" s="27">
        <f t="shared" si="22"/>
        <v>5.1413394042876141E-2</v>
      </c>
      <c r="K104" s="27" t="e">
        <f t="shared" si="23"/>
        <v>#NUM!</v>
      </c>
      <c r="L104" s="27" t="e">
        <f t="shared" si="24"/>
        <v>#NUM!</v>
      </c>
      <c r="M104" s="17" t="e">
        <f t="shared" si="25"/>
        <v>#NUM!</v>
      </c>
      <c r="N104" s="17" t="e">
        <f t="shared" si="26"/>
        <v>#N/A</v>
      </c>
      <c r="O104" s="17" t="e">
        <f t="shared" si="27"/>
        <v>#N/A</v>
      </c>
      <c r="P104" s="17">
        <f t="shared" si="15"/>
        <v>0</v>
      </c>
      <c r="Q104" s="17">
        <f t="shared" si="16"/>
        <v>0</v>
      </c>
      <c r="S104" s="81"/>
      <c r="T104" s="30"/>
      <c r="U104" s="30"/>
      <c r="W104" s="30"/>
      <c r="X104" s="30"/>
      <c r="Y104" s="30"/>
      <c r="Z104" s="30"/>
      <c r="AA104" s="30"/>
      <c r="AB104" s="30"/>
      <c r="AC104" s="30"/>
      <c r="AD104" s="85"/>
      <c r="AE104" s="85"/>
      <c r="AF104" s="85"/>
      <c r="AH104" s="81"/>
      <c r="AI104" s="30"/>
      <c r="AJ104" s="30"/>
      <c r="AL104" s="30"/>
      <c r="AM104" s="30"/>
      <c r="AN104" s="30"/>
      <c r="AO104" s="30"/>
      <c r="AP104" s="30"/>
      <c r="AQ104" s="30"/>
      <c r="AR104" s="30"/>
      <c r="AS104" s="85"/>
      <c r="AT104" s="85"/>
      <c r="AU104" s="85"/>
      <c r="AW104" s="81"/>
      <c r="AX104" s="30"/>
      <c r="AY104" s="30"/>
      <c r="BA104" s="30"/>
      <c r="BB104" s="30"/>
      <c r="BC104" s="30"/>
      <c r="BD104" s="30"/>
      <c r="BE104" s="30"/>
      <c r="BF104" s="30"/>
      <c r="BG104" s="30"/>
      <c r="BH104" s="85"/>
      <c r="BI104" s="85"/>
      <c r="BJ104" s="85"/>
      <c r="BL104" s="81"/>
      <c r="BM104" s="30"/>
      <c r="BN104" s="30"/>
      <c r="BP104" s="30"/>
      <c r="BQ104" s="30"/>
      <c r="BR104" s="30"/>
      <c r="BS104" s="30"/>
      <c r="BT104" s="30"/>
      <c r="BU104" s="30"/>
      <c r="BV104" s="30"/>
      <c r="BW104" s="85"/>
      <c r="BX104" s="85"/>
      <c r="BY104" s="85"/>
      <c r="CA104" s="81"/>
      <c r="CB104" s="30"/>
      <c r="CC104" s="30"/>
      <c r="CE104" s="30"/>
      <c r="CF104" s="30"/>
      <c r="CG104" s="30"/>
      <c r="CH104" s="30"/>
      <c r="CI104" s="30"/>
      <c r="CJ104" s="30"/>
      <c r="CK104" s="30"/>
      <c r="CL104" s="85"/>
      <c r="CM104" s="85"/>
      <c r="CN104" s="85"/>
      <c r="CP104" s="81"/>
      <c r="CQ104" s="30"/>
      <c r="CR104" s="30"/>
      <c r="CT104" s="30"/>
      <c r="CU104" s="30"/>
      <c r="CV104" s="30"/>
      <c r="CW104" s="30"/>
      <c r="CX104" s="30"/>
      <c r="CY104" s="30"/>
      <c r="CZ104" s="30"/>
      <c r="DA104" s="85"/>
      <c r="DB104" s="85"/>
      <c r="DC104" s="85"/>
      <c r="DE104" s="81"/>
      <c r="DF104" s="30"/>
      <c r="DG104" s="30"/>
      <c r="DI104" s="30"/>
      <c r="DJ104" s="30"/>
      <c r="DK104" s="30"/>
      <c r="DL104" s="30"/>
      <c r="DM104" s="30"/>
      <c r="DN104" s="30"/>
      <c r="DO104" s="30"/>
      <c r="DP104" s="85"/>
      <c r="DQ104" s="85"/>
      <c r="DR104" s="85"/>
      <c r="DT104" s="81"/>
      <c r="DU104" s="30"/>
      <c r="DV104" s="30"/>
      <c r="DX104" s="30"/>
      <c r="DY104" s="30"/>
      <c r="DZ104" s="30"/>
      <c r="EA104" s="30"/>
      <c r="EB104" s="30"/>
      <c r="EC104" s="30"/>
      <c r="ED104" s="30"/>
      <c r="EE104" s="85"/>
      <c r="EF104" s="85"/>
      <c r="EG104" s="85"/>
      <c r="EI104" s="81"/>
      <c r="EJ104" s="30"/>
      <c r="EK104" s="30"/>
      <c r="EM104" s="30"/>
      <c r="EN104" s="30"/>
      <c r="EO104" s="30"/>
      <c r="EP104" s="30"/>
      <c r="EQ104" s="30"/>
      <c r="ER104" s="30"/>
      <c r="ES104" s="30"/>
      <c r="ET104" s="85"/>
      <c r="EU104" s="85"/>
      <c r="EV104" s="85"/>
    </row>
    <row r="105" spans="2:152">
      <c r="B105" s="11">
        <f t="shared" si="17"/>
        <v>0.17</v>
      </c>
      <c r="C105" s="28">
        <v>5.58</v>
      </c>
      <c r="D105" s="16"/>
      <c r="E105" s="8"/>
      <c r="F105" s="27">
        <f t="shared" si="18"/>
        <v>9.4317032040472153</v>
      </c>
      <c r="G105" s="27">
        <f t="shared" si="19"/>
        <v>-0.66258475338263811</v>
      </c>
      <c r="H105" s="27">
        <f t="shared" si="20"/>
        <v>0.17259702631900448</v>
      </c>
      <c r="I105" s="27">
        <f t="shared" si="21"/>
        <v>-2.8389117559766532</v>
      </c>
      <c r="J105" s="27">
        <f t="shared" si="22"/>
        <v>5.5980364391579371E-2</v>
      </c>
      <c r="K105" s="27" t="e">
        <f t="shared" si="23"/>
        <v>#NUM!</v>
      </c>
      <c r="L105" s="27" t="e">
        <f t="shared" si="24"/>
        <v>#NUM!</v>
      </c>
      <c r="M105" s="17" t="e">
        <f t="shared" si="25"/>
        <v>#NUM!</v>
      </c>
      <c r="N105" s="17" t="e">
        <f t="shared" si="26"/>
        <v>#N/A</v>
      </c>
      <c r="O105" s="17" t="e">
        <f t="shared" si="27"/>
        <v>#N/A</v>
      </c>
      <c r="P105" s="17">
        <f t="shared" si="15"/>
        <v>0</v>
      </c>
      <c r="Q105" s="17">
        <f t="shared" si="16"/>
        <v>0</v>
      </c>
      <c r="S105" s="81"/>
      <c r="T105" s="30"/>
      <c r="U105" s="30"/>
      <c r="W105" s="30"/>
      <c r="X105" s="30"/>
      <c r="Y105" s="30"/>
      <c r="Z105" s="30"/>
      <c r="AA105" s="30"/>
      <c r="AB105" s="30"/>
      <c r="AC105" s="30"/>
      <c r="AD105" s="85"/>
      <c r="AE105" s="85"/>
      <c r="AF105" s="85"/>
      <c r="AH105" s="81"/>
      <c r="AI105" s="30"/>
      <c r="AJ105" s="30"/>
      <c r="AL105" s="30"/>
      <c r="AM105" s="30"/>
      <c r="AN105" s="30"/>
      <c r="AO105" s="30"/>
      <c r="AP105" s="30"/>
      <c r="AQ105" s="30"/>
      <c r="AR105" s="30"/>
      <c r="AS105" s="85"/>
      <c r="AT105" s="85"/>
      <c r="AU105" s="85"/>
      <c r="AW105" s="81"/>
      <c r="AX105" s="30"/>
      <c r="AY105" s="30"/>
      <c r="BA105" s="30"/>
      <c r="BB105" s="30"/>
      <c r="BC105" s="30"/>
      <c r="BD105" s="30"/>
      <c r="BE105" s="30"/>
      <c r="BF105" s="30"/>
      <c r="BG105" s="30"/>
      <c r="BH105" s="85"/>
      <c r="BI105" s="85"/>
      <c r="BJ105" s="85"/>
      <c r="BL105" s="81"/>
      <c r="BM105" s="30"/>
      <c r="BN105" s="30"/>
      <c r="BP105" s="30"/>
      <c r="BQ105" s="30"/>
      <c r="BR105" s="30"/>
      <c r="BS105" s="30"/>
      <c r="BT105" s="30"/>
      <c r="BU105" s="30"/>
      <c r="BV105" s="30"/>
      <c r="BW105" s="85"/>
      <c r="BX105" s="85"/>
      <c r="BY105" s="85"/>
      <c r="CA105" s="81"/>
      <c r="CB105" s="30"/>
      <c r="CC105" s="30"/>
      <c r="CE105" s="30"/>
      <c r="CF105" s="30"/>
      <c r="CG105" s="30"/>
      <c r="CH105" s="30"/>
      <c r="CI105" s="30"/>
      <c r="CJ105" s="30"/>
      <c r="CK105" s="30"/>
      <c r="CL105" s="85"/>
      <c r="CM105" s="85"/>
      <c r="CN105" s="85"/>
      <c r="CP105" s="81"/>
      <c r="CQ105" s="30"/>
      <c r="CR105" s="30"/>
      <c r="CT105" s="30"/>
      <c r="CU105" s="30"/>
      <c r="CV105" s="30"/>
      <c r="CW105" s="30"/>
      <c r="CX105" s="30"/>
      <c r="CY105" s="30"/>
      <c r="CZ105" s="30"/>
      <c r="DA105" s="85"/>
      <c r="DB105" s="85"/>
      <c r="DC105" s="85"/>
      <c r="DE105" s="81"/>
      <c r="DF105" s="30"/>
      <c r="DG105" s="30"/>
      <c r="DI105" s="30"/>
      <c r="DJ105" s="30"/>
      <c r="DK105" s="30"/>
      <c r="DL105" s="30"/>
      <c r="DM105" s="30"/>
      <c r="DN105" s="30"/>
      <c r="DO105" s="30"/>
      <c r="DP105" s="85"/>
      <c r="DQ105" s="85"/>
      <c r="DR105" s="85"/>
      <c r="DT105" s="81"/>
      <c r="DU105" s="30"/>
      <c r="DV105" s="30"/>
      <c r="DX105" s="30"/>
      <c r="DY105" s="30"/>
      <c r="DZ105" s="30"/>
      <c r="EA105" s="30"/>
      <c r="EB105" s="30"/>
      <c r="EC105" s="30"/>
      <c r="ED105" s="30"/>
      <c r="EE105" s="85"/>
      <c r="EF105" s="85"/>
      <c r="EG105" s="85"/>
      <c r="EI105" s="81"/>
      <c r="EJ105" s="30"/>
      <c r="EK105" s="30"/>
      <c r="EM105" s="30"/>
      <c r="EN105" s="30"/>
      <c r="EO105" s="30"/>
      <c r="EP105" s="30"/>
      <c r="EQ105" s="30"/>
      <c r="ER105" s="30"/>
      <c r="ES105" s="30"/>
      <c r="ET105" s="85"/>
      <c r="EU105" s="85"/>
      <c r="EV105" s="85"/>
    </row>
    <row r="106" spans="2:152">
      <c r="B106" s="11">
        <f t="shared" si="17"/>
        <v>0.17</v>
      </c>
      <c r="C106" s="28">
        <v>5.64</v>
      </c>
      <c r="D106" s="16"/>
      <c r="E106" s="8"/>
      <c r="F106" s="27">
        <f t="shared" si="18"/>
        <v>8.7639751552795015</v>
      </c>
      <c r="G106" s="27">
        <f t="shared" si="19"/>
        <v>-0.66577476777162281</v>
      </c>
      <c r="H106" s="27">
        <f t="shared" si="20"/>
        <v>0.17578704070798912</v>
      </c>
      <c r="I106" s="27">
        <f t="shared" si="21"/>
        <v>-2.7873939119185871</v>
      </c>
      <c r="J106" s="27">
        <f t="shared" si="22"/>
        <v>6.0503570086433686E-2</v>
      </c>
      <c r="K106" s="27" t="e">
        <f t="shared" si="23"/>
        <v>#NUM!</v>
      </c>
      <c r="L106" s="27" t="e">
        <f t="shared" si="24"/>
        <v>#NUM!</v>
      </c>
      <c r="M106" s="17" t="e">
        <f t="shared" si="25"/>
        <v>#NUM!</v>
      </c>
      <c r="N106" s="17" t="e">
        <f t="shared" si="26"/>
        <v>#N/A</v>
      </c>
      <c r="O106" s="17" t="e">
        <f t="shared" si="27"/>
        <v>#N/A</v>
      </c>
      <c r="P106" s="17">
        <f t="shared" si="15"/>
        <v>0</v>
      </c>
      <c r="Q106" s="17">
        <f t="shared" si="16"/>
        <v>0</v>
      </c>
      <c r="S106" s="81"/>
      <c r="T106" s="30"/>
      <c r="U106" s="30"/>
      <c r="W106" s="30"/>
      <c r="X106" s="30"/>
      <c r="Y106" s="30"/>
      <c r="Z106" s="30"/>
      <c r="AA106" s="30"/>
      <c r="AB106" s="30"/>
      <c r="AC106" s="30"/>
      <c r="AD106" s="85"/>
      <c r="AE106" s="85"/>
      <c r="AF106" s="85"/>
      <c r="AH106" s="81"/>
      <c r="AI106" s="30"/>
      <c r="AJ106" s="30"/>
      <c r="AL106" s="30"/>
      <c r="AM106" s="30"/>
      <c r="AN106" s="30"/>
      <c r="AO106" s="30"/>
      <c r="AP106" s="30"/>
      <c r="AQ106" s="30"/>
      <c r="AR106" s="30"/>
      <c r="AS106" s="85"/>
      <c r="AT106" s="85"/>
      <c r="AU106" s="85"/>
      <c r="AW106" s="81"/>
      <c r="AX106" s="30"/>
      <c r="AY106" s="30"/>
      <c r="BA106" s="30"/>
      <c r="BB106" s="30"/>
      <c r="BC106" s="30"/>
      <c r="BD106" s="30"/>
      <c r="BE106" s="30"/>
      <c r="BF106" s="30"/>
      <c r="BG106" s="30"/>
      <c r="BH106" s="85"/>
      <c r="BI106" s="85"/>
      <c r="BJ106" s="85"/>
      <c r="BL106" s="81"/>
      <c r="BM106" s="30"/>
      <c r="BN106" s="30"/>
      <c r="BP106" s="30"/>
      <c r="BQ106" s="30"/>
      <c r="BR106" s="30"/>
      <c r="BS106" s="30"/>
      <c r="BT106" s="30"/>
      <c r="BU106" s="30"/>
      <c r="BV106" s="30"/>
      <c r="BW106" s="85"/>
      <c r="BX106" s="85"/>
      <c r="BY106" s="85"/>
      <c r="CA106" s="81"/>
      <c r="CB106" s="30"/>
      <c r="CC106" s="30"/>
      <c r="CE106" s="30"/>
      <c r="CF106" s="30"/>
      <c r="CG106" s="30"/>
      <c r="CH106" s="30"/>
      <c r="CI106" s="30"/>
      <c r="CJ106" s="30"/>
      <c r="CK106" s="30"/>
      <c r="CL106" s="85"/>
      <c r="CM106" s="85"/>
      <c r="CN106" s="85"/>
      <c r="CP106" s="81"/>
      <c r="CQ106" s="30"/>
      <c r="CR106" s="30"/>
      <c r="CT106" s="30"/>
      <c r="CU106" s="30"/>
      <c r="CV106" s="30"/>
      <c r="CW106" s="30"/>
      <c r="CX106" s="30"/>
      <c r="CY106" s="30"/>
      <c r="CZ106" s="30"/>
      <c r="DA106" s="85"/>
      <c r="DB106" s="85"/>
      <c r="DC106" s="85"/>
      <c r="DE106" s="81"/>
      <c r="DF106" s="30"/>
      <c r="DG106" s="30"/>
      <c r="DI106" s="30"/>
      <c r="DJ106" s="30"/>
      <c r="DK106" s="30"/>
      <c r="DL106" s="30"/>
      <c r="DM106" s="30"/>
      <c r="DN106" s="30"/>
      <c r="DO106" s="30"/>
      <c r="DP106" s="85"/>
      <c r="DQ106" s="85"/>
      <c r="DR106" s="85"/>
      <c r="DT106" s="81"/>
      <c r="DU106" s="30"/>
      <c r="DV106" s="30"/>
      <c r="DX106" s="30"/>
      <c r="DY106" s="30"/>
      <c r="DZ106" s="30"/>
      <c r="EA106" s="30"/>
      <c r="EB106" s="30"/>
      <c r="EC106" s="30"/>
      <c r="ED106" s="30"/>
      <c r="EE106" s="85"/>
      <c r="EF106" s="85"/>
      <c r="EG106" s="85"/>
      <c r="EI106" s="81"/>
      <c r="EJ106" s="30"/>
      <c r="EK106" s="30"/>
      <c r="EM106" s="30"/>
      <c r="EN106" s="30"/>
      <c r="EO106" s="30"/>
      <c r="EP106" s="30"/>
      <c r="EQ106" s="30"/>
      <c r="ER106" s="30"/>
      <c r="ES106" s="30"/>
      <c r="ET106" s="85"/>
      <c r="EU106" s="85"/>
      <c r="EV106" s="85"/>
    </row>
    <row r="107" spans="2:152">
      <c r="B107" s="11">
        <f t="shared" si="17"/>
        <v>0.17</v>
      </c>
      <c r="C107" s="28">
        <v>5.7</v>
      </c>
      <c r="D107" s="16"/>
      <c r="E107" s="8"/>
      <c r="F107" s="27">
        <f t="shared" si="18"/>
        <v>8.1942446043165464</v>
      </c>
      <c r="G107" s="27">
        <f t="shared" si="19"/>
        <v>-0.66896478216060762</v>
      </c>
      <c r="H107" s="27">
        <f t="shared" si="20"/>
        <v>0.17897705509697381</v>
      </c>
      <c r="I107" s="27">
        <f t="shared" si="21"/>
        <v>-2.7377125341466111</v>
      </c>
      <c r="J107" s="27">
        <f t="shared" si="22"/>
        <v>6.4983637213651232E-2</v>
      </c>
      <c r="K107" s="27" t="e">
        <f t="shared" si="23"/>
        <v>#NUM!</v>
      </c>
      <c r="L107" s="27" t="e">
        <f t="shared" si="24"/>
        <v>#NUM!</v>
      </c>
      <c r="M107" s="17" t="e">
        <f t="shared" si="25"/>
        <v>#NUM!</v>
      </c>
      <c r="N107" s="17" t="e">
        <f t="shared" si="26"/>
        <v>#N/A</v>
      </c>
      <c r="O107" s="17" t="e">
        <f t="shared" si="27"/>
        <v>#N/A</v>
      </c>
      <c r="P107" s="17">
        <f t="shared" si="15"/>
        <v>0</v>
      </c>
      <c r="Q107" s="17">
        <f t="shared" si="16"/>
        <v>0</v>
      </c>
      <c r="S107" s="81"/>
      <c r="T107" s="30"/>
      <c r="U107" s="30"/>
      <c r="W107" s="30"/>
      <c r="X107" s="30"/>
      <c r="Y107" s="30"/>
      <c r="Z107" s="30"/>
      <c r="AA107" s="30"/>
      <c r="AB107" s="30"/>
      <c r="AC107" s="30"/>
      <c r="AD107" s="85"/>
      <c r="AE107" s="85"/>
      <c r="AF107" s="85"/>
      <c r="AH107" s="81"/>
      <c r="AI107" s="30"/>
      <c r="AJ107" s="30"/>
      <c r="AL107" s="30"/>
      <c r="AM107" s="30"/>
      <c r="AN107" s="30"/>
      <c r="AO107" s="30"/>
      <c r="AP107" s="30"/>
      <c r="AQ107" s="30"/>
      <c r="AR107" s="30"/>
      <c r="AS107" s="85"/>
      <c r="AT107" s="85"/>
      <c r="AU107" s="85"/>
      <c r="AW107" s="81"/>
      <c r="AX107" s="30"/>
      <c r="AY107" s="30"/>
      <c r="BA107" s="30"/>
      <c r="BB107" s="30"/>
      <c r="BC107" s="30"/>
      <c r="BD107" s="30"/>
      <c r="BE107" s="30"/>
      <c r="BF107" s="30"/>
      <c r="BG107" s="30"/>
      <c r="BH107" s="85"/>
      <c r="BI107" s="85"/>
      <c r="BJ107" s="85"/>
      <c r="BL107" s="81"/>
      <c r="BM107" s="30"/>
      <c r="BN107" s="30"/>
      <c r="BP107" s="30"/>
      <c r="BQ107" s="30"/>
      <c r="BR107" s="30"/>
      <c r="BS107" s="30"/>
      <c r="BT107" s="30"/>
      <c r="BU107" s="30"/>
      <c r="BV107" s="30"/>
      <c r="BW107" s="85"/>
      <c r="BX107" s="85"/>
      <c r="BY107" s="85"/>
      <c r="CA107" s="81"/>
      <c r="CB107" s="30"/>
      <c r="CC107" s="30"/>
      <c r="CE107" s="30"/>
      <c r="CF107" s="30"/>
      <c r="CG107" s="30"/>
      <c r="CH107" s="30"/>
      <c r="CI107" s="30"/>
      <c r="CJ107" s="30"/>
      <c r="CK107" s="30"/>
      <c r="CL107" s="85"/>
      <c r="CM107" s="85"/>
      <c r="CN107" s="85"/>
      <c r="CP107" s="81"/>
      <c r="CQ107" s="30"/>
      <c r="CR107" s="30"/>
      <c r="CT107" s="30"/>
      <c r="CU107" s="30"/>
      <c r="CV107" s="30"/>
      <c r="CW107" s="30"/>
      <c r="CX107" s="30"/>
      <c r="CY107" s="30"/>
      <c r="CZ107" s="30"/>
      <c r="DA107" s="85"/>
      <c r="DB107" s="85"/>
      <c r="DC107" s="85"/>
      <c r="DE107" s="81"/>
      <c r="DF107" s="30"/>
      <c r="DG107" s="30"/>
      <c r="DI107" s="30"/>
      <c r="DJ107" s="30"/>
      <c r="DK107" s="30"/>
      <c r="DL107" s="30"/>
      <c r="DM107" s="30"/>
      <c r="DN107" s="30"/>
      <c r="DO107" s="30"/>
      <c r="DP107" s="85"/>
      <c r="DQ107" s="85"/>
      <c r="DR107" s="85"/>
      <c r="DT107" s="81"/>
      <c r="DU107" s="30"/>
      <c r="DV107" s="30"/>
      <c r="DX107" s="30"/>
      <c r="DY107" s="30"/>
      <c r="DZ107" s="30"/>
      <c r="EA107" s="30"/>
      <c r="EB107" s="30"/>
      <c r="EC107" s="30"/>
      <c r="ED107" s="30"/>
      <c r="EE107" s="85"/>
      <c r="EF107" s="85"/>
      <c r="EG107" s="85"/>
      <c r="EI107" s="81"/>
      <c r="EJ107" s="30"/>
      <c r="EK107" s="30"/>
      <c r="EM107" s="30"/>
      <c r="EN107" s="30"/>
      <c r="EO107" s="30"/>
      <c r="EP107" s="30"/>
      <c r="EQ107" s="30"/>
      <c r="ER107" s="30"/>
      <c r="ES107" s="30"/>
      <c r="ET107" s="85"/>
      <c r="EU107" s="85"/>
      <c r="EV107" s="85"/>
    </row>
    <row r="108" spans="2:152">
      <c r="B108" s="11">
        <f t="shared" si="17"/>
        <v>0.17</v>
      </c>
      <c r="C108" s="28">
        <v>5.76</v>
      </c>
      <c r="D108" s="16"/>
      <c r="E108" s="8"/>
      <c r="F108" s="27">
        <f t="shared" si="18"/>
        <v>7.7024128686327078</v>
      </c>
      <c r="G108" s="27">
        <f t="shared" si="19"/>
        <v>-0.6721547965495922</v>
      </c>
      <c r="H108" s="27">
        <f t="shared" si="20"/>
        <v>0.18216706948595845</v>
      </c>
      <c r="I108" s="27">
        <f t="shared" si="21"/>
        <v>-2.6897711449511039</v>
      </c>
      <c r="J108" s="27">
        <f t="shared" si="22"/>
        <v>6.9421179973943786E-2</v>
      </c>
      <c r="K108" s="27" t="e">
        <f t="shared" si="23"/>
        <v>#NUM!</v>
      </c>
      <c r="L108" s="27" t="e">
        <f t="shared" si="24"/>
        <v>#NUM!</v>
      </c>
      <c r="M108" s="17" t="e">
        <f t="shared" si="25"/>
        <v>#NUM!</v>
      </c>
      <c r="N108" s="17" t="e">
        <f t="shared" si="26"/>
        <v>#N/A</v>
      </c>
      <c r="O108" s="17" t="e">
        <f t="shared" si="27"/>
        <v>#N/A</v>
      </c>
      <c r="P108" s="17">
        <f t="shared" si="15"/>
        <v>0</v>
      </c>
      <c r="Q108" s="17">
        <f t="shared" si="16"/>
        <v>0</v>
      </c>
      <c r="S108" s="81"/>
      <c r="T108" s="30"/>
      <c r="U108" s="30"/>
      <c r="W108" s="30"/>
      <c r="X108" s="30"/>
      <c r="Y108" s="30"/>
      <c r="Z108" s="30"/>
      <c r="AA108" s="30"/>
      <c r="AB108" s="30"/>
      <c r="AC108" s="30"/>
      <c r="AD108" s="85"/>
      <c r="AE108" s="85"/>
      <c r="AF108" s="85"/>
      <c r="AH108" s="81"/>
      <c r="AI108" s="30"/>
      <c r="AJ108" s="30"/>
      <c r="AL108" s="30"/>
      <c r="AM108" s="30"/>
      <c r="AN108" s="30"/>
      <c r="AO108" s="30"/>
      <c r="AP108" s="30"/>
      <c r="AQ108" s="30"/>
      <c r="AR108" s="30"/>
      <c r="AS108" s="85"/>
      <c r="AT108" s="85"/>
      <c r="AU108" s="85"/>
      <c r="AW108" s="81"/>
      <c r="AX108" s="30"/>
      <c r="AY108" s="30"/>
      <c r="BA108" s="30"/>
      <c r="BB108" s="30"/>
      <c r="BC108" s="30"/>
      <c r="BD108" s="30"/>
      <c r="BE108" s="30"/>
      <c r="BF108" s="30"/>
      <c r="BG108" s="30"/>
      <c r="BH108" s="85"/>
      <c r="BI108" s="85"/>
      <c r="BJ108" s="85"/>
      <c r="BL108" s="81"/>
      <c r="BM108" s="30"/>
      <c r="BN108" s="30"/>
      <c r="BP108" s="30"/>
      <c r="BQ108" s="30"/>
      <c r="BR108" s="30"/>
      <c r="BS108" s="30"/>
      <c r="BT108" s="30"/>
      <c r="BU108" s="30"/>
      <c r="BV108" s="30"/>
      <c r="BW108" s="85"/>
      <c r="BX108" s="85"/>
      <c r="BY108" s="85"/>
      <c r="CA108" s="81"/>
      <c r="CB108" s="30"/>
      <c r="CC108" s="30"/>
      <c r="CE108" s="30"/>
      <c r="CF108" s="30"/>
      <c r="CG108" s="30"/>
      <c r="CH108" s="30"/>
      <c r="CI108" s="30"/>
      <c r="CJ108" s="30"/>
      <c r="CK108" s="30"/>
      <c r="CL108" s="85"/>
      <c r="CM108" s="85"/>
      <c r="CN108" s="85"/>
      <c r="CP108" s="81"/>
      <c r="CQ108" s="30"/>
      <c r="CR108" s="30"/>
      <c r="CT108" s="30"/>
      <c r="CU108" s="30"/>
      <c r="CV108" s="30"/>
      <c r="CW108" s="30"/>
      <c r="CX108" s="30"/>
      <c r="CY108" s="30"/>
      <c r="CZ108" s="30"/>
      <c r="DA108" s="85"/>
      <c r="DB108" s="85"/>
      <c r="DC108" s="85"/>
      <c r="DE108" s="81"/>
      <c r="DF108" s="30"/>
      <c r="DG108" s="30"/>
      <c r="DI108" s="30"/>
      <c r="DJ108" s="30"/>
      <c r="DK108" s="30"/>
      <c r="DL108" s="30"/>
      <c r="DM108" s="30"/>
      <c r="DN108" s="30"/>
      <c r="DO108" s="30"/>
      <c r="DP108" s="85"/>
      <c r="DQ108" s="85"/>
      <c r="DR108" s="85"/>
      <c r="DT108" s="81"/>
      <c r="DU108" s="30"/>
      <c r="DV108" s="30"/>
      <c r="DX108" s="30"/>
      <c r="DY108" s="30"/>
      <c r="DZ108" s="30"/>
      <c r="EA108" s="30"/>
      <c r="EB108" s="30"/>
      <c r="EC108" s="30"/>
      <c r="ED108" s="30"/>
      <c r="EE108" s="85"/>
      <c r="EF108" s="85"/>
      <c r="EG108" s="85"/>
      <c r="EI108" s="81"/>
      <c r="EJ108" s="30"/>
      <c r="EK108" s="30"/>
      <c r="EM108" s="30"/>
      <c r="EN108" s="30"/>
      <c r="EO108" s="30"/>
      <c r="EP108" s="30"/>
      <c r="EQ108" s="30"/>
      <c r="ER108" s="30"/>
      <c r="ES108" s="30"/>
      <c r="ET108" s="85"/>
      <c r="EU108" s="85"/>
      <c r="EV108" s="85"/>
    </row>
    <row r="109" spans="2:152">
      <c r="B109" s="11">
        <f t="shared" si="17"/>
        <v>0.17</v>
      </c>
      <c r="C109" s="28">
        <v>5.82</v>
      </c>
      <c r="D109" s="16"/>
      <c r="E109" s="8"/>
      <c r="F109" s="27">
        <f t="shared" si="18"/>
        <v>7.2735257214554494</v>
      </c>
      <c r="G109" s="27">
        <f t="shared" si="19"/>
        <v>-0.6753448109385769</v>
      </c>
      <c r="H109" s="27">
        <f t="shared" si="20"/>
        <v>0.18535708387494315</v>
      </c>
      <c r="I109" s="27">
        <f t="shared" si="21"/>
        <v>-2.64347990818748</v>
      </c>
      <c r="J109" s="27">
        <f t="shared" si="22"/>
        <v>7.3816800963230622E-2</v>
      </c>
      <c r="K109" s="27" t="e">
        <f t="shared" si="23"/>
        <v>#NUM!</v>
      </c>
      <c r="L109" s="27" t="e">
        <f t="shared" si="24"/>
        <v>#NUM!</v>
      </c>
      <c r="M109" s="17" t="e">
        <f t="shared" si="25"/>
        <v>#NUM!</v>
      </c>
      <c r="N109" s="17" t="e">
        <f t="shared" si="26"/>
        <v>#N/A</v>
      </c>
      <c r="O109" s="17" t="e">
        <f t="shared" si="27"/>
        <v>#N/A</v>
      </c>
      <c r="P109" s="17">
        <f t="shared" ref="P109:P112" si="28">IF(ISERROR(O109),0,IF(L109&lt;0,0,O109))</f>
        <v>0</v>
      </c>
      <c r="Q109" s="17">
        <f t="shared" ref="Q109:Q112" si="29">IF($P$10=P109,C109,0)</f>
        <v>0</v>
      </c>
      <c r="S109" s="81"/>
      <c r="T109" s="30"/>
      <c r="U109" s="30"/>
      <c r="W109" s="30"/>
      <c r="X109" s="30"/>
      <c r="Y109" s="30"/>
      <c r="Z109" s="30"/>
      <c r="AA109" s="30"/>
      <c r="AB109" s="30"/>
      <c r="AC109" s="30"/>
      <c r="AD109" s="85"/>
      <c r="AE109" s="85"/>
      <c r="AF109" s="85"/>
      <c r="AH109" s="81"/>
      <c r="AI109" s="30"/>
      <c r="AJ109" s="30"/>
      <c r="AL109" s="30"/>
      <c r="AM109" s="30"/>
      <c r="AN109" s="30"/>
      <c r="AO109" s="30"/>
      <c r="AP109" s="30"/>
      <c r="AQ109" s="30"/>
      <c r="AR109" s="30"/>
      <c r="AS109" s="85"/>
      <c r="AT109" s="85"/>
      <c r="AU109" s="85"/>
      <c r="AW109" s="81"/>
      <c r="AX109" s="30"/>
      <c r="AY109" s="30"/>
      <c r="BA109" s="30"/>
      <c r="BB109" s="30"/>
      <c r="BC109" s="30"/>
      <c r="BD109" s="30"/>
      <c r="BE109" s="30"/>
      <c r="BF109" s="30"/>
      <c r="BG109" s="30"/>
      <c r="BH109" s="85"/>
      <c r="BI109" s="85"/>
      <c r="BJ109" s="85"/>
      <c r="BL109" s="81"/>
      <c r="BM109" s="30"/>
      <c r="BN109" s="30"/>
      <c r="BP109" s="30"/>
      <c r="BQ109" s="30"/>
      <c r="BR109" s="30"/>
      <c r="BS109" s="30"/>
      <c r="BT109" s="30"/>
      <c r="BU109" s="30"/>
      <c r="BV109" s="30"/>
      <c r="BW109" s="85"/>
      <c r="BX109" s="85"/>
      <c r="BY109" s="85"/>
      <c r="CA109" s="81"/>
      <c r="CB109" s="30"/>
      <c r="CC109" s="30"/>
      <c r="CE109" s="30"/>
      <c r="CF109" s="30"/>
      <c r="CG109" s="30"/>
      <c r="CH109" s="30"/>
      <c r="CI109" s="30"/>
      <c r="CJ109" s="30"/>
      <c r="CK109" s="30"/>
      <c r="CL109" s="85"/>
      <c r="CM109" s="85"/>
      <c r="CN109" s="85"/>
      <c r="CP109" s="81"/>
      <c r="CQ109" s="30"/>
      <c r="CR109" s="30"/>
      <c r="CT109" s="30"/>
      <c r="CU109" s="30"/>
      <c r="CV109" s="30"/>
      <c r="CW109" s="30"/>
      <c r="CX109" s="30"/>
      <c r="CY109" s="30"/>
      <c r="CZ109" s="30"/>
      <c r="DA109" s="85"/>
      <c r="DB109" s="85"/>
      <c r="DC109" s="85"/>
      <c r="DE109" s="81"/>
      <c r="DF109" s="30"/>
      <c r="DG109" s="30"/>
      <c r="DI109" s="30"/>
      <c r="DJ109" s="30"/>
      <c r="DK109" s="30"/>
      <c r="DL109" s="30"/>
      <c r="DM109" s="30"/>
      <c r="DN109" s="30"/>
      <c r="DO109" s="30"/>
      <c r="DP109" s="85"/>
      <c r="DQ109" s="85"/>
      <c r="DR109" s="85"/>
      <c r="DT109" s="81"/>
      <c r="DU109" s="30"/>
      <c r="DV109" s="30"/>
      <c r="DX109" s="30"/>
      <c r="DY109" s="30"/>
      <c r="DZ109" s="30"/>
      <c r="EA109" s="30"/>
      <c r="EB109" s="30"/>
      <c r="EC109" s="30"/>
      <c r="ED109" s="30"/>
      <c r="EE109" s="85"/>
      <c r="EF109" s="85"/>
      <c r="EG109" s="85"/>
      <c r="EI109" s="81"/>
      <c r="EJ109" s="30"/>
      <c r="EK109" s="30"/>
      <c r="EM109" s="30"/>
      <c r="EN109" s="30"/>
      <c r="EO109" s="30"/>
      <c r="EP109" s="30"/>
      <c r="EQ109" s="30"/>
      <c r="ER109" s="30"/>
      <c r="ES109" s="30"/>
      <c r="ET109" s="85"/>
      <c r="EU109" s="85"/>
      <c r="EV109" s="85"/>
    </row>
    <row r="110" spans="2:152">
      <c r="B110" s="11">
        <f t="shared" si="17"/>
        <v>0.17</v>
      </c>
      <c r="C110" s="28">
        <v>5.88</v>
      </c>
      <c r="D110" s="16"/>
      <c r="E110" s="8"/>
      <c r="F110" s="27">
        <f t="shared" si="18"/>
        <v>6.8962264150943406</v>
      </c>
      <c r="G110" s="27">
        <f t="shared" si="19"/>
        <v>-0.67853482532756149</v>
      </c>
      <c r="H110" s="27">
        <f t="shared" si="20"/>
        <v>0.18854709826392776</v>
      </c>
      <c r="I110" s="27">
        <f t="shared" si="21"/>
        <v>-2.5987550674354591</v>
      </c>
      <c r="J110" s="27">
        <f t="shared" si="22"/>
        <v>7.8171091445427721E-2</v>
      </c>
      <c r="K110" s="27" t="e">
        <f t="shared" si="23"/>
        <v>#NUM!</v>
      </c>
      <c r="L110" s="27" t="e">
        <f t="shared" si="24"/>
        <v>#NUM!</v>
      </c>
      <c r="M110" s="17" t="e">
        <f t="shared" si="25"/>
        <v>#NUM!</v>
      </c>
      <c r="N110" s="17" t="e">
        <f t="shared" si="26"/>
        <v>#N/A</v>
      </c>
      <c r="O110" s="17" t="e">
        <f t="shared" si="27"/>
        <v>#N/A</v>
      </c>
      <c r="P110" s="17">
        <f t="shared" si="28"/>
        <v>0</v>
      </c>
      <c r="Q110" s="17">
        <f t="shared" si="29"/>
        <v>0</v>
      </c>
      <c r="S110" s="81"/>
      <c r="T110" s="30"/>
      <c r="U110" s="30"/>
      <c r="W110" s="30"/>
      <c r="X110" s="30"/>
      <c r="Y110" s="30"/>
      <c r="Z110" s="30"/>
      <c r="AA110" s="30"/>
      <c r="AB110" s="30"/>
      <c r="AC110" s="30"/>
      <c r="AD110" s="85"/>
      <c r="AE110" s="85"/>
      <c r="AF110" s="85"/>
      <c r="AH110" s="81"/>
      <c r="AI110" s="30"/>
      <c r="AJ110" s="30"/>
      <c r="AL110" s="30"/>
      <c r="AM110" s="30"/>
      <c r="AN110" s="30"/>
      <c r="AO110" s="30"/>
      <c r="AP110" s="30"/>
      <c r="AQ110" s="30"/>
      <c r="AR110" s="30"/>
      <c r="AS110" s="85"/>
      <c r="AT110" s="85"/>
      <c r="AU110" s="85"/>
      <c r="AW110" s="81"/>
      <c r="AX110" s="30"/>
      <c r="AY110" s="30"/>
      <c r="BA110" s="30"/>
      <c r="BB110" s="30"/>
      <c r="BC110" s="30"/>
      <c r="BD110" s="30"/>
      <c r="BE110" s="30"/>
      <c r="BF110" s="30"/>
      <c r="BG110" s="30"/>
      <c r="BH110" s="85"/>
      <c r="BI110" s="85"/>
      <c r="BJ110" s="85"/>
      <c r="BL110" s="81"/>
      <c r="BM110" s="30"/>
      <c r="BN110" s="30"/>
      <c r="BP110" s="30"/>
      <c r="BQ110" s="30"/>
      <c r="BR110" s="30"/>
      <c r="BS110" s="30"/>
      <c r="BT110" s="30"/>
      <c r="BU110" s="30"/>
      <c r="BV110" s="30"/>
      <c r="BW110" s="85"/>
      <c r="BX110" s="85"/>
      <c r="BY110" s="85"/>
      <c r="CA110" s="81"/>
      <c r="CB110" s="30"/>
      <c r="CC110" s="30"/>
      <c r="CE110" s="30"/>
      <c r="CF110" s="30"/>
      <c r="CG110" s="30"/>
      <c r="CH110" s="30"/>
      <c r="CI110" s="30"/>
      <c r="CJ110" s="30"/>
      <c r="CK110" s="30"/>
      <c r="CL110" s="85"/>
      <c r="CM110" s="85"/>
      <c r="CN110" s="85"/>
      <c r="CP110" s="81"/>
      <c r="CQ110" s="30"/>
      <c r="CR110" s="30"/>
      <c r="CT110" s="30"/>
      <c r="CU110" s="30"/>
      <c r="CV110" s="30"/>
      <c r="CW110" s="30"/>
      <c r="CX110" s="30"/>
      <c r="CY110" s="30"/>
      <c r="CZ110" s="30"/>
      <c r="DA110" s="85"/>
      <c r="DB110" s="85"/>
      <c r="DC110" s="85"/>
      <c r="DE110" s="81"/>
      <c r="DF110" s="30"/>
      <c r="DG110" s="30"/>
      <c r="DI110" s="30"/>
      <c r="DJ110" s="30"/>
      <c r="DK110" s="30"/>
      <c r="DL110" s="30"/>
      <c r="DM110" s="30"/>
      <c r="DN110" s="30"/>
      <c r="DO110" s="30"/>
      <c r="DP110" s="85"/>
      <c r="DQ110" s="85"/>
      <c r="DR110" s="85"/>
      <c r="DT110" s="81"/>
      <c r="DU110" s="30"/>
      <c r="DV110" s="30"/>
      <c r="DX110" s="30"/>
      <c r="DY110" s="30"/>
      <c r="DZ110" s="30"/>
      <c r="EA110" s="30"/>
      <c r="EB110" s="30"/>
      <c r="EC110" s="30"/>
      <c r="ED110" s="30"/>
      <c r="EE110" s="85"/>
      <c r="EF110" s="85"/>
      <c r="EG110" s="85"/>
      <c r="EI110" s="81"/>
      <c r="EJ110" s="30"/>
      <c r="EK110" s="30"/>
      <c r="EM110" s="30"/>
      <c r="EN110" s="30"/>
      <c r="EO110" s="30"/>
      <c r="EP110" s="30"/>
      <c r="EQ110" s="30"/>
      <c r="ER110" s="30"/>
      <c r="ES110" s="30"/>
      <c r="ET110" s="85"/>
      <c r="EU110" s="85"/>
      <c r="EV110" s="85"/>
    </row>
    <row r="111" spans="2:152">
      <c r="B111" s="11">
        <f t="shared" si="17"/>
        <v>0.17</v>
      </c>
      <c r="C111" s="28">
        <v>5.94</v>
      </c>
      <c r="D111" s="16"/>
      <c r="E111" s="8"/>
      <c r="F111" s="27">
        <f t="shared" si="18"/>
        <v>6.5617352614015516</v>
      </c>
      <c r="G111" s="27">
        <f t="shared" si="19"/>
        <v>-0.68172483971654618</v>
      </c>
      <c r="H111" s="27">
        <f t="shared" si="20"/>
        <v>0.19173711265291246</v>
      </c>
      <c r="I111" s="27">
        <f t="shared" si="21"/>
        <v>-2.5555184402438682</v>
      </c>
      <c r="J111" s="27">
        <f t="shared" si="22"/>
        <v>8.2484631617579671E-2</v>
      </c>
      <c r="K111" s="27" t="e">
        <f t="shared" si="23"/>
        <v>#NUM!</v>
      </c>
      <c r="L111" s="27" t="e">
        <f t="shared" si="24"/>
        <v>#NUM!</v>
      </c>
      <c r="M111" s="17" t="e">
        <f t="shared" si="25"/>
        <v>#NUM!</v>
      </c>
      <c r="N111" s="17" t="e">
        <f t="shared" si="26"/>
        <v>#N/A</v>
      </c>
      <c r="O111" s="17" t="e">
        <f t="shared" si="27"/>
        <v>#N/A</v>
      </c>
      <c r="P111" s="17">
        <f t="shared" si="28"/>
        <v>0</v>
      </c>
      <c r="Q111" s="17">
        <f t="shared" si="29"/>
        <v>0</v>
      </c>
      <c r="S111" s="81"/>
      <c r="T111" s="30"/>
      <c r="U111" s="30"/>
      <c r="W111" s="30"/>
      <c r="X111" s="30"/>
      <c r="Y111" s="30"/>
      <c r="Z111" s="30"/>
      <c r="AA111" s="30"/>
      <c r="AB111" s="30"/>
      <c r="AC111" s="30"/>
      <c r="AD111" s="85"/>
      <c r="AE111" s="85"/>
      <c r="AF111" s="85"/>
      <c r="AH111" s="81"/>
      <c r="AI111" s="30"/>
      <c r="AJ111" s="30"/>
      <c r="AL111" s="30"/>
      <c r="AM111" s="30"/>
      <c r="AN111" s="30"/>
      <c r="AO111" s="30"/>
      <c r="AP111" s="30"/>
      <c r="AQ111" s="30"/>
      <c r="AR111" s="30"/>
      <c r="AS111" s="85"/>
      <c r="AT111" s="85"/>
      <c r="AU111" s="85"/>
      <c r="AW111" s="81"/>
      <c r="AX111" s="30"/>
      <c r="AY111" s="30"/>
      <c r="BA111" s="30"/>
      <c r="BB111" s="30"/>
      <c r="BC111" s="30"/>
      <c r="BD111" s="30"/>
      <c r="BE111" s="30"/>
      <c r="BF111" s="30"/>
      <c r="BG111" s="30"/>
      <c r="BH111" s="85"/>
      <c r="BI111" s="85"/>
      <c r="BJ111" s="85"/>
      <c r="BL111" s="81"/>
      <c r="BM111" s="30"/>
      <c r="BN111" s="30"/>
      <c r="BP111" s="30"/>
      <c r="BQ111" s="30"/>
      <c r="BR111" s="30"/>
      <c r="BS111" s="30"/>
      <c r="BT111" s="30"/>
      <c r="BU111" s="30"/>
      <c r="BV111" s="30"/>
      <c r="BW111" s="85"/>
      <c r="BX111" s="85"/>
      <c r="BY111" s="85"/>
      <c r="CA111" s="81"/>
      <c r="CB111" s="30"/>
      <c r="CC111" s="30"/>
      <c r="CE111" s="30"/>
      <c r="CF111" s="30"/>
      <c r="CG111" s="30"/>
      <c r="CH111" s="30"/>
      <c r="CI111" s="30"/>
      <c r="CJ111" s="30"/>
      <c r="CK111" s="30"/>
      <c r="CL111" s="85"/>
      <c r="CM111" s="85"/>
      <c r="CN111" s="85"/>
      <c r="CP111" s="81"/>
      <c r="CQ111" s="30"/>
      <c r="CR111" s="30"/>
      <c r="CT111" s="30"/>
      <c r="CU111" s="30"/>
      <c r="CV111" s="30"/>
      <c r="CW111" s="30"/>
      <c r="CX111" s="30"/>
      <c r="CY111" s="30"/>
      <c r="CZ111" s="30"/>
      <c r="DA111" s="85"/>
      <c r="DB111" s="85"/>
      <c r="DC111" s="85"/>
      <c r="DE111" s="81"/>
      <c r="DF111" s="30"/>
      <c r="DG111" s="30"/>
      <c r="DI111" s="30"/>
      <c r="DJ111" s="30"/>
      <c r="DK111" s="30"/>
      <c r="DL111" s="30"/>
      <c r="DM111" s="30"/>
      <c r="DN111" s="30"/>
      <c r="DO111" s="30"/>
      <c r="DP111" s="85"/>
      <c r="DQ111" s="85"/>
      <c r="DR111" s="85"/>
      <c r="DT111" s="81"/>
      <c r="DU111" s="30"/>
      <c r="DV111" s="30"/>
      <c r="DX111" s="30"/>
      <c r="DY111" s="30"/>
      <c r="DZ111" s="30"/>
      <c r="EA111" s="30"/>
      <c r="EB111" s="30"/>
      <c r="EC111" s="30"/>
      <c r="ED111" s="30"/>
      <c r="EE111" s="85"/>
      <c r="EF111" s="85"/>
      <c r="EG111" s="85"/>
      <c r="EI111" s="81"/>
      <c r="EJ111" s="30"/>
      <c r="EK111" s="30"/>
      <c r="EM111" s="30"/>
      <c r="EN111" s="30"/>
      <c r="EO111" s="30"/>
      <c r="EP111" s="30"/>
      <c r="EQ111" s="30"/>
      <c r="ER111" s="30"/>
      <c r="ES111" s="30"/>
      <c r="ET111" s="85"/>
      <c r="EU111" s="85"/>
      <c r="EV111" s="85"/>
    </row>
    <row r="112" spans="2:152">
      <c r="B112" s="11">
        <f t="shared" si="17"/>
        <v>0.17</v>
      </c>
      <c r="C112" s="28">
        <v>6</v>
      </c>
      <c r="D112" s="18"/>
      <c r="E112" s="10"/>
      <c r="F112" s="27">
        <f t="shared" si="18"/>
        <v>6.2631578947368372</v>
      </c>
      <c r="G112" s="27">
        <f t="shared" si="19"/>
        <v>-0.68491485410553099</v>
      </c>
      <c r="H112" s="27">
        <f t="shared" si="20"/>
        <v>0.19492712704189713</v>
      </c>
      <c r="I112" s="27">
        <f t="shared" si="21"/>
        <v>-2.5136969620360596</v>
      </c>
      <c r="J112" s="27">
        <f t="shared" si="22"/>
        <v>8.6757990867579973E-2</v>
      </c>
      <c r="K112" s="27" t="e">
        <f t="shared" si="23"/>
        <v>#NUM!</v>
      </c>
      <c r="L112" s="27" t="e">
        <f t="shared" si="24"/>
        <v>#NUM!</v>
      </c>
      <c r="M112" s="17" t="e">
        <f t="shared" si="25"/>
        <v>#NUM!</v>
      </c>
      <c r="N112" s="17" t="e">
        <f t="shared" si="26"/>
        <v>#N/A</v>
      </c>
      <c r="O112" s="17" t="e">
        <f t="shared" si="27"/>
        <v>#N/A</v>
      </c>
      <c r="P112" s="17">
        <f t="shared" si="28"/>
        <v>0</v>
      </c>
      <c r="Q112" s="17">
        <f t="shared" si="29"/>
        <v>0</v>
      </c>
      <c r="S112" s="81"/>
      <c r="T112" s="30"/>
      <c r="U112" s="30"/>
      <c r="W112" s="30"/>
      <c r="X112" s="30"/>
      <c r="Y112" s="30"/>
      <c r="Z112" s="30"/>
      <c r="AA112" s="30"/>
      <c r="AB112" s="30"/>
      <c r="AC112" s="30"/>
      <c r="AD112" s="85"/>
      <c r="AE112" s="85"/>
      <c r="AF112" s="85"/>
      <c r="AH112" s="81"/>
      <c r="AI112" s="30"/>
      <c r="AJ112" s="30"/>
      <c r="AL112" s="30"/>
      <c r="AM112" s="30"/>
      <c r="AN112" s="30"/>
      <c r="AO112" s="30"/>
      <c r="AP112" s="30"/>
      <c r="AQ112" s="30"/>
      <c r="AR112" s="30"/>
      <c r="AS112" s="85"/>
      <c r="AT112" s="85"/>
      <c r="AU112" s="85"/>
      <c r="AW112" s="81"/>
      <c r="AX112" s="30"/>
      <c r="AY112" s="30"/>
      <c r="BA112" s="30"/>
      <c r="BB112" s="30"/>
      <c r="BC112" s="30"/>
      <c r="BD112" s="30"/>
      <c r="BE112" s="30"/>
      <c r="BF112" s="30"/>
      <c r="BG112" s="30"/>
      <c r="BH112" s="85"/>
      <c r="BI112" s="85"/>
      <c r="BJ112" s="85"/>
      <c r="BL112" s="81"/>
      <c r="BM112" s="30"/>
      <c r="BN112" s="30"/>
      <c r="BP112" s="30"/>
      <c r="BQ112" s="30"/>
      <c r="BR112" s="30"/>
      <c r="BS112" s="30"/>
      <c r="BT112" s="30"/>
      <c r="BU112" s="30"/>
      <c r="BV112" s="30"/>
      <c r="BW112" s="85"/>
      <c r="BX112" s="85"/>
      <c r="BY112" s="85"/>
      <c r="CA112" s="81"/>
      <c r="CB112" s="30"/>
      <c r="CC112" s="30"/>
      <c r="CE112" s="30"/>
      <c r="CF112" s="30"/>
      <c r="CG112" s="30"/>
      <c r="CH112" s="30"/>
      <c r="CI112" s="30"/>
      <c r="CJ112" s="30"/>
      <c r="CK112" s="30"/>
      <c r="CL112" s="85"/>
      <c r="CM112" s="85"/>
      <c r="CN112" s="85"/>
      <c r="CP112" s="81"/>
      <c r="CQ112" s="30"/>
      <c r="CR112" s="30"/>
      <c r="CT112" s="30"/>
      <c r="CU112" s="30"/>
      <c r="CV112" s="30"/>
      <c r="CW112" s="30"/>
      <c r="CX112" s="30"/>
      <c r="CY112" s="30"/>
      <c r="CZ112" s="30"/>
      <c r="DA112" s="85"/>
      <c r="DB112" s="85"/>
      <c r="DC112" s="85"/>
      <c r="DE112" s="81"/>
      <c r="DF112" s="30"/>
      <c r="DG112" s="30"/>
      <c r="DI112" s="30"/>
      <c r="DJ112" s="30"/>
      <c r="DK112" s="30"/>
      <c r="DL112" s="30"/>
      <c r="DM112" s="30"/>
      <c r="DN112" s="30"/>
      <c r="DO112" s="30"/>
      <c r="DP112" s="85"/>
      <c r="DQ112" s="85"/>
      <c r="DR112" s="85"/>
      <c r="DT112" s="81"/>
      <c r="DU112" s="30"/>
      <c r="DV112" s="30"/>
      <c r="DX112" s="30"/>
      <c r="DY112" s="30"/>
      <c r="DZ112" s="30"/>
      <c r="EA112" s="30"/>
      <c r="EB112" s="30"/>
      <c r="EC112" s="30"/>
      <c r="ED112" s="30"/>
      <c r="EE112" s="85"/>
      <c r="EF112" s="85"/>
      <c r="EG112" s="85"/>
      <c r="EI112" s="81"/>
      <c r="EJ112" s="30"/>
      <c r="EK112" s="30"/>
      <c r="EM112" s="30"/>
      <c r="EN112" s="30"/>
      <c r="EO112" s="30"/>
      <c r="EP112" s="30"/>
      <c r="EQ112" s="30"/>
      <c r="ER112" s="30"/>
      <c r="ES112" s="30"/>
      <c r="ET112" s="85"/>
      <c r="EU112" s="85"/>
      <c r="EV112" s="85"/>
    </row>
    <row r="115" spans="2:152">
      <c r="B115" s="1" t="s">
        <v>5</v>
      </c>
      <c r="C115" s="1">
        <f>C2</f>
        <v>1070</v>
      </c>
    </row>
    <row r="116" spans="2:152">
      <c r="B116" s="1" t="s">
        <v>11</v>
      </c>
      <c r="C116" s="1">
        <f>C3</f>
        <v>0.70573799999999998</v>
      </c>
    </row>
    <row r="117" spans="2:152">
      <c r="B117" s="4"/>
      <c r="C117" s="5"/>
    </row>
    <row r="118" spans="2:152">
      <c r="B118" s="1" t="s">
        <v>6</v>
      </c>
      <c r="C118" s="1">
        <f>C5</f>
        <v>28.3</v>
      </c>
    </row>
    <row r="119" spans="2:152">
      <c r="B119" s="1" t="s">
        <v>12</v>
      </c>
      <c r="C119" s="1">
        <f>C6</f>
        <v>0.73182000000000003</v>
      </c>
    </row>
    <row r="120" spans="2:152">
      <c r="B120" s="6" t="s">
        <v>1</v>
      </c>
      <c r="C120" s="7">
        <f>C121-0.000001</f>
        <v>1.9999990000000001</v>
      </c>
      <c r="S120" s="77"/>
      <c r="T120" s="78"/>
      <c r="AH120" s="77"/>
      <c r="AI120" s="78"/>
      <c r="AW120" s="77"/>
      <c r="AX120" s="78"/>
      <c r="BL120" s="77"/>
      <c r="BM120" s="78"/>
      <c r="CA120" s="77"/>
      <c r="CB120" s="78"/>
      <c r="CP120" s="77"/>
      <c r="CQ120" s="78"/>
      <c r="DE120" s="77"/>
      <c r="DF120" s="78"/>
      <c r="DT120" s="77"/>
      <c r="DU120" s="78"/>
      <c r="EI120" s="77"/>
      <c r="EJ120" s="78"/>
    </row>
    <row r="121" spans="2:152">
      <c r="B121" s="21" t="s">
        <v>1</v>
      </c>
      <c r="C121" s="32">
        <f>C8</f>
        <v>2</v>
      </c>
      <c r="T121" s="30"/>
      <c r="AI121" s="30"/>
      <c r="AX121" s="30"/>
      <c r="BM121" s="30"/>
      <c r="CB121" s="30"/>
      <c r="CQ121" s="30"/>
      <c r="DF121" s="30"/>
      <c r="DU121" s="30"/>
      <c r="EJ121" s="30"/>
    </row>
    <row r="122" spans="2:152">
      <c r="B122" s="25" t="s">
        <v>8</v>
      </c>
      <c r="C122" s="26">
        <f>C123-0.000001</f>
        <v>2.2799989999999997</v>
      </c>
      <c r="S122" s="79"/>
      <c r="T122" s="78"/>
      <c r="AH122" s="79"/>
      <c r="AI122" s="78"/>
      <c r="AW122" s="79"/>
      <c r="AX122" s="78"/>
      <c r="BL122" s="79"/>
      <c r="BM122" s="78"/>
      <c r="CA122" s="79"/>
      <c r="CB122" s="78"/>
      <c r="CP122" s="79"/>
      <c r="CQ122" s="78"/>
      <c r="DE122" s="79"/>
      <c r="DF122" s="78"/>
      <c r="DT122" s="79"/>
      <c r="DU122" s="78"/>
      <c r="EI122" s="79"/>
      <c r="EJ122" s="78"/>
    </row>
    <row r="123" spans="2:152">
      <c r="B123" s="23" t="s">
        <v>8</v>
      </c>
      <c r="C123" s="31">
        <f>$E$3</f>
        <v>2.2799999999999998</v>
      </c>
      <c r="P123" s="71">
        <f>SUM(P126:P225)</f>
        <v>0.17643023465472413</v>
      </c>
      <c r="S123" s="80"/>
      <c r="T123" s="30"/>
      <c r="AH123" s="80"/>
      <c r="AI123" s="30"/>
      <c r="AW123" s="80"/>
      <c r="AX123" s="30"/>
      <c r="BL123" s="80"/>
      <c r="BM123" s="30"/>
      <c r="CA123" s="80"/>
      <c r="CB123" s="30"/>
      <c r="CP123" s="80"/>
      <c r="CQ123" s="30"/>
      <c r="DE123" s="80"/>
      <c r="DF123" s="30"/>
      <c r="DT123" s="80"/>
      <c r="DU123" s="30"/>
      <c r="EI123" s="80"/>
      <c r="EJ123" s="30"/>
    </row>
    <row r="125" spans="2:152">
      <c r="B125" s="12" t="s">
        <v>0</v>
      </c>
      <c r="C125" s="14" t="s">
        <v>4</v>
      </c>
      <c r="D125" s="14" t="s">
        <v>10</v>
      </c>
      <c r="E125" s="13" t="s">
        <v>13</v>
      </c>
      <c r="F125" s="20"/>
      <c r="G125" s="20"/>
      <c r="H125" s="20"/>
      <c r="I125" s="20"/>
      <c r="J125" s="20"/>
      <c r="K125" s="20"/>
      <c r="L125" s="15" t="s">
        <v>9</v>
      </c>
      <c r="M125" s="15" t="s">
        <v>3</v>
      </c>
      <c r="N125" s="15"/>
      <c r="O125" s="15" t="s">
        <v>3</v>
      </c>
      <c r="P125" s="15"/>
      <c r="T125" s="82"/>
      <c r="U125" s="82"/>
      <c r="V125" s="83"/>
      <c r="W125" s="83"/>
      <c r="X125" s="83"/>
      <c r="Y125" s="83"/>
      <c r="Z125" s="83"/>
      <c r="AA125" s="83"/>
      <c r="AB125" s="83"/>
      <c r="AC125" s="72"/>
      <c r="AD125" s="72"/>
      <c r="AE125" s="72"/>
      <c r="AF125" s="72"/>
      <c r="AI125" s="82"/>
      <c r="AJ125" s="82"/>
      <c r="AK125" s="83"/>
      <c r="AL125" s="83"/>
      <c r="AM125" s="83"/>
      <c r="AN125" s="83"/>
      <c r="AO125" s="83"/>
      <c r="AP125" s="83"/>
      <c r="AQ125" s="83"/>
      <c r="AR125" s="72"/>
      <c r="AS125" s="72"/>
      <c r="AT125" s="72"/>
      <c r="AU125" s="72"/>
      <c r="AX125" s="82"/>
      <c r="AY125" s="82"/>
      <c r="AZ125" s="83"/>
      <c r="BA125" s="83"/>
      <c r="BB125" s="83"/>
      <c r="BC125" s="83"/>
      <c r="BD125" s="83"/>
      <c r="BE125" s="83"/>
      <c r="BF125" s="83"/>
      <c r="BG125" s="72"/>
      <c r="BH125" s="72"/>
      <c r="BI125" s="72"/>
      <c r="BJ125" s="72"/>
      <c r="BM125" s="82"/>
      <c r="BN125" s="82"/>
      <c r="BO125" s="83"/>
      <c r="BP125" s="83"/>
      <c r="BQ125" s="83"/>
      <c r="BR125" s="83"/>
      <c r="BS125" s="83"/>
      <c r="BT125" s="83"/>
      <c r="BU125" s="83"/>
      <c r="BV125" s="72"/>
      <c r="BW125" s="72"/>
      <c r="BX125" s="72"/>
      <c r="BY125" s="72"/>
      <c r="CB125" s="82"/>
      <c r="CC125" s="82"/>
      <c r="CD125" s="83"/>
      <c r="CE125" s="83"/>
      <c r="CF125" s="83"/>
      <c r="CG125" s="83"/>
      <c r="CH125" s="83"/>
      <c r="CI125" s="83"/>
      <c r="CJ125" s="83"/>
      <c r="CK125" s="72"/>
      <c r="CL125" s="72"/>
      <c r="CM125" s="72"/>
      <c r="CN125" s="72"/>
      <c r="CQ125" s="82"/>
      <c r="CR125" s="82"/>
      <c r="CS125" s="83"/>
      <c r="CT125" s="83"/>
      <c r="CU125" s="83"/>
      <c r="CV125" s="83"/>
      <c r="CW125" s="83"/>
      <c r="CX125" s="83"/>
      <c r="CY125" s="83"/>
      <c r="CZ125" s="72"/>
      <c r="DA125" s="72"/>
      <c r="DB125" s="72"/>
      <c r="DC125" s="72"/>
      <c r="DF125" s="82"/>
      <c r="DG125" s="82"/>
      <c r="DH125" s="83"/>
      <c r="DI125" s="83"/>
      <c r="DJ125" s="83"/>
      <c r="DK125" s="83"/>
      <c r="DL125" s="83"/>
      <c r="DM125" s="83"/>
      <c r="DN125" s="83"/>
      <c r="DO125" s="72"/>
      <c r="DP125" s="72"/>
      <c r="DQ125" s="72"/>
      <c r="DR125" s="72"/>
      <c r="DU125" s="82"/>
      <c r="DV125" s="82"/>
      <c r="DW125" s="83"/>
      <c r="DX125" s="83"/>
      <c r="DY125" s="83"/>
      <c r="DZ125" s="83"/>
      <c r="EA125" s="83"/>
      <c r="EB125" s="83"/>
      <c r="EC125" s="83"/>
      <c r="ED125" s="72"/>
      <c r="EE125" s="72"/>
      <c r="EF125" s="72"/>
      <c r="EG125" s="72"/>
      <c r="EJ125" s="82"/>
      <c r="EK125" s="82"/>
      <c r="EL125" s="83"/>
      <c r="EM125" s="83"/>
      <c r="EN125" s="83"/>
      <c r="EO125" s="83"/>
      <c r="EP125" s="83"/>
      <c r="EQ125" s="83"/>
      <c r="ER125" s="83"/>
      <c r="ES125" s="72"/>
      <c r="ET125" s="72"/>
      <c r="EU125" s="72"/>
      <c r="EV125" s="72"/>
    </row>
    <row r="126" spans="2:152">
      <c r="B126" s="11">
        <v>0.01</v>
      </c>
      <c r="C126" s="19">
        <f>D13</f>
        <v>0.70603028645675137</v>
      </c>
      <c r="D126" s="19">
        <f>D15</f>
        <v>0.70573799999999998</v>
      </c>
      <c r="E126" s="2">
        <f>E13</f>
        <v>1070</v>
      </c>
      <c r="F126" s="27">
        <f>(((1+$C$122)*B126)/(((1+$C$122)*B126)-1))</f>
        <v>-3.3912313545158043E-2</v>
      </c>
      <c r="G126" s="27">
        <f>(($C$115*($C$116-$C$126)*((1+$C$122)*B126+$C$120-1)))</f>
        <v>-0.32300427833615958</v>
      </c>
      <c r="H126" s="27">
        <f>B126*(($C$118*($C$126-$C$119)-(($C$122*$E$126*($D$126-$C$126)))))</f>
        <v>-1.6787166129756282E-4</v>
      </c>
      <c r="I126" s="27">
        <f>(G126/H126)+1</f>
        <v>1925.1143849980413</v>
      </c>
      <c r="J126" s="27">
        <f>(($C$122+1)*B126-1)/(($C$122+1)*B126+$C$120-1)</f>
        <v>-0.93648427173616822</v>
      </c>
      <c r="K126" s="27">
        <f>I126^J126</f>
        <v>8.3976565710984735E-4</v>
      </c>
      <c r="L126" s="27">
        <f>(K126-1)*F126</f>
        <v>3.3883835148889679E-2</v>
      </c>
      <c r="M126" s="17">
        <f>L126/($C$122*(1+L126)+1)</f>
        <v>1.0092722813379666E-2</v>
      </c>
      <c r="N126" s="17">
        <f>IFERROR(M126,NA())</f>
        <v>1.0092722813379666E-2</v>
      </c>
      <c r="O126" s="17">
        <f>IF($C$2=0,NA(),IF(N126&lt;0,NA(),IF(ISERROR(N126),NA(),N126)))</f>
        <v>1.0092722813379666E-2</v>
      </c>
      <c r="P126" s="17">
        <f>IF(ISERROR(O126),0,IF('R-AFC ISOTOPE'!$G$7='R-AFC ISOTOPE_CONTROL'!B126,'R-AFC ISOTOPE_CONTROL'!O126,0))</f>
        <v>0</v>
      </c>
      <c r="S126" s="81"/>
      <c r="T126" s="84"/>
      <c r="U126" s="84"/>
      <c r="W126" s="30"/>
      <c r="X126" s="30"/>
      <c r="Y126" s="30"/>
      <c r="Z126" s="30"/>
      <c r="AA126" s="30"/>
      <c r="AB126" s="30"/>
      <c r="AC126" s="30"/>
      <c r="AD126" s="85"/>
      <c r="AE126" s="85"/>
      <c r="AF126" s="85"/>
      <c r="AH126" s="81"/>
      <c r="AI126" s="84"/>
      <c r="AJ126" s="84"/>
      <c r="AL126" s="30"/>
      <c r="AM126" s="30"/>
      <c r="AN126" s="30"/>
      <c r="AO126" s="30"/>
      <c r="AP126" s="30"/>
      <c r="AQ126" s="30"/>
      <c r="AR126" s="30"/>
      <c r="AS126" s="85"/>
      <c r="AT126" s="85"/>
      <c r="AU126" s="85"/>
      <c r="AW126" s="81"/>
      <c r="AX126" s="84"/>
      <c r="AY126" s="84"/>
      <c r="BA126" s="30"/>
      <c r="BB126" s="30"/>
      <c r="BC126" s="30"/>
      <c r="BD126" s="30"/>
      <c r="BE126" s="30"/>
      <c r="BF126" s="30"/>
      <c r="BG126" s="30"/>
      <c r="BH126" s="85"/>
      <c r="BI126" s="85"/>
      <c r="BJ126" s="85"/>
      <c r="BL126" s="81"/>
      <c r="BM126" s="84"/>
      <c r="BN126" s="84"/>
      <c r="BP126" s="30"/>
      <c r="BQ126" s="30"/>
      <c r="BR126" s="30"/>
      <c r="BS126" s="30"/>
      <c r="BT126" s="30"/>
      <c r="BU126" s="30"/>
      <c r="BV126" s="30"/>
      <c r="BW126" s="85"/>
      <c r="BX126" s="85"/>
      <c r="BY126" s="85"/>
      <c r="CA126" s="81"/>
      <c r="CB126" s="84"/>
      <c r="CC126" s="84"/>
      <c r="CE126" s="30"/>
      <c r="CF126" s="30"/>
      <c r="CG126" s="30"/>
      <c r="CH126" s="30"/>
      <c r="CI126" s="30"/>
      <c r="CJ126" s="30"/>
      <c r="CK126" s="30"/>
      <c r="CL126" s="85"/>
      <c r="CM126" s="85"/>
      <c r="CN126" s="85"/>
      <c r="CP126" s="81"/>
      <c r="CQ126" s="84"/>
      <c r="CR126" s="84"/>
      <c r="CT126" s="30"/>
      <c r="CU126" s="30"/>
      <c r="CV126" s="30"/>
      <c r="CW126" s="30"/>
      <c r="CX126" s="30"/>
      <c r="CY126" s="30"/>
      <c r="CZ126" s="30"/>
      <c r="DA126" s="85"/>
      <c r="DB126" s="85"/>
      <c r="DC126" s="85"/>
      <c r="DE126" s="81"/>
      <c r="DF126" s="84"/>
      <c r="DG126" s="84"/>
      <c r="DI126" s="30"/>
      <c r="DJ126" s="30"/>
      <c r="DK126" s="30"/>
      <c r="DL126" s="30"/>
      <c r="DM126" s="30"/>
      <c r="DN126" s="30"/>
      <c r="DO126" s="30"/>
      <c r="DP126" s="85"/>
      <c r="DQ126" s="85"/>
      <c r="DR126" s="85"/>
      <c r="DT126" s="81"/>
      <c r="DU126" s="84"/>
      <c r="DV126" s="84"/>
      <c r="DX126" s="30"/>
      <c r="DY126" s="30"/>
      <c r="DZ126" s="30"/>
      <c r="EA126" s="30"/>
      <c r="EB126" s="30"/>
      <c r="EC126" s="30"/>
      <c r="ED126" s="30"/>
      <c r="EE126" s="85"/>
      <c r="EF126" s="85"/>
      <c r="EG126" s="85"/>
      <c r="EI126" s="81"/>
      <c r="EJ126" s="84"/>
      <c r="EK126" s="84"/>
      <c r="EM126" s="30"/>
      <c r="EN126" s="30"/>
      <c r="EO126" s="30"/>
      <c r="EP126" s="30"/>
      <c r="EQ126" s="30"/>
      <c r="ER126" s="30"/>
      <c r="ES126" s="30"/>
      <c r="ET126" s="85"/>
      <c r="EU126" s="85"/>
      <c r="EV126" s="85"/>
    </row>
    <row r="127" spans="2:152">
      <c r="B127" s="11">
        <v>0.02</v>
      </c>
      <c r="C127" s="16"/>
      <c r="D127" s="16"/>
      <c r="E127" s="16"/>
      <c r="F127" s="27">
        <f t="shared" ref="F127:F190" si="30">(((1+$C$122)*B127)/(((1+$C$122)*B127)-1))</f>
        <v>-7.0205456545259906E-2</v>
      </c>
      <c r="G127" s="27">
        <f t="shared" ref="G127:G190" si="31">(($C$115*($C$116-$C$126)*((1+$C$122)*B127+$C$120-1)))</f>
        <v>-0.33326236069484128</v>
      </c>
      <c r="H127" s="27">
        <f t="shared" ref="H127:H190" si="32">B127*(($C$118*($C$126-$C$119)-(($C$122*$E$126*($D$126-$C$126)))))</f>
        <v>-3.3574332259512563E-4</v>
      </c>
      <c r="I127" s="27">
        <f t="shared" ref="I127:I190" si="33">(G127/H127)+1</f>
        <v>993.61053985792546</v>
      </c>
      <c r="J127" s="27">
        <f t="shared" ref="J127:J190" si="34">(($C$122+1)*B127-1)/(($C$122+1)*B127+$C$120-1)</f>
        <v>-0.87687773499933352</v>
      </c>
      <c r="K127" s="27">
        <f t="shared" ref="K127:K190" si="35">I127^J127</f>
        <v>2.3540075763251013E-3</v>
      </c>
      <c r="L127" s="27">
        <f t="shared" ref="L127:L190" si="36">(K127-1)*F127</f>
        <v>7.0040192368652998E-2</v>
      </c>
      <c r="M127" s="17">
        <f t="shared" ref="M127:M190" si="37">L127/($C$122*(1+L127)+1)</f>
        <v>2.0362352651380481E-2</v>
      </c>
      <c r="N127" s="17">
        <f t="shared" ref="N127:N190" si="38">IFERROR(M127,NA())</f>
        <v>2.0362352651380481E-2</v>
      </c>
      <c r="O127" s="17">
        <f t="shared" ref="O127:O190" si="39">IF($C$2=0,NA(),IF(N127&lt;0,NA(),IF(ISERROR(N127),NA(),N127)))</f>
        <v>2.0362352651380481E-2</v>
      </c>
      <c r="P127" s="17">
        <f>IF(ISERROR(O127),0,IF('R-AFC ISOTOPE'!$G$7='R-AFC ISOTOPE_CONTROL'!B127,'R-AFC ISOTOPE_CONTROL'!O127,0))</f>
        <v>0</v>
      </c>
      <c r="S127" s="81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85"/>
      <c r="AE127" s="85"/>
      <c r="AF127" s="85"/>
      <c r="AH127" s="81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85"/>
      <c r="AT127" s="85"/>
      <c r="AU127" s="85"/>
      <c r="AW127" s="81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85"/>
      <c r="BI127" s="85"/>
      <c r="BJ127" s="85"/>
      <c r="BL127" s="81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85"/>
      <c r="BX127" s="85"/>
      <c r="BY127" s="85"/>
      <c r="CA127" s="81"/>
      <c r="CB127" s="30"/>
      <c r="CC127" s="30"/>
      <c r="CD127" s="30"/>
      <c r="CE127" s="30"/>
      <c r="CF127" s="30"/>
      <c r="CG127" s="30"/>
      <c r="CH127" s="30"/>
      <c r="CI127" s="30"/>
      <c r="CJ127" s="30"/>
      <c r="CK127" s="30"/>
      <c r="CL127" s="85"/>
      <c r="CM127" s="85"/>
      <c r="CN127" s="85"/>
      <c r="CP127" s="81"/>
      <c r="CQ127" s="30"/>
      <c r="CR127" s="30"/>
      <c r="CS127" s="30"/>
      <c r="CT127" s="30"/>
      <c r="CU127" s="30"/>
      <c r="CV127" s="30"/>
      <c r="CW127" s="30"/>
      <c r="CX127" s="30"/>
      <c r="CY127" s="30"/>
      <c r="CZ127" s="30"/>
      <c r="DA127" s="85"/>
      <c r="DB127" s="85"/>
      <c r="DC127" s="85"/>
      <c r="DE127" s="81"/>
      <c r="DF127" s="30"/>
      <c r="DG127" s="30"/>
      <c r="DH127" s="30"/>
      <c r="DI127" s="30"/>
      <c r="DJ127" s="30"/>
      <c r="DK127" s="30"/>
      <c r="DL127" s="30"/>
      <c r="DM127" s="30"/>
      <c r="DN127" s="30"/>
      <c r="DO127" s="30"/>
      <c r="DP127" s="85"/>
      <c r="DQ127" s="85"/>
      <c r="DR127" s="85"/>
      <c r="DT127" s="81"/>
      <c r="DU127" s="30"/>
      <c r="DV127" s="30"/>
      <c r="DW127" s="30"/>
      <c r="DX127" s="30"/>
      <c r="DY127" s="30"/>
      <c r="DZ127" s="30"/>
      <c r="EA127" s="30"/>
      <c r="EB127" s="30"/>
      <c r="EC127" s="30"/>
      <c r="ED127" s="30"/>
      <c r="EE127" s="85"/>
      <c r="EF127" s="85"/>
      <c r="EG127" s="85"/>
      <c r="EI127" s="81"/>
      <c r="EJ127" s="30"/>
      <c r="EK127" s="30"/>
      <c r="EL127" s="30"/>
      <c r="EM127" s="30"/>
      <c r="EN127" s="30"/>
      <c r="EO127" s="30"/>
      <c r="EP127" s="30"/>
      <c r="EQ127" s="30"/>
      <c r="ER127" s="30"/>
      <c r="ES127" s="30"/>
      <c r="ET127" s="85"/>
      <c r="EU127" s="85"/>
      <c r="EV127" s="85"/>
    </row>
    <row r="128" spans="2:152">
      <c r="B128" s="11">
        <v>0.03</v>
      </c>
      <c r="C128" s="16"/>
      <c r="D128" s="16"/>
      <c r="E128" s="16"/>
      <c r="F128" s="27">
        <f t="shared" si="30"/>
        <v>-0.10913927099137295</v>
      </c>
      <c r="G128" s="27">
        <f t="shared" si="31"/>
        <v>-0.34352044305352292</v>
      </c>
      <c r="H128" s="27">
        <f t="shared" si="32"/>
        <v>-5.0361498389268845E-4</v>
      </c>
      <c r="I128" s="27">
        <f t="shared" si="33"/>
        <v>683.10925814455334</v>
      </c>
      <c r="J128" s="27">
        <f t="shared" si="34"/>
        <v>-0.8208310956446</v>
      </c>
      <c r="K128" s="27">
        <f t="shared" si="35"/>
        <v>4.7137042150185533E-3</v>
      </c>
      <c r="L128" s="27">
        <f t="shared" si="36"/>
        <v>0.10862482074967686</v>
      </c>
      <c r="M128" s="17">
        <f t="shared" si="37"/>
        <v>3.0792285398780938E-2</v>
      </c>
      <c r="N128" s="17">
        <f t="shared" si="38"/>
        <v>3.0792285398780938E-2</v>
      </c>
      <c r="O128" s="17">
        <f t="shared" si="39"/>
        <v>3.0792285398780938E-2</v>
      </c>
      <c r="P128" s="17">
        <f>IF(ISERROR(O128),0,IF('R-AFC ISOTOPE'!$G$7='R-AFC ISOTOPE_CONTROL'!B128,'R-AFC ISOTOPE_CONTROL'!O128,0))</f>
        <v>0</v>
      </c>
      <c r="S128" s="81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85"/>
      <c r="AE128" s="85"/>
      <c r="AF128" s="85"/>
      <c r="AH128" s="81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85"/>
      <c r="AT128" s="85"/>
      <c r="AU128" s="85"/>
      <c r="AW128" s="81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85"/>
      <c r="BI128" s="85"/>
      <c r="BJ128" s="85"/>
      <c r="BL128" s="81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85"/>
      <c r="BX128" s="85"/>
      <c r="BY128" s="85"/>
      <c r="CA128" s="81"/>
      <c r="CB128" s="30"/>
      <c r="CC128" s="30"/>
      <c r="CD128" s="30"/>
      <c r="CE128" s="30"/>
      <c r="CF128" s="30"/>
      <c r="CG128" s="30"/>
      <c r="CH128" s="30"/>
      <c r="CI128" s="30"/>
      <c r="CJ128" s="30"/>
      <c r="CK128" s="30"/>
      <c r="CL128" s="85"/>
      <c r="CM128" s="85"/>
      <c r="CN128" s="85"/>
      <c r="CP128" s="81"/>
      <c r="CQ128" s="30"/>
      <c r="CR128" s="30"/>
      <c r="CS128" s="30"/>
      <c r="CT128" s="30"/>
      <c r="CU128" s="30"/>
      <c r="CV128" s="30"/>
      <c r="CW128" s="30"/>
      <c r="CX128" s="30"/>
      <c r="CY128" s="30"/>
      <c r="CZ128" s="30"/>
      <c r="DA128" s="85"/>
      <c r="DB128" s="85"/>
      <c r="DC128" s="85"/>
      <c r="DE128" s="81"/>
      <c r="DF128" s="30"/>
      <c r="DG128" s="30"/>
      <c r="DH128" s="30"/>
      <c r="DI128" s="30"/>
      <c r="DJ128" s="30"/>
      <c r="DK128" s="30"/>
      <c r="DL128" s="30"/>
      <c r="DM128" s="30"/>
      <c r="DN128" s="30"/>
      <c r="DO128" s="30"/>
      <c r="DP128" s="85"/>
      <c r="DQ128" s="85"/>
      <c r="DR128" s="85"/>
      <c r="DT128" s="81"/>
      <c r="DU128" s="30"/>
      <c r="DV128" s="30"/>
      <c r="DW128" s="30"/>
      <c r="DX128" s="30"/>
      <c r="DY128" s="30"/>
      <c r="DZ128" s="30"/>
      <c r="EA128" s="30"/>
      <c r="EB128" s="30"/>
      <c r="EC128" s="30"/>
      <c r="ED128" s="30"/>
      <c r="EE128" s="85"/>
      <c r="EF128" s="85"/>
      <c r="EG128" s="85"/>
      <c r="EI128" s="81"/>
      <c r="EJ128" s="30"/>
      <c r="EK128" s="30"/>
      <c r="EL128" s="30"/>
      <c r="EM128" s="30"/>
      <c r="EN128" s="30"/>
      <c r="EO128" s="30"/>
      <c r="EP128" s="30"/>
      <c r="EQ128" s="30"/>
      <c r="ER128" s="30"/>
      <c r="ES128" s="30"/>
      <c r="ET128" s="85"/>
      <c r="EU128" s="85"/>
      <c r="EV128" s="85"/>
    </row>
    <row r="129" spans="2:152">
      <c r="B129" s="11">
        <v>0.04</v>
      </c>
      <c r="C129" s="16"/>
      <c r="D129" s="16"/>
      <c r="E129" s="8"/>
      <c r="F129" s="27">
        <f t="shared" si="30"/>
        <v>-0.15101283835115842</v>
      </c>
      <c r="G129" s="27">
        <f t="shared" si="31"/>
        <v>-0.35377852541220461</v>
      </c>
      <c r="H129" s="27">
        <f t="shared" si="32"/>
        <v>-6.7148664519025127E-4</v>
      </c>
      <c r="I129" s="27">
        <f t="shared" si="33"/>
        <v>527.85861728786745</v>
      </c>
      <c r="J129" s="27">
        <f t="shared" si="34"/>
        <v>-0.76803468772637495</v>
      </c>
      <c r="K129" s="27">
        <f t="shared" si="35"/>
        <v>8.1098352768744983E-3</v>
      </c>
      <c r="L129" s="27">
        <f t="shared" si="36"/>
        <v>0.14978814910743726</v>
      </c>
      <c r="M129" s="17">
        <f t="shared" si="37"/>
        <v>4.1360622493847934E-2</v>
      </c>
      <c r="N129" s="17">
        <f t="shared" si="38"/>
        <v>4.1360622493847934E-2</v>
      </c>
      <c r="O129" s="17">
        <f t="shared" si="39"/>
        <v>4.1360622493847934E-2</v>
      </c>
      <c r="P129" s="17">
        <f>IF(ISERROR(O129),0,IF('R-AFC ISOTOPE'!$G$7='R-AFC ISOTOPE_CONTROL'!B129,'R-AFC ISOTOPE_CONTROL'!O129,0))</f>
        <v>0</v>
      </c>
      <c r="S129" s="81"/>
      <c r="T129" s="30"/>
      <c r="U129" s="30"/>
      <c r="W129" s="30"/>
      <c r="X129" s="30"/>
      <c r="Y129" s="30"/>
      <c r="Z129" s="30"/>
      <c r="AA129" s="30"/>
      <c r="AB129" s="30"/>
      <c r="AC129" s="30"/>
      <c r="AD129" s="85"/>
      <c r="AE129" s="85"/>
      <c r="AF129" s="85"/>
      <c r="AH129" s="81"/>
      <c r="AI129" s="30"/>
      <c r="AJ129" s="30"/>
      <c r="AL129" s="30"/>
      <c r="AM129" s="30"/>
      <c r="AN129" s="30"/>
      <c r="AO129" s="30"/>
      <c r="AP129" s="30"/>
      <c r="AQ129" s="30"/>
      <c r="AR129" s="30"/>
      <c r="AS129" s="85"/>
      <c r="AT129" s="85"/>
      <c r="AU129" s="85"/>
      <c r="AW129" s="81"/>
      <c r="AX129" s="30"/>
      <c r="AY129" s="30"/>
      <c r="BA129" s="30"/>
      <c r="BB129" s="30"/>
      <c r="BC129" s="30"/>
      <c r="BD129" s="30"/>
      <c r="BE129" s="30"/>
      <c r="BF129" s="30"/>
      <c r="BG129" s="30"/>
      <c r="BH129" s="85"/>
      <c r="BI129" s="85"/>
      <c r="BJ129" s="85"/>
      <c r="BL129" s="81"/>
      <c r="BM129" s="30"/>
      <c r="BN129" s="30"/>
      <c r="BP129" s="30"/>
      <c r="BQ129" s="30"/>
      <c r="BR129" s="30"/>
      <c r="BS129" s="30"/>
      <c r="BT129" s="30"/>
      <c r="BU129" s="30"/>
      <c r="BV129" s="30"/>
      <c r="BW129" s="85"/>
      <c r="BX129" s="85"/>
      <c r="BY129" s="85"/>
      <c r="CA129" s="81"/>
      <c r="CB129" s="30"/>
      <c r="CC129" s="30"/>
      <c r="CE129" s="30"/>
      <c r="CF129" s="30"/>
      <c r="CG129" s="30"/>
      <c r="CH129" s="30"/>
      <c r="CI129" s="30"/>
      <c r="CJ129" s="30"/>
      <c r="CK129" s="30"/>
      <c r="CL129" s="85"/>
      <c r="CM129" s="85"/>
      <c r="CN129" s="85"/>
      <c r="CP129" s="81"/>
      <c r="CQ129" s="30"/>
      <c r="CR129" s="30"/>
      <c r="CT129" s="30"/>
      <c r="CU129" s="30"/>
      <c r="CV129" s="30"/>
      <c r="CW129" s="30"/>
      <c r="CX129" s="30"/>
      <c r="CY129" s="30"/>
      <c r="CZ129" s="30"/>
      <c r="DA129" s="85"/>
      <c r="DB129" s="85"/>
      <c r="DC129" s="85"/>
      <c r="DE129" s="81"/>
      <c r="DF129" s="30"/>
      <c r="DG129" s="30"/>
      <c r="DI129" s="30"/>
      <c r="DJ129" s="30"/>
      <c r="DK129" s="30"/>
      <c r="DL129" s="30"/>
      <c r="DM129" s="30"/>
      <c r="DN129" s="30"/>
      <c r="DO129" s="30"/>
      <c r="DP129" s="85"/>
      <c r="DQ129" s="85"/>
      <c r="DR129" s="85"/>
      <c r="DT129" s="81"/>
      <c r="DU129" s="30"/>
      <c r="DV129" s="30"/>
      <c r="DX129" s="30"/>
      <c r="DY129" s="30"/>
      <c r="DZ129" s="30"/>
      <c r="EA129" s="30"/>
      <c r="EB129" s="30"/>
      <c r="EC129" s="30"/>
      <c r="ED129" s="30"/>
      <c r="EE129" s="85"/>
      <c r="EF129" s="85"/>
      <c r="EG129" s="85"/>
      <c r="EI129" s="81"/>
      <c r="EJ129" s="30"/>
      <c r="EK129" s="30"/>
      <c r="EM129" s="30"/>
      <c r="EN129" s="30"/>
      <c r="EO129" s="30"/>
      <c r="EP129" s="30"/>
      <c r="EQ129" s="30"/>
      <c r="ER129" s="30"/>
      <c r="ES129" s="30"/>
      <c r="ET129" s="85"/>
      <c r="EU129" s="85"/>
      <c r="EV129" s="85"/>
    </row>
    <row r="130" spans="2:152">
      <c r="B130" s="11">
        <v>0.05</v>
      </c>
      <c r="C130" s="16"/>
      <c r="D130" s="16"/>
      <c r="E130" s="8"/>
      <c r="F130" s="27">
        <f t="shared" si="30"/>
        <v>-0.19617217726242961</v>
      </c>
      <c r="G130" s="27">
        <f t="shared" si="31"/>
        <v>-0.36403660777088631</v>
      </c>
      <c r="H130" s="27">
        <f t="shared" si="32"/>
        <v>-8.3935830648781409E-4</v>
      </c>
      <c r="I130" s="27">
        <f t="shared" si="33"/>
        <v>434.70823277385585</v>
      </c>
      <c r="J130" s="27">
        <f t="shared" si="34"/>
        <v>-0.71821374924779791</v>
      </c>
      <c r="K130" s="27">
        <f t="shared" si="35"/>
        <v>1.2741190818502911E-2</v>
      </c>
      <c r="L130" s="27">
        <f t="shared" si="36"/>
        <v>0.19367271011864781</v>
      </c>
      <c r="M130" s="17">
        <f t="shared" si="37"/>
        <v>5.2040556962009585E-2</v>
      </c>
      <c r="N130" s="17">
        <f t="shared" si="38"/>
        <v>5.2040556962009585E-2</v>
      </c>
      <c r="O130" s="17">
        <f t="shared" si="39"/>
        <v>5.2040556962009585E-2</v>
      </c>
      <c r="P130" s="17">
        <f>IF(ISERROR(O130),0,IF('R-AFC ISOTOPE'!$G$7='R-AFC ISOTOPE_CONTROL'!B130,'R-AFC ISOTOPE_CONTROL'!O130,0))</f>
        <v>0</v>
      </c>
      <c r="S130" s="81"/>
      <c r="T130" s="30"/>
      <c r="U130" s="30"/>
      <c r="W130" s="30"/>
      <c r="X130" s="30"/>
      <c r="Y130" s="30"/>
      <c r="Z130" s="30"/>
      <c r="AA130" s="30"/>
      <c r="AB130" s="30"/>
      <c r="AC130" s="30"/>
      <c r="AD130" s="85"/>
      <c r="AE130" s="85"/>
      <c r="AF130" s="85"/>
      <c r="AH130" s="81"/>
      <c r="AI130" s="30"/>
      <c r="AJ130" s="30"/>
      <c r="AL130" s="30"/>
      <c r="AM130" s="30"/>
      <c r="AN130" s="30"/>
      <c r="AO130" s="30"/>
      <c r="AP130" s="30"/>
      <c r="AQ130" s="30"/>
      <c r="AR130" s="30"/>
      <c r="AS130" s="85"/>
      <c r="AT130" s="85"/>
      <c r="AU130" s="85"/>
      <c r="AW130" s="81"/>
      <c r="AX130" s="30"/>
      <c r="AY130" s="30"/>
      <c r="BA130" s="30"/>
      <c r="BB130" s="30"/>
      <c r="BC130" s="30"/>
      <c r="BD130" s="30"/>
      <c r="BE130" s="30"/>
      <c r="BF130" s="30"/>
      <c r="BG130" s="30"/>
      <c r="BH130" s="85"/>
      <c r="BI130" s="85"/>
      <c r="BJ130" s="85"/>
      <c r="BL130" s="81"/>
      <c r="BM130" s="30"/>
      <c r="BN130" s="30"/>
      <c r="BP130" s="30"/>
      <c r="BQ130" s="30"/>
      <c r="BR130" s="30"/>
      <c r="BS130" s="30"/>
      <c r="BT130" s="30"/>
      <c r="BU130" s="30"/>
      <c r="BV130" s="30"/>
      <c r="BW130" s="85"/>
      <c r="BX130" s="85"/>
      <c r="BY130" s="85"/>
      <c r="CA130" s="81"/>
      <c r="CB130" s="30"/>
      <c r="CC130" s="30"/>
      <c r="CE130" s="30"/>
      <c r="CF130" s="30"/>
      <c r="CG130" s="30"/>
      <c r="CH130" s="30"/>
      <c r="CI130" s="30"/>
      <c r="CJ130" s="30"/>
      <c r="CK130" s="30"/>
      <c r="CL130" s="85"/>
      <c r="CM130" s="85"/>
      <c r="CN130" s="85"/>
      <c r="CP130" s="81"/>
      <c r="CQ130" s="30"/>
      <c r="CR130" s="30"/>
      <c r="CT130" s="30"/>
      <c r="CU130" s="30"/>
      <c r="CV130" s="30"/>
      <c r="CW130" s="30"/>
      <c r="CX130" s="30"/>
      <c r="CY130" s="30"/>
      <c r="CZ130" s="30"/>
      <c r="DA130" s="85"/>
      <c r="DB130" s="85"/>
      <c r="DC130" s="85"/>
      <c r="DE130" s="81"/>
      <c r="DF130" s="30"/>
      <c r="DG130" s="30"/>
      <c r="DI130" s="30"/>
      <c r="DJ130" s="30"/>
      <c r="DK130" s="30"/>
      <c r="DL130" s="30"/>
      <c r="DM130" s="30"/>
      <c r="DN130" s="30"/>
      <c r="DO130" s="30"/>
      <c r="DP130" s="85"/>
      <c r="DQ130" s="85"/>
      <c r="DR130" s="85"/>
      <c r="DT130" s="81"/>
      <c r="DU130" s="30"/>
      <c r="DV130" s="30"/>
      <c r="DX130" s="30"/>
      <c r="DY130" s="30"/>
      <c r="DZ130" s="30"/>
      <c r="EA130" s="30"/>
      <c r="EB130" s="30"/>
      <c r="EC130" s="30"/>
      <c r="ED130" s="30"/>
      <c r="EE130" s="85"/>
      <c r="EF130" s="85"/>
      <c r="EG130" s="85"/>
      <c r="EI130" s="81"/>
      <c r="EJ130" s="30"/>
      <c r="EK130" s="30"/>
      <c r="EM130" s="30"/>
      <c r="EN130" s="30"/>
      <c r="EO130" s="30"/>
      <c r="EP130" s="30"/>
      <c r="EQ130" s="30"/>
      <c r="ER130" s="30"/>
      <c r="ES130" s="30"/>
      <c r="ET130" s="85"/>
      <c r="EU130" s="85"/>
      <c r="EV130" s="85"/>
    </row>
    <row r="131" spans="2:152">
      <c r="B131" s="11">
        <v>0.06</v>
      </c>
      <c r="C131" s="16"/>
      <c r="D131" s="16"/>
      <c r="E131" s="8"/>
      <c r="F131" s="27">
        <f t="shared" si="30"/>
        <v>-0.24501982731425589</v>
      </c>
      <c r="G131" s="27">
        <f t="shared" si="31"/>
        <v>-0.37429469012956795</v>
      </c>
      <c r="H131" s="27">
        <f t="shared" si="32"/>
        <v>-1.0072299677853769E-3</v>
      </c>
      <c r="I131" s="27">
        <f t="shared" si="33"/>
        <v>372.60797643118138</v>
      </c>
      <c r="J131" s="27">
        <f t="shared" si="34"/>
        <v>-0.67112363919707352</v>
      </c>
      <c r="K131" s="27">
        <f t="shared" si="35"/>
        <v>1.8809268301058661E-2</v>
      </c>
      <c r="L131" s="27">
        <f t="shared" si="36"/>
        <v>0.240411183643223</v>
      </c>
      <c r="M131" s="17">
        <f t="shared" si="37"/>
        <v>6.280110409400004E-2</v>
      </c>
      <c r="N131" s="17">
        <f t="shared" si="38"/>
        <v>6.280110409400004E-2</v>
      </c>
      <c r="O131" s="17">
        <f t="shared" si="39"/>
        <v>6.280110409400004E-2</v>
      </c>
      <c r="P131" s="17">
        <f>IF(ISERROR(O131),0,IF('R-AFC ISOTOPE'!$G$7='R-AFC ISOTOPE_CONTROL'!B131,'R-AFC ISOTOPE_CONTROL'!O131,0))</f>
        <v>0</v>
      </c>
      <c r="S131" s="81"/>
      <c r="T131" s="30"/>
      <c r="U131" s="30"/>
      <c r="W131" s="30"/>
      <c r="X131" s="30"/>
      <c r="Y131" s="30"/>
      <c r="Z131" s="30"/>
      <c r="AA131" s="30"/>
      <c r="AB131" s="30"/>
      <c r="AC131" s="30"/>
      <c r="AD131" s="85"/>
      <c r="AE131" s="85"/>
      <c r="AF131" s="85"/>
      <c r="AH131" s="81"/>
      <c r="AI131" s="30"/>
      <c r="AJ131" s="30"/>
      <c r="AL131" s="30"/>
      <c r="AM131" s="30"/>
      <c r="AN131" s="30"/>
      <c r="AO131" s="30"/>
      <c r="AP131" s="30"/>
      <c r="AQ131" s="30"/>
      <c r="AR131" s="30"/>
      <c r="AS131" s="85"/>
      <c r="AT131" s="85"/>
      <c r="AU131" s="85"/>
      <c r="AW131" s="81"/>
      <c r="AX131" s="30"/>
      <c r="AY131" s="30"/>
      <c r="BA131" s="30"/>
      <c r="BB131" s="30"/>
      <c r="BC131" s="30"/>
      <c r="BD131" s="30"/>
      <c r="BE131" s="30"/>
      <c r="BF131" s="30"/>
      <c r="BG131" s="30"/>
      <c r="BH131" s="85"/>
      <c r="BI131" s="85"/>
      <c r="BJ131" s="85"/>
      <c r="BL131" s="81"/>
      <c r="BM131" s="30"/>
      <c r="BN131" s="30"/>
      <c r="BP131" s="30"/>
      <c r="BQ131" s="30"/>
      <c r="BR131" s="30"/>
      <c r="BS131" s="30"/>
      <c r="BT131" s="30"/>
      <c r="BU131" s="30"/>
      <c r="BV131" s="30"/>
      <c r="BW131" s="85"/>
      <c r="BX131" s="85"/>
      <c r="BY131" s="85"/>
      <c r="CA131" s="81"/>
      <c r="CB131" s="30"/>
      <c r="CC131" s="30"/>
      <c r="CE131" s="30"/>
      <c r="CF131" s="30"/>
      <c r="CG131" s="30"/>
      <c r="CH131" s="30"/>
      <c r="CI131" s="30"/>
      <c r="CJ131" s="30"/>
      <c r="CK131" s="30"/>
      <c r="CL131" s="85"/>
      <c r="CM131" s="85"/>
      <c r="CN131" s="85"/>
      <c r="CP131" s="81"/>
      <c r="CQ131" s="30"/>
      <c r="CR131" s="30"/>
      <c r="CT131" s="30"/>
      <c r="CU131" s="30"/>
      <c r="CV131" s="30"/>
      <c r="CW131" s="30"/>
      <c r="CX131" s="30"/>
      <c r="CY131" s="30"/>
      <c r="CZ131" s="30"/>
      <c r="DA131" s="85"/>
      <c r="DB131" s="85"/>
      <c r="DC131" s="85"/>
      <c r="DE131" s="81"/>
      <c r="DF131" s="30"/>
      <c r="DG131" s="30"/>
      <c r="DI131" s="30"/>
      <c r="DJ131" s="30"/>
      <c r="DK131" s="30"/>
      <c r="DL131" s="30"/>
      <c r="DM131" s="30"/>
      <c r="DN131" s="30"/>
      <c r="DO131" s="30"/>
      <c r="DP131" s="85"/>
      <c r="DQ131" s="85"/>
      <c r="DR131" s="85"/>
      <c r="DT131" s="81"/>
      <c r="DU131" s="30"/>
      <c r="DV131" s="30"/>
      <c r="DX131" s="30"/>
      <c r="DY131" s="30"/>
      <c r="DZ131" s="30"/>
      <c r="EA131" s="30"/>
      <c r="EB131" s="30"/>
      <c r="EC131" s="30"/>
      <c r="ED131" s="30"/>
      <c r="EE131" s="85"/>
      <c r="EF131" s="85"/>
      <c r="EG131" s="85"/>
      <c r="EI131" s="81"/>
      <c r="EJ131" s="30"/>
      <c r="EK131" s="30"/>
      <c r="EM131" s="30"/>
      <c r="EN131" s="30"/>
      <c r="EO131" s="30"/>
      <c r="EP131" s="30"/>
      <c r="EQ131" s="30"/>
      <c r="ER131" s="30"/>
      <c r="ES131" s="30"/>
      <c r="ET131" s="85"/>
      <c r="EU131" s="85"/>
      <c r="EV131" s="85"/>
    </row>
    <row r="132" spans="2:152">
      <c r="B132" s="11">
        <v>7.0000000000000007E-2</v>
      </c>
      <c r="C132" s="16"/>
      <c r="D132" s="16"/>
      <c r="E132" s="8"/>
      <c r="F132" s="27">
        <f t="shared" si="30"/>
        <v>-0.29802688102040281</v>
      </c>
      <c r="G132" s="27">
        <f t="shared" si="31"/>
        <v>-0.38455277248824965</v>
      </c>
      <c r="H132" s="27">
        <f t="shared" si="32"/>
        <v>-1.1751016290829398E-3</v>
      </c>
      <c r="I132" s="27">
        <f t="shared" si="33"/>
        <v>328.25065047212826</v>
      </c>
      <c r="J132" s="27">
        <f t="shared" si="34"/>
        <v>-0.62654582010737447</v>
      </c>
      <c r="K132" s="27">
        <f t="shared" si="35"/>
        <v>2.6514405974752103E-2</v>
      </c>
      <c r="L132" s="27">
        <f t="shared" si="36"/>
        <v>0.29012487530563874</v>
      </c>
      <c r="M132" s="17">
        <f t="shared" si="37"/>
        <v>7.3608041435195518E-2</v>
      </c>
      <c r="N132" s="17">
        <f t="shared" si="38"/>
        <v>7.3608041435195518E-2</v>
      </c>
      <c r="O132" s="17">
        <f t="shared" si="39"/>
        <v>7.3608041435195518E-2</v>
      </c>
      <c r="P132" s="17">
        <f>IF(ISERROR(O132),0,IF('R-AFC ISOTOPE'!$G$7='R-AFC ISOTOPE_CONTROL'!B132,'R-AFC ISOTOPE_CONTROL'!O132,0))</f>
        <v>0</v>
      </c>
      <c r="S132" s="81"/>
      <c r="T132" s="30"/>
      <c r="U132" s="30"/>
      <c r="W132" s="30"/>
      <c r="X132" s="30"/>
      <c r="Y132" s="30"/>
      <c r="Z132" s="30"/>
      <c r="AA132" s="30"/>
      <c r="AB132" s="30"/>
      <c r="AC132" s="30"/>
      <c r="AD132" s="85"/>
      <c r="AE132" s="85"/>
      <c r="AF132" s="85"/>
      <c r="AH132" s="81"/>
      <c r="AI132" s="30"/>
      <c r="AJ132" s="30"/>
      <c r="AL132" s="30"/>
      <c r="AM132" s="30"/>
      <c r="AN132" s="30"/>
      <c r="AO132" s="30"/>
      <c r="AP132" s="30"/>
      <c r="AQ132" s="30"/>
      <c r="AR132" s="30"/>
      <c r="AS132" s="85"/>
      <c r="AT132" s="85"/>
      <c r="AU132" s="85"/>
      <c r="AW132" s="81"/>
      <c r="AX132" s="30"/>
      <c r="AY132" s="30"/>
      <c r="BA132" s="30"/>
      <c r="BB132" s="30"/>
      <c r="BC132" s="30"/>
      <c r="BD132" s="30"/>
      <c r="BE132" s="30"/>
      <c r="BF132" s="30"/>
      <c r="BG132" s="30"/>
      <c r="BH132" s="85"/>
      <c r="BI132" s="85"/>
      <c r="BJ132" s="85"/>
      <c r="BL132" s="81"/>
      <c r="BM132" s="30"/>
      <c r="BN132" s="30"/>
      <c r="BP132" s="30"/>
      <c r="BQ132" s="30"/>
      <c r="BR132" s="30"/>
      <c r="BS132" s="30"/>
      <c r="BT132" s="30"/>
      <c r="BU132" s="30"/>
      <c r="BV132" s="30"/>
      <c r="BW132" s="85"/>
      <c r="BX132" s="85"/>
      <c r="BY132" s="85"/>
      <c r="CA132" s="81"/>
      <c r="CB132" s="30"/>
      <c r="CC132" s="30"/>
      <c r="CE132" s="30"/>
      <c r="CF132" s="30"/>
      <c r="CG132" s="30"/>
      <c r="CH132" s="30"/>
      <c r="CI132" s="30"/>
      <c r="CJ132" s="30"/>
      <c r="CK132" s="30"/>
      <c r="CL132" s="85"/>
      <c r="CM132" s="85"/>
      <c r="CN132" s="85"/>
      <c r="CP132" s="81"/>
      <c r="CQ132" s="30"/>
      <c r="CR132" s="30"/>
      <c r="CT132" s="30"/>
      <c r="CU132" s="30"/>
      <c r="CV132" s="30"/>
      <c r="CW132" s="30"/>
      <c r="CX132" s="30"/>
      <c r="CY132" s="30"/>
      <c r="CZ132" s="30"/>
      <c r="DA132" s="85"/>
      <c r="DB132" s="85"/>
      <c r="DC132" s="85"/>
      <c r="DE132" s="81"/>
      <c r="DF132" s="30"/>
      <c r="DG132" s="30"/>
      <c r="DI132" s="30"/>
      <c r="DJ132" s="30"/>
      <c r="DK132" s="30"/>
      <c r="DL132" s="30"/>
      <c r="DM132" s="30"/>
      <c r="DN132" s="30"/>
      <c r="DO132" s="30"/>
      <c r="DP132" s="85"/>
      <c r="DQ132" s="85"/>
      <c r="DR132" s="85"/>
      <c r="DT132" s="81"/>
      <c r="DU132" s="30"/>
      <c r="DV132" s="30"/>
      <c r="DX132" s="30"/>
      <c r="DY132" s="30"/>
      <c r="DZ132" s="30"/>
      <c r="EA132" s="30"/>
      <c r="EB132" s="30"/>
      <c r="EC132" s="30"/>
      <c r="ED132" s="30"/>
      <c r="EE132" s="85"/>
      <c r="EF132" s="85"/>
      <c r="EG132" s="85"/>
      <c r="EI132" s="81"/>
      <c r="EJ132" s="30"/>
      <c r="EK132" s="30"/>
      <c r="EM132" s="30"/>
      <c r="EN132" s="30"/>
      <c r="EO132" s="30"/>
      <c r="EP132" s="30"/>
      <c r="EQ132" s="30"/>
      <c r="ER132" s="30"/>
      <c r="ES132" s="30"/>
      <c r="ET132" s="85"/>
      <c r="EU132" s="85"/>
      <c r="EV132" s="85"/>
    </row>
    <row r="133" spans="2:152">
      <c r="B133" s="11">
        <v>0.08</v>
      </c>
      <c r="C133" s="16"/>
      <c r="D133" s="16"/>
      <c r="E133" s="8"/>
      <c r="F133" s="27">
        <f t="shared" si="30"/>
        <v>-0.35574822605767609</v>
      </c>
      <c r="G133" s="27">
        <f t="shared" si="31"/>
        <v>-0.39481085484693135</v>
      </c>
      <c r="H133" s="27">
        <f t="shared" si="32"/>
        <v>-1.3429732903805025E-3</v>
      </c>
      <c r="I133" s="27">
        <f t="shared" si="33"/>
        <v>294.98265600283844</v>
      </c>
      <c r="J133" s="27">
        <f t="shared" si="34"/>
        <v>-0.584284466910032</v>
      </c>
      <c r="K133" s="27">
        <f t="shared" si="35"/>
        <v>3.6052574199301191E-2</v>
      </c>
      <c r="L133" s="27">
        <f t="shared" si="36"/>
        <v>0.34292258674146192</v>
      </c>
      <c r="M133" s="17">
        <f t="shared" si="37"/>
        <v>8.442496905813858E-2</v>
      </c>
      <c r="N133" s="17">
        <f t="shared" si="38"/>
        <v>8.442496905813858E-2</v>
      </c>
      <c r="O133" s="17">
        <f t="shared" si="39"/>
        <v>8.442496905813858E-2</v>
      </c>
      <c r="P133" s="17">
        <f>IF(ISERROR(O133),0,IF('R-AFC ISOTOPE'!$G$7='R-AFC ISOTOPE_CONTROL'!B133,'R-AFC ISOTOPE_CONTROL'!O133,0))</f>
        <v>0</v>
      </c>
      <c r="S133" s="81"/>
      <c r="T133" s="30"/>
      <c r="U133" s="30"/>
      <c r="W133" s="30"/>
      <c r="X133" s="30"/>
      <c r="Y133" s="30"/>
      <c r="Z133" s="30"/>
      <c r="AA133" s="30"/>
      <c r="AB133" s="30"/>
      <c r="AC133" s="30"/>
      <c r="AD133" s="85"/>
      <c r="AE133" s="85"/>
      <c r="AF133" s="85"/>
      <c r="AH133" s="81"/>
      <c r="AI133" s="30"/>
      <c r="AJ133" s="30"/>
      <c r="AL133" s="30"/>
      <c r="AM133" s="30"/>
      <c r="AN133" s="30"/>
      <c r="AO133" s="30"/>
      <c r="AP133" s="30"/>
      <c r="AQ133" s="30"/>
      <c r="AR133" s="30"/>
      <c r="AS133" s="85"/>
      <c r="AT133" s="85"/>
      <c r="AU133" s="85"/>
      <c r="AW133" s="81"/>
      <c r="AX133" s="30"/>
      <c r="AY133" s="30"/>
      <c r="BA133" s="30"/>
      <c r="BB133" s="30"/>
      <c r="BC133" s="30"/>
      <c r="BD133" s="30"/>
      <c r="BE133" s="30"/>
      <c r="BF133" s="30"/>
      <c r="BG133" s="30"/>
      <c r="BH133" s="85"/>
      <c r="BI133" s="85"/>
      <c r="BJ133" s="85"/>
      <c r="BL133" s="81"/>
      <c r="BM133" s="30"/>
      <c r="BN133" s="30"/>
      <c r="BP133" s="30"/>
      <c r="BQ133" s="30"/>
      <c r="BR133" s="30"/>
      <c r="BS133" s="30"/>
      <c r="BT133" s="30"/>
      <c r="BU133" s="30"/>
      <c r="BV133" s="30"/>
      <c r="BW133" s="85"/>
      <c r="BX133" s="85"/>
      <c r="BY133" s="85"/>
      <c r="CA133" s="81"/>
      <c r="CB133" s="30"/>
      <c r="CC133" s="30"/>
      <c r="CE133" s="30"/>
      <c r="CF133" s="30"/>
      <c r="CG133" s="30"/>
      <c r="CH133" s="30"/>
      <c r="CI133" s="30"/>
      <c r="CJ133" s="30"/>
      <c r="CK133" s="30"/>
      <c r="CL133" s="85"/>
      <c r="CM133" s="85"/>
      <c r="CN133" s="85"/>
      <c r="CP133" s="81"/>
      <c r="CQ133" s="30"/>
      <c r="CR133" s="30"/>
      <c r="CT133" s="30"/>
      <c r="CU133" s="30"/>
      <c r="CV133" s="30"/>
      <c r="CW133" s="30"/>
      <c r="CX133" s="30"/>
      <c r="CY133" s="30"/>
      <c r="CZ133" s="30"/>
      <c r="DA133" s="85"/>
      <c r="DB133" s="85"/>
      <c r="DC133" s="85"/>
      <c r="DE133" s="81"/>
      <c r="DF133" s="30"/>
      <c r="DG133" s="30"/>
      <c r="DI133" s="30"/>
      <c r="DJ133" s="30"/>
      <c r="DK133" s="30"/>
      <c r="DL133" s="30"/>
      <c r="DM133" s="30"/>
      <c r="DN133" s="30"/>
      <c r="DO133" s="30"/>
      <c r="DP133" s="85"/>
      <c r="DQ133" s="85"/>
      <c r="DR133" s="85"/>
      <c r="DT133" s="81"/>
      <c r="DU133" s="30"/>
      <c r="DV133" s="30"/>
      <c r="DX133" s="30"/>
      <c r="DY133" s="30"/>
      <c r="DZ133" s="30"/>
      <c r="EA133" s="30"/>
      <c r="EB133" s="30"/>
      <c r="EC133" s="30"/>
      <c r="ED133" s="30"/>
      <c r="EE133" s="85"/>
      <c r="EF133" s="85"/>
      <c r="EG133" s="85"/>
      <c r="EI133" s="81"/>
      <c r="EJ133" s="30"/>
      <c r="EK133" s="30"/>
      <c r="EM133" s="30"/>
      <c r="EN133" s="30"/>
      <c r="EO133" s="30"/>
      <c r="EP133" s="30"/>
      <c r="EQ133" s="30"/>
      <c r="ER133" s="30"/>
      <c r="ES133" s="30"/>
      <c r="ET133" s="85"/>
      <c r="EU133" s="85"/>
      <c r="EV133" s="85"/>
    </row>
    <row r="134" spans="2:152">
      <c r="B134" s="11">
        <v>0.09</v>
      </c>
      <c r="C134" s="16"/>
      <c r="D134" s="16"/>
      <c r="E134" s="8"/>
      <c r="F134" s="27">
        <f t="shared" si="30"/>
        <v>-0.41884204356443822</v>
      </c>
      <c r="G134" s="27">
        <f t="shared" si="31"/>
        <v>-0.40506893720561299</v>
      </c>
      <c r="H134" s="27">
        <f t="shared" si="32"/>
        <v>-1.5108449516780652E-3</v>
      </c>
      <c r="I134" s="27">
        <f t="shared" si="33"/>
        <v>269.10754919339075</v>
      </c>
      <c r="J134" s="27">
        <f t="shared" si="34"/>
        <v>-0.54416359105799439</v>
      </c>
      <c r="K134" s="27">
        <f t="shared" si="35"/>
        <v>4.7612699627326727E-2</v>
      </c>
      <c r="L134" s="27">
        <f t="shared" si="36"/>
        <v>0.39889984315290894</v>
      </c>
      <c r="M134" s="17">
        <f t="shared" si="37"/>
        <v>9.5214410338553726E-2</v>
      </c>
      <c r="N134" s="17">
        <f t="shared" si="38"/>
        <v>9.5214410338553726E-2</v>
      </c>
      <c r="O134" s="17">
        <f>IF($C$2=0,NA(),IF(N134&lt;0,NA(),IF(ISERROR(N134),NA(),N134)))</f>
        <v>9.5214410338553726E-2</v>
      </c>
      <c r="P134" s="17">
        <f>IF(ISERROR(O134),0,IF('R-AFC ISOTOPE'!$G$7='R-AFC ISOTOPE_CONTROL'!B134,'R-AFC ISOTOPE_CONTROL'!O134,0))</f>
        <v>0</v>
      </c>
      <c r="S134" s="81"/>
      <c r="T134" s="30"/>
      <c r="U134" s="30"/>
      <c r="W134" s="30"/>
      <c r="X134" s="30"/>
      <c r="Y134" s="30"/>
      <c r="Z134" s="30"/>
      <c r="AA134" s="30"/>
      <c r="AB134" s="30"/>
      <c r="AC134" s="30"/>
      <c r="AD134" s="85"/>
      <c r="AE134" s="85"/>
      <c r="AF134" s="85"/>
      <c r="AH134" s="81"/>
      <c r="AI134" s="30"/>
      <c r="AJ134" s="30"/>
      <c r="AL134" s="30"/>
      <c r="AM134" s="30"/>
      <c r="AN134" s="30"/>
      <c r="AO134" s="30"/>
      <c r="AP134" s="30"/>
      <c r="AQ134" s="30"/>
      <c r="AR134" s="30"/>
      <c r="AS134" s="85"/>
      <c r="AT134" s="85"/>
      <c r="AU134" s="85"/>
      <c r="AW134" s="81"/>
      <c r="AX134" s="30"/>
      <c r="AY134" s="30"/>
      <c r="BA134" s="30"/>
      <c r="BB134" s="30"/>
      <c r="BC134" s="30"/>
      <c r="BD134" s="30"/>
      <c r="BE134" s="30"/>
      <c r="BF134" s="30"/>
      <c r="BG134" s="30"/>
      <c r="BH134" s="85"/>
      <c r="BI134" s="85"/>
      <c r="BJ134" s="85"/>
      <c r="BL134" s="81"/>
      <c r="BM134" s="30"/>
      <c r="BN134" s="30"/>
      <c r="BP134" s="30"/>
      <c r="BQ134" s="30"/>
      <c r="BR134" s="30"/>
      <c r="BS134" s="30"/>
      <c r="BT134" s="30"/>
      <c r="BU134" s="30"/>
      <c r="BV134" s="30"/>
      <c r="BW134" s="85"/>
      <c r="BX134" s="85"/>
      <c r="BY134" s="85"/>
      <c r="CA134" s="81"/>
      <c r="CB134" s="30"/>
      <c r="CC134" s="30"/>
      <c r="CE134" s="30"/>
      <c r="CF134" s="30"/>
      <c r="CG134" s="30"/>
      <c r="CH134" s="30"/>
      <c r="CI134" s="30"/>
      <c r="CJ134" s="30"/>
      <c r="CK134" s="30"/>
      <c r="CL134" s="85"/>
      <c r="CM134" s="85"/>
      <c r="CN134" s="85"/>
      <c r="CP134" s="81"/>
      <c r="CQ134" s="30"/>
      <c r="CR134" s="30"/>
      <c r="CT134" s="30"/>
      <c r="CU134" s="30"/>
      <c r="CV134" s="30"/>
      <c r="CW134" s="30"/>
      <c r="CX134" s="30"/>
      <c r="CY134" s="30"/>
      <c r="CZ134" s="30"/>
      <c r="DA134" s="85"/>
      <c r="DB134" s="85"/>
      <c r="DC134" s="85"/>
      <c r="DE134" s="81"/>
      <c r="DF134" s="30"/>
      <c r="DG134" s="30"/>
      <c r="DI134" s="30"/>
      <c r="DJ134" s="30"/>
      <c r="DK134" s="30"/>
      <c r="DL134" s="30"/>
      <c r="DM134" s="30"/>
      <c r="DN134" s="30"/>
      <c r="DO134" s="30"/>
      <c r="DP134" s="85"/>
      <c r="DQ134" s="85"/>
      <c r="DR134" s="85"/>
      <c r="DT134" s="81"/>
      <c r="DU134" s="30"/>
      <c r="DV134" s="30"/>
      <c r="DX134" s="30"/>
      <c r="DY134" s="30"/>
      <c r="DZ134" s="30"/>
      <c r="EA134" s="30"/>
      <c r="EB134" s="30"/>
      <c r="EC134" s="30"/>
      <c r="ED134" s="30"/>
      <c r="EE134" s="85"/>
      <c r="EF134" s="85"/>
      <c r="EG134" s="85"/>
      <c r="EI134" s="81"/>
      <c r="EJ134" s="30"/>
      <c r="EK134" s="30"/>
      <c r="EM134" s="30"/>
      <c r="EN134" s="30"/>
      <c r="EO134" s="30"/>
      <c r="EP134" s="30"/>
      <c r="EQ134" s="30"/>
      <c r="ER134" s="30"/>
      <c r="ES134" s="30"/>
      <c r="ET134" s="85"/>
      <c r="EU134" s="85"/>
      <c r="EV134" s="85"/>
    </row>
    <row r="135" spans="2:152">
      <c r="B135" s="11">
        <v>0.1</v>
      </c>
      <c r="C135" s="16"/>
      <c r="D135" s="16"/>
      <c r="E135" s="8"/>
      <c r="F135" s="27">
        <f t="shared" si="30"/>
        <v>-0.4880950166525273</v>
      </c>
      <c r="G135" s="27">
        <f t="shared" si="31"/>
        <v>-0.41532701956429469</v>
      </c>
      <c r="H135" s="27">
        <f t="shared" si="32"/>
        <v>-1.6787166129756282E-3</v>
      </c>
      <c r="I135" s="27">
        <f t="shared" si="33"/>
        <v>248.40746374583264</v>
      </c>
      <c r="J135" s="27">
        <f t="shared" si="34"/>
        <v>-0.50602459083362195</v>
      </c>
      <c r="K135" s="27">
        <f t="shared" si="35"/>
        <v>6.1374475360187211E-2</v>
      </c>
      <c r="L135" s="27">
        <f t="shared" si="36"/>
        <v>0.45813844107955659</v>
      </c>
      <c r="M135" s="17">
        <f t="shared" si="37"/>
        <v>0.10593888322670614</v>
      </c>
      <c r="N135" s="17">
        <f t="shared" si="38"/>
        <v>0.10593888322670614</v>
      </c>
      <c r="O135" s="17">
        <f t="shared" si="39"/>
        <v>0.10593888322670614</v>
      </c>
      <c r="P135" s="17">
        <f>IF(ISERROR(O135),0,IF('R-AFC ISOTOPE'!$G$7='R-AFC ISOTOPE_CONTROL'!B135,'R-AFC ISOTOPE_CONTROL'!O135,0))</f>
        <v>0</v>
      </c>
      <c r="S135" s="81"/>
      <c r="T135" s="30"/>
      <c r="U135" s="30"/>
      <c r="W135" s="30"/>
      <c r="X135" s="30"/>
      <c r="Y135" s="30"/>
      <c r="Z135" s="30"/>
      <c r="AA135" s="30"/>
      <c r="AB135" s="30"/>
      <c r="AC135" s="30"/>
      <c r="AD135" s="85"/>
      <c r="AE135" s="85"/>
      <c r="AF135" s="85"/>
      <c r="AH135" s="81"/>
      <c r="AI135" s="30"/>
      <c r="AJ135" s="30"/>
      <c r="AL135" s="30"/>
      <c r="AM135" s="30"/>
      <c r="AN135" s="30"/>
      <c r="AO135" s="30"/>
      <c r="AP135" s="30"/>
      <c r="AQ135" s="30"/>
      <c r="AR135" s="30"/>
      <c r="AS135" s="85"/>
      <c r="AT135" s="85"/>
      <c r="AU135" s="85"/>
      <c r="AW135" s="81"/>
      <c r="AX135" s="30"/>
      <c r="AY135" s="30"/>
      <c r="BA135" s="30"/>
      <c r="BB135" s="30"/>
      <c r="BC135" s="30"/>
      <c r="BD135" s="30"/>
      <c r="BE135" s="30"/>
      <c r="BF135" s="30"/>
      <c r="BG135" s="30"/>
      <c r="BH135" s="85"/>
      <c r="BI135" s="85"/>
      <c r="BJ135" s="85"/>
      <c r="BL135" s="81"/>
      <c r="BM135" s="30"/>
      <c r="BN135" s="30"/>
      <c r="BP135" s="30"/>
      <c r="BQ135" s="30"/>
      <c r="BR135" s="30"/>
      <c r="BS135" s="30"/>
      <c r="BT135" s="30"/>
      <c r="BU135" s="30"/>
      <c r="BV135" s="30"/>
      <c r="BW135" s="85"/>
      <c r="BX135" s="85"/>
      <c r="BY135" s="85"/>
      <c r="CA135" s="81"/>
      <c r="CB135" s="30"/>
      <c r="CC135" s="30"/>
      <c r="CE135" s="30"/>
      <c r="CF135" s="30"/>
      <c r="CG135" s="30"/>
      <c r="CH135" s="30"/>
      <c r="CI135" s="30"/>
      <c r="CJ135" s="30"/>
      <c r="CK135" s="30"/>
      <c r="CL135" s="85"/>
      <c r="CM135" s="85"/>
      <c r="CN135" s="85"/>
      <c r="CP135" s="81"/>
      <c r="CQ135" s="30"/>
      <c r="CR135" s="30"/>
      <c r="CT135" s="30"/>
      <c r="CU135" s="30"/>
      <c r="CV135" s="30"/>
      <c r="CW135" s="30"/>
      <c r="CX135" s="30"/>
      <c r="CY135" s="30"/>
      <c r="CZ135" s="30"/>
      <c r="DA135" s="85"/>
      <c r="DB135" s="85"/>
      <c r="DC135" s="85"/>
      <c r="DE135" s="81"/>
      <c r="DF135" s="30"/>
      <c r="DG135" s="30"/>
      <c r="DI135" s="30"/>
      <c r="DJ135" s="30"/>
      <c r="DK135" s="30"/>
      <c r="DL135" s="30"/>
      <c r="DM135" s="30"/>
      <c r="DN135" s="30"/>
      <c r="DO135" s="30"/>
      <c r="DP135" s="85"/>
      <c r="DQ135" s="85"/>
      <c r="DR135" s="85"/>
      <c r="DT135" s="81"/>
      <c r="DU135" s="30"/>
      <c r="DV135" s="30"/>
      <c r="DX135" s="30"/>
      <c r="DY135" s="30"/>
      <c r="DZ135" s="30"/>
      <c r="EA135" s="30"/>
      <c r="EB135" s="30"/>
      <c r="EC135" s="30"/>
      <c r="ED135" s="30"/>
      <c r="EE135" s="85"/>
      <c r="EF135" s="85"/>
      <c r="EG135" s="85"/>
      <c r="EI135" s="81"/>
      <c r="EJ135" s="30"/>
      <c r="EK135" s="30"/>
      <c r="EM135" s="30"/>
      <c r="EN135" s="30"/>
      <c r="EO135" s="30"/>
      <c r="EP135" s="30"/>
      <c r="EQ135" s="30"/>
      <c r="ER135" s="30"/>
      <c r="ES135" s="30"/>
      <c r="ET135" s="85"/>
      <c r="EU135" s="85"/>
      <c r="EV135" s="85"/>
    </row>
    <row r="136" spans="2:152">
      <c r="B136" s="11">
        <v>0.11</v>
      </c>
      <c r="C136" s="16"/>
      <c r="D136" s="16"/>
      <c r="E136" s="8"/>
      <c r="F136" s="27">
        <f t="shared" si="30"/>
        <v>-0.56445530023453838</v>
      </c>
      <c r="G136" s="27">
        <f t="shared" si="31"/>
        <v>-0.42558510192297633</v>
      </c>
      <c r="H136" s="27">
        <f t="shared" si="32"/>
        <v>-1.8465882742731909E-3</v>
      </c>
      <c r="I136" s="27">
        <f t="shared" si="33"/>
        <v>231.47103019783052</v>
      </c>
      <c r="J136" s="27">
        <f t="shared" si="34"/>
        <v>-0.46972415593313721</v>
      </c>
      <c r="K136" s="27">
        <f t="shared" si="35"/>
        <v>7.7506622027080571E-2</v>
      </c>
      <c r="L136" s="27">
        <f t="shared" si="36"/>
        <v>0.52070627662807767</v>
      </c>
      <c r="M136" s="17">
        <f t="shared" si="37"/>
        <v>0.11656188486041383</v>
      </c>
      <c r="N136" s="17">
        <f t="shared" si="38"/>
        <v>0.11656188486041383</v>
      </c>
      <c r="O136" s="17">
        <f t="shared" si="39"/>
        <v>0.11656188486041383</v>
      </c>
      <c r="P136" s="17">
        <f>IF(ISERROR(O136),0,IF('R-AFC ISOTOPE'!$G$7='R-AFC ISOTOPE_CONTROL'!B136,'R-AFC ISOTOPE_CONTROL'!O136,0))</f>
        <v>0</v>
      </c>
      <c r="S136" s="81"/>
      <c r="T136" s="30"/>
      <c r="U136" s="30"/>
      <c r="W136" s="30"/>
      <c r="X136" s="30"/>
      <c r="Y136" s="30"/>
      <c r="Z136" s="30"/>
      <c r="AA136" s="30"/>
      <c r="AB136" s="30"/>
      <c r="AC136" s="30"/>
      <c r="AD136" s="85"/>
      <c r="AE136" s="85"/>
      <c r="AF136" s="85"/>
      <c r="AH136" s="81"/>
      <c r="AI136" s="30"/>
      <c r="AJ136" s="30"/>
      <c r="AL136" s="30"/>
      <c r="AM136" s="30"/>
      <c r="AN136" s="30"/>
      <c r="AO136" s="30"/>
      <c r="AP136" s="30"/>
      <c r="AQ136" s="30"/>
      <c r="AR136" s="30"/>
      <c r="AS136" s="85"/>
      <c r="AT136" s="85"/>
      <c r="AU136" s="85"/>
      <c r="AW136" s="81"/>
      <c r="AX136" s="30"/>
      <c r="AY136" s="30"/>
      <c r="BA136" s="30"/>
      <c r="BB136" s="30"/>
      <c r="BC136" s="30"/>
      <c r="BD136" s="30"/>
      <c r="BE136" s="30"/>
      <c r="BF136" s="30"/>
      <c r="BG136" s="30"/>
      <c r="BH136" s="85"/>
      <c r="BI136" s="85"/>
      <c r="BJ136" s="85"/>
      <c r="BL136" s="81"/>
      <c r="BM136" s="30"/>
      <c r="BN136" s="30"/>
      <c r="BP136" s="30"/>
      <c r="BQ136" s="30"/>
      <c r="BR136" s="30"/>
      <c r="BS136" s="30"/>
      <c r="BT136" s="30"/>
      <c r="BU136" s="30"/>
      <c r="BV136" s="30"/>
      <c r="BW136" s="85"/>
      <c r="BX136" s="85"/>
      <c r="BY136" s="85"/>
      <c r="CA136" s="81"/>
      <c r="CB136" s="30"/>
      <c r="CC136" s="30"/>
      <c r="CE136" s="30"/>
      <c r="CF136" s="30"/>
      <c r="CG136" s="30"/>
      <c r="CH136" s="30"/>
      <c r="CI136" s="30"/>
      <c r="CJ136" s="30"/>
      <c r="CK136" s="30"/>
      <c r="CL136" s="85"/>
      <c r="CM136" s="85"/>
      <c r="CN136" s="85"/>
      <c r="CP136" s="81"/>
      <c r="CQ136" s="30"/>
      <c r="CR136" s="30"/>
      <c r="CT136" s="30"/>
      <c r="CU136" s="30"/>
      <c r="CV136" s="30"/>
      <c r="CW136" s="30"/>
      <c r="CX136" s="30"/>
      <c r="CY136" s="30"/>
      <c r="CZ136" s="30"/>
      <c r="DA136" s="85"/>
      <c r="DB136" s="85"/>
      <c r="DC136" s="85"/>
      <c r="DE136" s="81"/>
      <c r="DF136" s="30"/>
      <c r="DG136" s="30"/>
      <c r="DI136" s="30"/>
      <c r="DJ136" s="30"/>
      <c r="DK136" s="30"/>
      <c r="DL136" s="30"/>
      <c r="DM136" s="30"/>
      <c r="DN136" s="30"/>
      <c r="DO136" s="30"/>
      <c r="DP136" s="85"/>
      <c r="DQ136" s="85"/>
      <c r="DR136" s="85"/>
      <c r="DT136" s="81"/>
      <c r="DU136" s="30"/>
      <c r="DV136" s="30"/>
      <c r="DX136" s="30"/>
      <c r="DY136" s="30"/>
      <c r="DZ136" s="30"/>
      <c r="EA136" s="30"/>
      <c r="EB136" s="30"/>
      <c r="EC136" s="30"/>
      <c r="ED136" s="30"/>
      <c r="EE136" s="85"/>
      <c r="EF136" s="85"/>
      <c r="EG136" s="85"/>
      <c r="EI136" s="81"/>
      <c r="EJ136" s="30"/>
      <c r="EK136" s="30"/>
      <c r="EM136" s="30"/>
      <c r="EN136" s="30"/>
      <c r="EO136" s="30"/>
      <c r="EP136" s="30"/>
      <c r="EQ136" s="30"/>
      <c r="ER136" s="30"/>
      <c r="ES136" s="30"/>
      <c r="ET136" s="85"/>
      <c r="EU136" s="85"/>
      <c r="EV136" s="85"/>
    </row>
    <row r="137" spans="2:152">
      <c r="B137" s="11">
        <v>0.12</v>
      </c>
      <c r="C137" s="16"/>
      <c r="D137" s="16"/>
      <c r="E137" s="8"/>
      <c r="F137" s="27">
        <f t="shared" si="30"/>
        <v>-0.64907619081605716</v>
      </c>
      <c r="G137" s="27">
        <f t="shared" si="31"/>
        <v>-0.43584318428165802</v>
      </c>
      <c r="H137" s="27">
        <f t="shared" si="32"/>
        <v>-2.0144599355707538E-3</v>
      </c>
      <c r="I137" s="27">
        <f t="shared" si="33"/>
        <v>217.35733557449544</v>
      </c>
      <c r="J137" s="27">
        <f t="shared" si="34"/>
        <v>-0.43513246795950355</v>
      </c>
      <c r="K137" s="27">
        <f t="shared" si="35"/>
        <v>9.6165562892226997E-2</v>
      </c>
      <c r="L137" s="27">
        <f t="shared" si="36"/>
        <v>0.58665741356628853</v>
      </c>
      <c r="M137" s="17">
        <f t="shared" si="37"/>
        <v>0.12704874729411292</v>
      </c>
      <c r="N137" s="17">
        <f t="shared" si="38"/>
        <v>0.12704874729411292</v>
      </c>
      <c r="O137" s="17">
        <f t="shared" si="39"/>
        <v>0.12704874729411292</v>
      </c>
      <c r="P137" s="17">
        <f>IF(ISERROR(O137),0,IF('R-AFC ISOTOPE'!$G$7='R-AFC ISOTOPE_CONTROL'!B137,'R-AFC ISOTOPE_CONTROL'!O137,0))</f>
        <v>0</v>
      </c>
      <c r="S137" s="81"/>
      <c r="T137" s="30"/>
      <c r="U137" s="30"/>
      <c r="W137" s="30"/>
      <c r="X137" s="30"/>
      <c r="Y137" s="30"/>
      <c r="Z137" s="30"/>
      <c r="AA137" s="30"/>
      <c r="AB137" s="30"/>
      <c r="AC137" s="30"/>
      <c r="AD137" s="85"/>
      <c r="AE137" s="85"/>
      <c r="AF137" s="85"/>
      <c r="AH137" s="81"/>
      <c r="AI137" s="30"/>
      <c r="AJ137" s="30"/>
      <c r="AL137" s="30"/>
      <c r="AM137" s="30"/>
      <c r="AN137" s="30"/>
      <c r="AO137" s="30"/>
      <c r="AP137" s="30"/>
      <c r="AQ137" s="30"/>
      <c r="AR137" s="30"/>
      <c r="AS137" s="85"/>
      <c r="AT137" s="85"/>
      <c r="AU137" s="85"/>
      <c r="AW137" s="81"/>
      <c r="AX137" s="30"/>
      <c r="AY137" s="30"/>
      <c r="BA137" s="30"/>
      <c r="BB137" s="30"/>
      <c r="BC137" s="30"/>
      <c r="BD137" s="30"/>
      <c r="BE137" s="30"/>
      <c r="BF137" s="30"/>
      <c r="BG137" s="30"/>
      <c r="BH137" s="85"/>
      <c r="BI137" s="85"/>
      <c r="BJ137" s="85"/>
      <c r="BL137" s="81"/>
      <c r="BM137" s="30"/>
      <c r="BN137" s="30"/>
      <c r="BP137" s="30"/>
      <c r="BQ137" s="30"/>
      <c r="BR137" s="30"/>
      <c r="BS137" s="30"/>
      <c r="BT137" s="30"/>
      <c r="BU137" s="30"/>
      <c r="BV137" s="30"/>
      <c r="BW137" s="85"/>
      <c r="BX137" s="85"/>
      <c r="BY137" s="85"/>
      <c r="CA137" s="81"/>
      <c r="CB137" s="30"/>
      <c r="CC137" s="30"/>
      <c r="CE137" s="30"/>
      <c r="CF137" s="30"/>
      <c r="CG137" s="30"/>
      <c r="CH137" s="30"/>
      <c r="CI137" s="30"/>
      <c r="CJ137" s="30"/>
      <c r="CK137" s="30"/>
      <c r="CL137" s="85"/>
      <c r="CM137" s="85"/>
      <c r="CN137" s="85"/>
      <c r="CP137" s="81"/>
      <c r="CQ137" s="30"/>
      <c r="CR137" s="30"/>
      <c r="CT137" s="30"/>
      <c r="CU137" s="30"/>
      <c r="CV137" s="30"/>
      <c r="CW137" s="30"/>
      <c r="CX137" s="30"/>
      <c r="CY137" s="30"/>
      <c r="CZ137" s="30"/>
      <c r="DA137" s="85"/>
      <c r="DB137" s="85"/>
      <c r="DC137" s="85"/>
      <c r="DE137" s="81"/>
      <c r="DF137" s="30"/>
      <c r="DG137" s="30"/>
      <c r="DI137" s="30"/>
      <c r="DJ137" s="30"/>
      <c r="DK137" s="30"/>
      <c r="DL137" s="30"/>
      <c r="DM137" s="30"/>
      <c r="DN137" s="30"/>
      <c r="DO137" s="30"/>
      <c r="DP137" s="85"/>
      <c r="DQ137" s="85"/>
      <c r="DR137" s="85"/>
      <c r="DT137" s="81"/>
      <c r="DU137" s="30"/>
      <c r="DV137" s="30"/>
      <c r="DX137" s="30"/>
      <c r="DY137" s="30"/>
      <c r="DZ137" s="30"/>
      <c r="EA137" s="30"/>
      <c r="EB137" s="30"/>
      <c r="EC137" s="30"/>
      <c r="ED137" s="30"/>
      <c r="EE137" s="85"/>
      <c r="EF137" s="85"/>
      <c r="EG137" s="85"/>
      <c r="EI137" s="81"/>
      <c r="EJ137" s="30"/>
      <c r="EK137" s="30"/>
      <c r="EM137" s="30"/>
      <c r="EN137" s="30"/>
      <c r="EO137" s="30"/>
      <c r="EP137" s="30"/>
      <c r="EQ137" s="30"/>
      <c r="ER137" s="30"/>
      <c r="ES137" s="30"/>
      <c r="ET137" s="85"/>
      <c r="EU137" s="85"/>
      <c r="EV137" s="85"/>
    </row>
    <row r="138" spans="2:152">
      <c r="B138" s="11">
        <v>0.13</v>
      </c>
      <c r="C138" s="16"/>
      <c r="D138" s="16"/>
      <c r="E138" s="8"/>
      <c r="F138" s="27">
        <f t="shared" si="30"/>
        <v>-0.7433747792211971</v>
      </c>
      <c r="G138" s="27">
        <f t="shared" si="31"/>
        <v>-0.44610126664033972</v>
      </c>
      <c r="H138" s="27">
        <f t="shared" si="32"/>
        <v>-2.1823315968683165E-3</v>
      </c>
      <c r="I138" s="27">
        <f t="shared" si="33"/>
        <v>205.41497858551961</v>
      </c>
      <c r="J138" s="27">
        <f t="shared" si="34"/>
        <v>-0.40213164919290778</v>
      </c>
      <c r="K138" s="27">
        <f t="shared" si="35"/>
        <v>0.11749447260573287</v>
      </c>
      <c r="L138" s="27">
        <f t="shared" si="36"/>
        <v>0.65603235158819939</v>
      </c>
      <c r="M138" s="17">
        <f t="shared" si="37"/>
        <v>0.13736733755935296</v>
      </c>
      <c r="N138" s="17">
        <f t="shared" si="38"/>
        <v>0.13736733755935296</v>
      </c>
      <c r="O138" s="17">
        <f t="shared" si="39"/>
        <v>0.13736733755935296</v>
      </c>
      <c r="P138" s="17">
        <f>IF(ISERROR(O138),0,IF('R-AFC ISOTOPE'!$G$7='R-AFC ISOTOPE_CONTROL'!B138,'R-AFC ISOTOPE_CONTROL'!O138,0))</f>
        <v>0</v>
      </c>
      <c r="S138" s="81"/>
      <c r="T138" s="30"/>
      <c r="U138" s="30"/>
      <c r="W138" s="30"/>
      <c r="X138" s="30"/>
      <c r="Y138" s="30"/>
      <c r="Z138" s="30"/>
      <c r="AA138" s="30"/>
      <c r="AB138" s="30"/>
      <c r="AC138" s="30"/>
      <c r="AD138" s="85"/>
      <c r="AE138" s="85"/>
      <c r="AF138" s="85"/>
      <c r="AH138" s="81"/>
      <c r="AI138" s="30"/>
      <c r="AJ138" s="30"/>
      <c r="AL138" s="30"/>
      <c r="AM138" s="30"/>
      <c r="AN138" s="30"/>
      <c r="AO138" s="30"/>
      <c r="AP138" s="30"/>
      <c r="AQ138" s="30"/>
      <c r="AR138" s="30"/>
      <c r="AS138" s="85"/>
      <c r="AT138" s="85"/>
      <c r="AU138" s="85"/>
      <c r="AW138" s="81"/>
      <c r="AX138" s="30"/>
      <c r="AY138" s="30"/>
      <c r="BA138" s="30"/>
      <c r="BB138" s="30"/>
      <c r="BC138" s="30"/>
      <c r="BD138" s="30"/>
      <c r="BE138" s="30"/>
      <c r="BF138" s="30"/>
      <c r="BG138" s="30"/>
      <c r="BH138" s="85"/>
      <c r="BI138" s="85"/>
      <c r="BJ138" s="85"/>
      <c r="BL138" s="81"/>
      <c r="BM138" s="30"/>
      <c r="BN138" s="30"/>
      <c r="BP138" s="30"/>
      <c r="BQ138" s="30"/>
      <c r="BR138" s="30"/>
      <c r="BS138" s="30"/>
      <c r="BT138" s="30"/>
      <c r="BU138" s="30"/>
      <c r="BV138" s="30"/>
      <c r="BW138" s="85"/>
      <c r="BX138" s="85"/>
      <c r="BY138" s="85"/>
      <c r="CA138" s="81"/>
      <c r="CB138" s="30"/>
      <c r="CC138" s="30"/>
      <c r="CE138" s="30"/>
      <c r="CF138" s="30"/>
      <c r="CG138" s="30"/>
      <c r="CH138" s="30"/>
      <c r="CI138" s="30"/>
      <c r="CJ138" s="30"/>
      <c r="CK138" s="30"/>
      <c r="CL138" s="85"/>
      <c r="CM138" s="85"/>
      <c r="CN138" s="85"/>
      <c r="CP138" s="81"/>
      <c r="CQ138" s="30"/>
      <c r="CR138" s="30"/>
      <c r="CT138" s="30"/>
      <c r="CU138" s="30"/>
      <c r="CV138" s="30"/>
      <c r="CW138" s="30"/>
      <c r="CX138" s="30"/>
      <c r="CY138" s="30"/>
      <c r="CZ138" s="30"/>
      <c r="DA138" s="85"/>
      <c r="DB138" s="85"/>
      <c r="DC138" s="85"/>
      <c r="DE138" s="81"/>
      <c r="DF138" s="30"/>
      <c r="DG138" s="30"/>
      <c r="DI138" s="30"/>
      <c r="DJ138" s="30"/>
      <c r="DK138" s="30"/>
      <c r="DL138" s="30"/>
      <c r="DM138" s="30"/>
      <c r="DN138" s="30"/>
      <c r="DO138" s="30"/>
      <c r="DP138" s="85"/>
      <c r="DQ138" s="85"/>
      <c r="DR138" s="85"/>
      <c r="DT138" s="81"/>
      <c r="DU138" s="30"/>
      <c r="DV138" s="30"/>
      <c r="DX138" s="30"/>
      <c r="DY138" s="30"/>
      <c r="DZ138" s="30"/>
      <c r="EA138" s="30"/>
      <c r="EB138" s="30"/>
      <c r="EC138" s="30"/>
      <c r="ED138" s="30"/>
      <c r="EE138" s="85"/>
      <c r="EF138" s="85"/>
      <c r="EG138" s="85"/>
      <c r="EI138" s="81"/>
      <c r="EJ138" s="30"/>
      <c r="EK138" s="30"/>
      <c r="EM138" s="30"/>
      <c r="EN138" s="30"/>
      <c r="EO138" s="30"/>
      <c r="EP138" s="30"/>
      <c r="EQ138" s="30"/>
      <c r="ER138" s="30"/>
      <c r="ES138" s="30"/>
      <c r="ET138" s="85"/>
      <c r="EU138" s="85"/>
      <c r="EV138" s="85"/>
    </row>
    <row r="139" spans="2:152">
      <c r="B139" s="11">
        <v>0.14000000000000001</v>
      </c>
      <c r="C139" s="16"/>
      <c r="D139" s="16"/>
      <c r="E139" s="8"/>
      <c r="F139" s="27">
        <f t="shared" si="30"/>
        <v>-0.84911194734527995</v>
      </c>
      <c r="G139" s="27">
        <f t="shared" si="31"/>
        <v>-0.45635934899902136</v>
      </c>
      <c r="H139" s="27">
        <f t="shared" si="32"/>
        <v>-2.3502032581658797E-3</v>
      </c>
      <c r="I139" s="27">
        <f t="shared" si="33"/>
        <v>195.17867259496884</v>
      </c>
      <c r="J139" s="27">
        <f t="shared" si="34"/>
        <v>-0.37061442057321786</v>
      </c>
      <c r="K139" s="27">
        <f t="shared" si="35"/>
        <v>0.14162265701265955</v>
      </c>
      <c r="L139" s="27">
        <f t="shared" si="36"/>
        <v>0.72885845726104792</v>
      </c>
      <c r="M139" s="17">
        <f t="shared" si="37"/>
        <v>0.14748858979320223</v>
      </c>
      <c r="N139" s="17">
        <f t="shared" si="38"/>
        <v>0.14748858979320223</v>
      </c>
      <c r="O139" s="17">
        <f t="shared" si="39"/>
        <v>0.14748858979320223</v>
      </c>
      <c r="P139" s="17">
        <f>IF(ISERROR(O139),0,IF('R-AFC ISOTOPE'!$G$7='R-AFC ISOTOPE_CONTROL'!B139,'R-AFC ISOTOPE_CONTROL'!O139,0))</f>
        <v>0</v>
      </c>
      <c r="S139" s="81"/>
      <c r="T139" s="30"/>
      <c r="U139" s="30"/>
      <c r="W139" s="30"/>
      <c r="X139" s="30"/>
      <c r="Y139" s="30"/>
      <c r="Z139" s="30"/>
      <c r="AA139" s="30"/>
      <c r="AB139" s="30"/>
      <c r="AC139" s="30"/>
      <c r="AD139" s="85"/>
      <c r="AE139" s="85"/>
      <c r="AF139" s="85"/>
      <c r="AH139" s="81"/>
      <c r="AI139" s="30"/>
      <c r="AJ139" s="30"/>
      <c r="AL139" s="30"/>
      <c r="AM139" s="30"/>
      <c r="AN139" s="30"/>
      <c r="AO139" s="30"/>
      <c r="AP139" s="30"/>
      <c r="AQ139" s="30"/>
      <c r="AR139" s="30"/>
      <c r="AS139" s="85"/>
      <c r="AT139" s="85"/>
      <c r="AU139" s="85"/>
      <c r="AW139" s="81"/>
      <c r="AX139" s="30"/>
      <c r="AY139" s="30"/>
      <c r="BA139" s="30"/>
      <c r="BB139" s="30"/>
      <c r="BC139" s="30"/>
      <c r="BD139" s="30"/>
      <c r="BE139" s="30"/>
      <c r="BF139" s="30"/>
      <c r="BG139" s="30"/>
      <c r="BH139" s="85"/>
      <c r="BI139" s="85"/>
      <c r="BJ139" s="85"/>
      <c r="BL139" s="81"/>
      <c r="BM139" s="30"/>
      <c r="BN139" s="30"/>
      <c r="BP139" s="30"/>
      <c r="BQ139" s="30"/>
      <c r="BR139" s="30"/>
      <c r="BS139" s="30"/>
      <c r="BT139" s="30"/>
      <c r="BU139" s="30"/>
      <c r="BV139" s="30"/>
      <c r="BW139" s="85"/>
      <c r="BX139" s="85"/>
      <c r="BY139" s="85"/>
      <c r="CA139" s="81"/>
      <c r="CB139" s="30"/>
      <c r="CC139" s="30"/>
      <c r="CE139" s="30"/>
      <c r="CF139" s="30"/>
      <c r="CG139" s="30"/>
      <c r="CH139" s="30"/>
      <c r="CI139" s="30"/>
      <c r="CJ139" s="30"/>
      <c r="CK139" s="30"/>
      <c r="CL139" s="85"/>
      <c r="CM139" s="85"/>
      <c r="CN139" s="85"/>
      <c r="CP139" s="81"/>
      <c r="CQ139" s="30"/>
      <c r="CR139" s="30"/>
      <c r="CT139" s="30"/>
      <c r="CU139" s="30"/>
      <c r="CV139" s="30"/>
      <c r="CW139" s="30"/>
      <c r="CX139" s="30"/>
      <c r="CY139" s="30"/>
      <c r="CZ139" s="30"/>
      <c r="DA139" s="85"/>
      <c r="DB139" s="85"/>
      <c r="DC139" s="85"/>
      <c r="DE139" s="81"/>
      <c r="DF139" s="30"/>
      <c r="DG139" s="30"/>
      <c r="DI139" s="30"/>
      <c r="DJ139" s="30"/>
      <c r="DK139" s="30"/>
      <c r="DL139" s="30"/>
      <c r="DM139" s="30"/>
      <c r="DN139" s="30"/>
      <c r="DO139" s="30"/>
      <c r="DP139" s="85"/>
      <c r="DQ139" s="85"/>
      <c r="DR139" s="85"/>
      <c r="DT139" s="81"/>
      <c r="DU139" s="30"/>
      <c r="DV139" s="30"/>
      <c r="DX139" s="30"/>
      <c r="DY139" s="30"/>
      <c r="DZ139" s="30"/>
      <c r="EA139" s="30"/>
      <c r="EB139" s="30"/>
      <c r="EC139" s="30"/>
      <c r="ED139" s="30"/>
      <c r="EE139" s="85"/>
      <c r="EF139" s="85"/>
      <c r="EG139" s="85"/>
      <c r="EI139" s="81"/>
      <c r="EJ139" s="30"/>
      <c r="EK139" s="30"/>
      <c r="EM139" s="30"/>
      <c r="EN139" s="30"/>
      <c r="EO139" s="30"/>
      <c r="EP139" s="30"/>
      <c r="EQ139" s="30"/>
      <c r="ER139" s="30"/>
      <c r="ES139" s="30"/>
      <c r="ET139" s="85"/>
      <c r="EU139" s="85"/>
      <c r="EV139" s="85"/>
    </row>
    <row r="140" spans="2:152">
      <c r="B140" s="11">
        <v>0.15</v>
      </c>
      <c r="C140" s="16"/>
      <c r="D140" s="16"/>
      <c r="E140" s="8"/>
      <c r="F140" s="27">
        <f t="shared" si="30"/>
        <v>-0.96850335575688273</v>
      </c>
      <c r="G140" s="27">
        <f t="shared" si="31"/>
        <v>-0.46661743135770306</v>
      </c>
      <c r="H140" s="27">
        <f t="shared" si="32"/>
        <v>-2.5180749194634419E-3</v>
      </c>
      <c r="I140" s="27">
        <f t="shared" si="33"/>
        <v>186.30720740315826</v>
      </c>
      <c r="J140" s="27">
        <f t="shared" si="34"/>
        <v>-0.34048293669931456</v>
      </c>
      <c r="K140" s="27">
        <f t="shared" si="35"/>
        <v>0.16866522099500267</v>
      </c>
      <c r="L140" s="27">
        <f t="shared" si="36"/>
        <v>0.80515052322374636</v>
      </c>
      <c r="M140" s="17">
        <f t="shared" si="37"/>
        <v>0.15738686970063151</v>
      </c>
      <c r="N140" s="17">
        <f t="shared" si="38"/>
        <v>0.15738686970063151</v>
      </c>
      <c r="O140" s="17">
        <f t="shared" si="39"/>
        <v>0.15738686970063151</v>
      </c>
      <c r="P140" s="17">
        <f>IF(ISERROR(O140),0,IF('R-AFC ISOTOPE'!$G$7='R-AFC ISOTOPE_CONTROL'!B140,'R-AFC ISOTOPE_CONTROL'!O140,0))</f>
        <v>0</v>
      </c>
      <c r="S140" s="81"/>
      <c r="T140" s="30"/>
      <c r="U140" s="30"/>
      <c r="W140" s="30"/>
      <c r="X140" s="30"/>
      <c r="Y140" s="30"/>
      <c r="Z140" s="30"/>
      <c r="AA140" s="30"/>
      <c r="AB140" s="30"/>
      <c r="AC140" s="30"/>
      <c r="AD140" s="85"/>
      <c r="AE140" s="85"/>
      <c r="AF140" s="85"/>
      <c r="AH140" s="81"/>
      <c r="AI140" s="30"/>
      <c r="AJ140" s="30"/>
      <c r="AL140" s="30"/>
      <c r="AM140" s="30"/>
      <c r="AN140" s="30"/>
      <c r="AO140" s="30"/>
      <c r="AP140" s="30"/>
      <c r="AQ140" s="30"/>
      <c r="AR140" s="30"/>
      <c r="AS140" s="85"/>
      <c r="AT140" s="85"/>
      <c r="AU140" s="85"/>
      <c r="AW140" s="81"/>
      <c r="AX140" s="30"/>
      <c r="AY140" s="30"/>
      <c r="BA140" s="30"/>
      <c r="BB140" s="30"/>
      <c r="BC140" s="30"/>
      <c r="BD140" s="30"/>
      <c r="BE140" s="30"/>
      <c r="BF140" s="30"/>
      <c r="BG140" s="30"/>
      <c r="BH140" s="85"/>
      <c r="BI140" s="85"/>
      <c r="BJ140" s="85"/>
      <c r="BL140" s="81"/>
      <c r="BM140" s="30"/>
      <c r="BN140" s="30"/>
      <c r="BP140" s="30"/>
      <c r="BQ140" s="30"/>
      <c r="BR140" s="30"/>
      <c r="BS140" s="30"/>
      <c r="BT140" s="30"/>
      <c r="BU140" s="30"/>
      <c r="BV140" s="30"/>
      <c r="BW140" s="85"/>
      <c r="BX140" s="85"/>
      <c r="BY140" s="85"/>
      <c r="CA140" s="81"/>
      <c r="CB140" s="30"/>
      <c r="CC140" s="30"/>
      <c r="CE140" s="30"/>
      <c r="CF140" s="30"/>
      <c r="CG140" s="30"/>
      <c r="CH140" s="30"/>
      <c r="CI140" s="30"/>
      <c r="CJ140" s="30"/>
      <c r="CK140" s="30"/>
      <c r="CL140" s="85"/>
      <c r="CM140" s="85"/>
      <c r="CN140" s="85"/>
      <c r="CP140" s="81"/>
      <c r="CQ140" s="30"/>
      <c r="CR140" s="30"/>
      <c r="CT140" s="30"/>
      <c r="CU140" s="30"/>
      <c r="CV140" s="30"/>
      <c r="CW140" s="30"/>
      <c r="CX140" s="30"/>
      <c r="CY140" s="30"/>
      <c r="CZ140" s="30"/>
      <c r="DA140" s="85"/>
      <c r="DB140" s="85"/>
      <c r="DC140" s="85"/>
      <c r="DE140" s="81"/>
      <c r="DF140" s="30"/>
      <c r="DG140" s="30"/>
      <c r="DI140" s="30"/>
      <c r="DJ140" s="30"/>
      <c r="DK140" s="30"/>
      <c r="DL140" s="30"/>
      <c r="DM140" s="30"/>
      <c r="DN140" s="30"/>
      <c r="DO140" s="30"/>
      <c r="DP140" s="85"/>
      <c r="DQ140" s="85"/>
      <c r="DR140" s="85"/>
      <c r="DT140" s="81"/>
      <c r="DU140" s="30"/>
      <c r="DV140" s="30"/>
      <c r="DX140" s="30"/>
      <c r="DY140" s="30"/>
      <c r="DZ140" s="30"/>
      <c r="EA140" s="30"/>
      <c r="EB140" s="30"/>
      <c r="EC140" s="30"/>
      <c r="ED140" s="30"/>
      <c r="EE140" s="85"/>
      <c r="EF140" s="85"/>
      <c r="EG140" s="85"/>
      <c r="EI140" s="81"/>
      <c r="EJ140" s="30"/>
      <c r="EK140" s="30"/>
      <c r="EM140" s="30"/>
      <c r="EN140" s="30"/>
      <c r="EO140" s="30"/>
      <c r="EP140" s="30"/>
      <c r="EQ140" s="30"/>
      <c r="ER140" s="30"/>
      <c r="ES140" s="30"/>
      <c r="ET140" s="85"/>
      <c r="EU140" s="85"/>
      <c r="EV140" s="85"/>
    </row>
    <row r="141" spans="2:152">
      <c r="B141" s="11">
        <v>0.16</v>
      </c>
      <c r="C141" s="16"/>
      <c r="D141" s="16"/>
      <c r="E141" s="8"/>
      <c r="F141" s="27">
        <f t="shared" si="30"/>
        <v>-1.104376395832863</v>
      </c>
      <c r="G141" s="27">
        <f t="shared" si="31"/>
        <v>-0.47687551371638476</v>
      </c>
      <c r="H141" s="27">
        <f t="shared" si="32"/>
        <v>-2.6859465807610051E-3</v>
      </c>
      <c r="I141" s="27">
        <f t="shared" si="33"/>
        <v>178.54467536032394</v>
      </c>
      <c r="J141" s="27">
        <f t="shared" si="34"/>
        <v>-0.311647771190592</v>
      </c>
      <c r="K141" s="27">
        <f t="shared" si="35"/>
        <v>0.19872298241570185</v>
      </c>
      <c r="L141" s="27">
        <f t="shared" si="36"/>
        <v>0.88491142474345275</v>
      </c>
      <c r="M141" s="17">
        <f t="shared" si="37"/>
        <v>0.16704018151474254</v>
      </c>
      <c r="N141" s="17">
        <f t="shared" si="38"/>
        <v>0.16704018151474254</v>
      </c>
      <c r="O141" s="17">
        <f t="shared" si="39"/>
        <v>0.16704018151474254</v>
      </c>
      <c r="P141" s="17">
        <f>IF(ISERROR(O141),0,IF('R-AFC ISOTOPE'!$G$7='R-AFC ISOTOPE_CONTROL'!B141,'R-AFC ISOTOPE_CONTROL'!O141,0))</f>
        <v>0</v>
      </c>
      <c r="S141" s="81"/>
      <c r="T141" s="30"/>
      <c r="U141" s="30"/>
      <c r="W141" s="30"/>
      <c r="X141" s="30"/>
      <c r="Y141" s="30"/>
      <c r="Z141" s="30"/>
      <c r="AA141" s="30"/>
      <c r="AB141" s="30"/>
      <c r="AC141" s="30"/>
      <c r="AD141" s="85"/>
      <c r="AE141" s="85"/>
      <c r="AF141" s="85"/>
      <c r="AH141" s="81"/>
      <c r="AI141" s="30"/>
      <c r="AJ141" s="30"/>
      <c r="AL141" s="30"/>
      <c r="AM141" s="30"/>
      <c r="AN141" s="30"/>
      <c r="AO141" s="30"/>
      <c r="AP141" s="30"/>
      <c r="AQ141" s="30"/>
      <c r="AR141" s="30"/>
      <c r="AS141" s="85"/>
      <c r="AT141" s="85"/>
      <c r="AU141" s="85"/>
      <c r="AW141" s="81"/>
      <c r="AX141" s="30"/>
      <c r="AY141" s="30"/>
      <c r="BA141" s="30"/>
      <c r="BB141" s="30"/>
      <c r="BC141" s="30"/>
      <c r="BD141" s="30"/>
      <c r="BE141" s="30"/>
      <c r="BF141" s="30"/>
      <c r="BG141" s="30"/>
      <c r="BH141" s="85"/>
      <c r="BI141" s="85"/>
      <c r="BJ141" s="85"/>
      <c r="BL141" s="81"/>
      <c r="BM141" s="30"/>
      <c r="BN141" s="30"/>
      <c r="BP141" s="30"/>
      <c r="BQ141" s="30"/>
      <c r="BR141" s="30"/>
      <c r="BS141" s="30"/>
      <c r="BT141" s="30"/>
      <c r="BU141" s="30"/>
      <c r="BV141" s="30"/>
      <c r="BW141" s="85"/>
      <c r="BX141" s="85"/>
      <c r="BY141" s="85"/>
      <c r="CA141" s="81"/>
      <c r="CB141" s="30"/>
      <c r="CC141" s="30"/>
      <c r="CE141" s="30"/>
      <c r="CF141" s="30"/>
      <c r="CG141" s="30"/>
      <c r="CH141" s="30"/>
      <c r="CI141" s="30"/>
      <c r="CJ141" s="30"/>
      <c r="CK141" s="30"/>
      <c r="CL141" s="85"/>
      <c r="CM141" s="85"/>
      <c r="CN141" s="85"/>
      <c r="CP141" s="81"/>
      <c r="CQ141" s="30"/>
      <c r="CR141" s="30"/>
      <c r="CT141" s="30"/>
      <c r="CU141" s="30"/>
      <c r="CV141" s="30"/>
      <c r="CW141" s="30"/>
      <c r="CX141" s="30"/>
      <c r="CY141" s="30"/>
      <c r="CZ141" s="30"/>
      <c r="DA141" s="85"/>
      <c r="DB141" s="85"/>
      <c r="DC141" s="85"/>
      <c r="DE141" s="81"/>
      <c r="DF141" s="30"/>
      <c r="DG141" s="30"/>
      <c r="DI141" s="30"/>
      <c r="DJ141" s="30"/>
      <c r="DK141" s="30"/>
      <c r="DL141" s="30"/>
      <c r="DM141" s="30"/>
      <c r="DN141" s="30"/>
      <c r="DO141" s="30"/>
      <c r="DP141" s="85"/>
      <c r="DQ141" s="85"/>
      <c r="DR141" s="85"/>
      <c r="DT141" s="81"/>
      <c r="DU141" s="30"/>
      <c r="DV141" s="30"/>
      <c r="DX141" s="30"/>
      <c r="DY141" s="30"/>
      <c r="DZ141" s="30"/>
      <c r="EA141" s="30"/>
      <c r="EB141" s="30"/>
      <c r="EC141" s="30"/>
      <c r="ED141" s="30"/>
      <c r="EE141" s="85"/>
      <c r="EF141" s="85"/>
      <c r="EG141" s="85"/>
      <c r="EI141" s="81"/>
      <c r="EJ141" s="30"/>
      <c r="EK141" s="30"/>
      <c r="EM141" s="30"/>
      <c r="EN141" s="30"/>
      <c r="EO141" s="30"/>
      <c r="EP141" s="30"/>
      <c r="EQ141" s="30"/>
      <c r="ER141" s="30"/>
      <c r="ES141" s="30"/>
      <c r="ET141" s="85"/>
      <c r="EU141" s="85"/>
      <c r="EV141" s="85"/>
    </row>
    <row r="142" spans="2:152">
      <c r="B142" s="11">
        <v>0.17</v>
      </c>
      <c r="C142" s="16"/>
      <c r="D142" s="16"/>
      <c r="E142" s="8"/>
      <c r="F142" s="27">
        <f t="shared" si="30"/>
        <v>-1.2603969614206976</v>
      </c>
      <c r="G142" s="27">
        <f t="shared" si="31"/>
        <v>-0.4871335960750664</v>
      </c>
      <c r="H142" s="27">
        <f t="shared" si="32"/>
        <v>-2.8538182420585682E-3</v>
      </c>
      <c r="I142" s="27">
        <f t="shared" si="33"/>
        <v>171.69538238135246</v>
      </c>
      <c r="J142" s="27">
        <f t="shared" si="34"/>
        <v>-0.28402703024629261</v>
      </c>
      <c r="K142" s="27">
        <f t="shared" si="35"/>
        <v>0.2318825924702011</v>
      </c>
      <c r="L142" s="27">
        <f t="shared" si="36"/>
        <v>0.96813284646490227</v>
      </c>
      <c r="M142" s="17">
        <f t="shared" si="37"/>
        <v>0.17643023465472413</v>
      </c>
      <c r="N142" s="17">
        <f t="shared" si="38"/>
        <v>0.17643023465472413</v>
      </c>
      <c r="O142" s="17">
        <f t="shared" si="39"/>
        <v>0.17643023465472413</v>
      </c>
      <c r="P142" s="17">
        <f>IF(ISERROR(O142),0,IF('R-AFC ISOTOPE'!$G$7='R-AFC ISOTOPE_CONTROL'!B142,'R-AFC ISOTOPE_CONTROL'!O142,0))</f>
        <v>0.17643023465472413</v>
      </c>
      <c r="S142" s="81"/>
      <c r="T142" s="30"/>
      <c r="U142" s="30"/>
      <c r="W142" s="30"/>
      <c r="X142" s="30"/>
      <c r="Y142" s="30"/>
      <c r="Z142" s="30"/>
      <c r="AA142" s="30"/>
      <c r="AB142" s="30"/>
      <c r="AC142" s="30"/>
      <c r="AD142" s="85"/>
      <c r="AE142" s="85"/>
      <c r="AF142" s="85"/>
      <c r="AH142" s="81"/>
      <c r="AI142" s="30"/>
      <c r="AJ142" s="30"/>
      <c r="AL142" s="30"/>
      <c r="AM142" s="30"/>
      <c r="AN142" s="30"/>
      <c r="AO142" s="30"/>
      <c r="AP142" s="30"/>
      <c r="AQ142" s="30"/>
      <c r="AR142" s="30"/>
      <c r="AS142" s="85"/>
      <c r="AT142" s="85"/>
      <c r="AU142" s="85"/>
      <c r="AW142" s="81"/>
      <c r="AX142" s="30"/>
      <c r="AY142" s="30"/>
      <c r="BA142" s="30"/>
      <c r="BB142" s="30"/>
      <c r="BC142" s="30"/>
      <c r="BD142" s="30"/>
      <c r="BE142" s="30"/>
      <c r="BF142" s="30"/>
      <c r="BG142" s="30"/>
      <c r="BH142" s="85"/>
      <c r="BI142" s="85"/>
      <c r="BJ142" s="85"/>
      <c r="BL142" s="81"/>
      <c r="BM142" s="30"/>
      <c r="BN142" s="30"/>
      <c r="BP142" s="30"/>
      <c r="BQ142" s="30"/>
      <c r="BR142" s="30"/>
      <c r="BS142" s="30"/>
      <c r="BT142" s="30"/>
      <c r="BU142" s="30"/>
      <c r="BV142" s="30"/>
      <c r="BW142" s="85"/>
      <c r="BX142" s="85"/>
      <c r="BY142" s="85"/>
      <c r="CA142" s="81"/>
      <c r="CB142" s="30"/>
      <c r="CC142" s="30"/>
      <c r="CE142" s="30"/>
      <c r="CF142" s="30"/>
      <c r="CG142" s="30"/>
      <c r="CH142" s="30"/>
      <c r="CI142" s="30"/>
      <c r="CJ142" s="30"/>
      <c r="CK142" s="30"/>
      <c r="CL142" s="85"/>
      <c r="CM142" s="85"/>
      <c r="CN142" s="85"/>
      <c r="CP142" s="81"/>
      <c r="CQ142" s="30"/>
      <c r="CR142" s="30"/>
      <c r="CT142" s="30"/>
      <c r="CU142" s="30"/>
      <c r="CV142" s="30"/>
      <c r="CW142" s="30"/>
      <c r="CX142" s="30"/>
      <c r="CY142" s="30"/>
      <c r="CZ142" s="30"/>
      <c r="DA142" s="85"/>
      <c r="DB142" s="85"/>
      <c r="DC142" s="85"/>
      <c r="DE142" s="81"/>
      <c r="DF142" s="30"/>
      <c r="DG142" s="30"/>
      <c r="DI142" s="30"/>
      <c r="DJ142" s="30"/>
      <c r="DK142" s="30"/>
      <c r="DL142" s="30"/>
      <c r="DM142" s="30"/>
      <c r="DN142" s="30"/>
      <c r="DO142" s="30"/>
      <c r="DP142" s="85"/>
      <c r="DQ142" s="85"/>
      <c r="DR142" s="85"/>
      <c r="DT142" s="81"/>
      <c r="DU142" s="30"/>
      <c r="DV142" s="30"/>
      <c r="DX142" s="30"/>
      <c r="DY142" s="30"/>
      <c r="DZ142" s="30"/>
      <c r="EA142" s="30"/>
      <c r="EB142" s="30"/>
      <c r="EC142" s="30"/>
      <c r="ED142" s="30"/>
      <c r="EE142" s="85"/>
      <c r="EF142" s="85"/>
      <c r="EG142" s="85"/>
      <c r="EI142" s="81"/>
      <c r="EJ142" s="30"/>
      <c r="EK142" s="30"/>
      <c r="EM142" s="30"/>
      <c r="EN142" s="30"/>
      <c r="EO142" s="30"/>
      <c r="EP142" s="30"/>
      <c r="EQ142" s="30"/>
      <c r="ER142" s="30"/>
      <c r="ES142" s="30"/>
      <c r="ET142" s="85"/>
      <c r="EU142" s="85"/>
      <c r="EV142" s="85"/>
    </row>
    <row r="143" spans="2:152">
      <c r="B143" s="11">
        <v>0.18</v>
      </c>
      <c r="C143" s="16"/>
      <c r="D143" s="16"/>
      <c r="E143" s="8"/>
      <c r="F143" s="27">
        <f t="shared" si="30"/>
        <v>-1.441405177116865</v>
      </c>
      <c r="G143" s="27">
        <f t="shared" si="31"/>
        <v>-0.4973916784337481</v>
      </c>
      <c r="H143" s="27">
        <f t="shared" si="32"/>
        <v>-3.0216899033561305E-3</v>
      </c>
      <c r="I143" s="27">
        <f t="shared" si="33"/>
        <v>165.60712195560012</v>
      </c>
      <c r="J143" s="27">
        <f t="shared" si="34"/>
        <v>-0.25754557589523369</v>
      </c>
      <c r="K143" s="27">
        <f t="shared" si="35"/>
        <v>0.26821682574564093</v>
      </c>
      <c r="L143" s="27">
        <f t="shared" si="36"/>
        <v>1.054796055897246</v>
      </c>
      <c r="M143" s="17">
        <f t="shared" si="37"/>
        <v>0.1855423915607696</v>
      </c>
      <c r="N143" s="17">
        <f t="shared" si="38"/>
        <v>0.1855423915607696</v>
      </c>
      <c r="O143" s="17">
        <f t="shared" si="39"/>
        <v>0.1855423915607696</v>
      </c>
      <c r="P143" s="17">
        <f>IF(ISERROR(O143),0,IF('R-AFC ISOTOPE'!$G$7='R-AFC ISOTOPE_CONTROL'!B143,'R-AFC ISOTOPE_CONTROL'!O143,0))</f>
        <v>0</v>
      </c>
      <c r="S143" s="81"/>
      <c r="T143" s="30"/>
      <c r="U143" s="30"/>
      <c r="W143" s="30"/>
      <c r="X143" s="30"/>
      <c r="Y143" s="30"/>
      <c r="Z143" s="30"/>
      <c r="AA143" s="30"/>
      <c r="AB143" s="30"/>
      <c r="AC143" s="30"/>
      <c r="AD143" s="85"/>
      <c r="AE143" s="85"/>
      <c r="AF143" s="85"/>
      <c r="AH143" s="81"/>
      <c r="AI143" s="30"/>
      <c r="AJ143" s="30"/>
      <c r="AL143" s="30"/>
      <c r="AM143" s="30"/>
      <c r="AN143" s="30"/>
      <c r="AO143" s="30"/>
      <c r="AP143" s="30"/>
      <c r="AQ143" s="30"/>
      <c r="AR143" s="30"/>
      <c r="AS143" s="85"/>
      <c r="AT143" s="85"/>
      <c r="AU143" s="85"/>
      <c r="AW143" s="81"/>
      <c r="AX143" s="30"/>
      <c r="AY143" s="30"/>
      <c r="BA143" s="30"/>
      <c r="BB143" s="30"/>
      <c r="BC143" s="30"/>
      <c r="BD143" s="30"/>
      <c r="BE143" s="30"/>
      <c r="BF143" s="30"/>
      <c r="BG143" s="30"/>
      <c r="BH143" s="85"/>
      <c r="BI143" s="85"/>
      <c r="BJ143" s="85"/>
      <c r="BL143" s="81"/>
      <c r="BM143" s="30"/>
      <c r="BN143" s="30"/>
      <c r="BP143" s="30"/>
      <c r="BQ143" s="30"/>
      <c r="BR143" s="30"/>
      <c r="BS143" s="30"/>
      <c r="BT143" s="30"/>
      <c r="BU143" s="30"/>
      <c r="BV143" s="30"/>
      <c r="BW143" s="85"/>
      <c r="BX143" s="85"/>
      <c r="BY143" s="85"/>
      <c r="CA143" s="81"/>
      <c r="CB143" s="30"/>
      <c r="CC143" s="30"/>
      <c r="CE143" s="30"/>
      <c r="CF143" s="30"/>
      <c r="CG143" s="30"/>
      <c r="CH143" s="30"/>
      <c r="CI143" s="30"/>
      <c r="CJ143" s="30"/>
      <c r="CK143" s="30"/>
      <c r="CL143" s="85"/>
      <c r="CM143" s="85"/>
      <c r="CN143" s="85"/>
      <c r="CP143" s="81"/>
      <c r="CQ143" s="30"/>
      <c r="CR143" s="30"/>
      <c r="CT143" s="30"/>
      <c r="CU143" s="30"/>
      <c r="CV143" s="30"/>
      <c r="CW143" s="30"/>
      <c r="CX143" s="30"/>
      <c r="CY143" s="30"/>
      <c r="CZ143" s="30"/>
      <c r="DA143" s="85"/>
      <c r="DB143" s="85"/>
      <c r="DC143" s="85"/>
      <c r="DE143" s="81"/>
      <c r="DF143" s="30"/>
      <c r="DG143" s="30"/>
      <c r="DI143" s="30"/>
      <c r="DJ143" s="30"/>
      <c r="DK143" s="30"/>
      <c r="DL143" s="30"/>
      <c r="DM143" s="30"/>
      <c r="DN143" s="30"/>
      <c r="DO143" s="30"/>
      <c r="DP143" s="85"/>
      <c r="DQ143" s="85"/>
      <c r="DR143" s="85"/>
      <c r="DT143" s="81"/>
      <c r="DU143" s="30"/>
      <c r="DV143" s="30"/>
      <c r="DX143" s="30"/>
      <c r="DY143" s="30"/>
      <c r="DZ143" s="30"/>
      <c r="EA143" s="30"/>
      <c r="EB143" s="30"/>
      <c r="EC143" s="30"/>
      <c r="ED143" s="30"/>
      <c r="EE143" s="85"/>
      <c r="EF143" s="85"/>
      <c r="EG143" s="85"/>
      <c r="EI143" s="81"/>
      <c r="EJ143" s="30"/>
      <c r="EK143" s="30"/>
      <c r="EM143" s="30"/>
      <c r="EN143" s="30"/>
      <c r="EO143" s="30"/>
      <c r="EP143" s="30"/>
      <c r="EQ143" s="30"/>
      <c r="ER143" s="30"/>
      <c r="ES143" s="30"/>
      <c r="ET143" s="85"/>
      <c r="EU143" s="85"/>
      <c r="EV143" s="85"/>
    </row>
    <row r="144" spans="2:152">
      <c r="B144" s="11">
        <v>0.19</v>
      </c>
      <c r="C144" s="16"/>
      <c r="D144" s="16"/>
      <c r="E144" s="8"/>
      <c r="F144" s="27">
        <f t="shared" si="30"/>
        <v>-1.653926474930917</v>
      </c>
      <c r="G144" s="27">
        <f t="shared" si="31"/>
        <v>-0.50764976079242974</v>
      </c>
      <c r="H144" s="27">
        <f t="shared" si="32"/>
        <v>-3.1895615646536936E-3</v>
      </c>
      <c r="I144" s="27">
        <f t="shared" si="33"/>
        <v>160.15973104834794</v>
      </c>
      <c r="J144" s="27">
        <f t="shared" si="34"/>
        <v>-0.2321343434203233</v>
      </c>
      <c r="K144" s="27">
        <f t="shared" si="35"/>
        <v>0.30778500671822556</v>
      </c>
      <c r="L144" s="27">
        <f t="shared" si="36"/>
        <v>1.1448727037328537</v>
      </c>
      <c r="M144" s="17">
        <f t="shared" si="37"/>
        <v>0.19436552004786037</v>
      </c>
      <c r="N144" s="17">
        <f t="shared" si="38"/>
        <v>0.19436552004786037</v>
      </c>
      <c r="O144" s="17">
        <f t="shared" si="39"/>
        <v>0.19436552004786037</v>
      </c>
      <c r="P144" s="17">
        <f>IF(ISERROR(O144),0,IF('R-AFC ISOTOPE'!$G$7='R-AFC ISOTOPE_CONTROL'!B144,'R-AFC ISOTOPE_CONTROL'!O144,0))</f>
        <v>0</v>
      </c>
      <c r="S144" s="81"/>
      <c r="T144" s="30"/>
      <c r="U144" s="30"/>
      <c r="W144" s="30"/>
      <c r="X144" s="30"/>
      <c r="Y144" s="30"/>
      <c r="Z144" s="30"/>
      <c r="AA144" s="30"/>
      <c r="AB144" s="30"/>
      <c r="AC144" s="30"/>
      <c r="AD144" s="85"/>
      <c r="AE144" s="85"/>
      <c r="AF144" s="85"/>
      <c r="AH144" s="81"/>
      <c r="AI144" s="30"/>
      <c r="AJ144" s="30"/>
      <c r="AL144" s="30"/>
      <c r="AM144" s="30"/>
      <c r="AN144" s="30"/>
      <c r="AO144" s="30"/>
      <c r="AP144" s="30"/>
      <c r="AQ144" s="30"/>
      <c r="AR144" s="30"/>
      <c r="AS144" s="85"/>
      <c r="AT144" s="85"/>
      <c r="AU144" s="85"/>
      <c r="AW144" s="81"/>
      <c r="AX144" s="30"/>
      <c r="AY144" s="30"/>
      <c r="BA144" s="30"/>
      <c r="BB144" s="30"/>
      <c r="BC144" s="30"/>
      <c r="BD144" s="30"/>
      <c r="BE144" s="30"/>
      <c r="BF144" s="30"/>
      <c r="BG144" s="30"/>
      <c r="BH144" s="85"/>
      <c r="BI144" s="85"/>
      <c r="BJ144" s="85"/>
      <c r="BL144" s="81"/>
      <c r="BM144" s="30"/>
      <c r="BN144" s="30"/>
      <c r="BP144" s="30"/>
      <c r="BQ144" s="30"/>
      <c r="BR144" s="30"/>
      <c r="BS144" s="30"/>
      <c r="BT144" s="30"/>
      <c r="BU144" s="30"/>
      <c r="BV144" s="30"/>
      <c r="BW144" s="85"/>
      <c r="BX144" s="85"/>
      <c r="BY144" s="85"/>
      <c r="CA144" s="81"/>
      <c r="CB144" s="30"/>
      <c r="CC144" s="30"/>
      <c r="CE144" s="30"/>
      <c r="CF144" s="30"/>
      <c r="CG144" s="30"/>
      <c r="CH144" s="30"/>
      <c r="CI144" s="30"/>
      <c r="CJ144" s="30"/>
      <c r="CK144" s="30"/>
      <c r="CL144" s="85"/>
      <c r="CM144" s="85"/>
      <c r="CN144" s="85"/>
      <c r="CP144" s="81"/>
      <c r="CQ144" s="30"/>
      <c r="CR144" s="30"/>
      <c r="CT144" s="30"/>
      <c r="CU144" s="30"/>
      <c r="CV144" s="30"/>
      <c r="CW144" s="30"/>
      <c r="CX144" s="30"/>
      <c r="CY144" s="30"/>
      <c r="CZ144" s="30"/>
      <c r="DA144" s="85"/>
      <c r="DB144" s="85"/>
      <c r="DC144" s="85"/>
      <c r="DE144" s="81"/>
      <c r="DF144" s="30"/>
      <c r="DG144" s="30"/>
      <c r="DI144" s="30"/>
      <c r="DJ144" s="30"/>
      <c r="DK144" s="30"/>
      <c r="DL144" s="30"/>
      <c r="DM144" s="30"/>
      <c r="DN144" s="30"/>
      <c r="DO144" s="30"/>
      <c r="DP144" s="85"/>
      <c r="DQ144" s="85"/>
      <c r="DR144" s="85"/>
      <c r="DT144" s="81"/>
      <c r="DU144" s="30"/>
      <c r="DV144" s="30"/>
      <c r="DX144" s="30"/>
      <c r="DY144" s="30"/>
      <c r="DZ144" s="30"/>
      <c r="EA144" s="30"/>
      <c r="EB144" s="30"/>
      <c r="EC144" s="30"/>
      <c r="ED144" s="30"/>
      <c r="EE144" s="85"/>
      <c r="EF144" s="85"/>
      <c r="EG144" s="85"/>
      <c r="EI144" s="81"/>
      <c r="EJ144" s="30"/>
      <c r="EK144" s="30"/>
      <c r="EM144" s="30"/>
      <c r="EN144" s="30"/>
      <c r="EO144" s="30"/>
      <c r="EP144" s="30"/>
      <c r="EQ144" s="30"/>
      <c r="ER144" s="30"/>
      <c r="ES144" s="30"/>
      <c r="ET144" s="85"/>
      <c r="EU144" s="85"/>
      <c r="EV144" s="85"/>
    </row>
    <row r="145" spans="2:152">
      <c r="B145" s="11">
        <v>0.2</v>
      </c>
      <c r="C145" s="16"/>
      <c r="D145" s="16"/>
      <c r="E145" s="8"/>
      <c r="F145" s="27">
        <f t="shared" si="30"/>
        <v>-1.9069750540842711</v>
      </c>
      <c r="G145" s="27">
        <f t="shared" si="31"/>
        <v>-0.51790784315111149</v>
      </c>
      <c r="H145" s="27">
        <f t="shared" si="32"/>
        <v>-3.3574332259512563E-3</v>
      </c>
      <c r="I145" s="27">
        <f t="shared" si="33"/>
        <v>155.25707923182105</v>
      </c>
      <c r="J145" s="27">
        <f t="shared" si="34"/>
        <v>-0.2077297399007777</v>
      </c>
      <c r="K145" s="27">
        <f t="shared" si="35"/>
        <v>0.35063354303505534</v>
      </c>
      <c r="L145" s="27">
        <f t="shared" si="36"/>
        <v>1.2383256343912368</v>
      </c>
      <c r="M145" s="17">
        <f t="shared" si="37"/>
        <v>0.20289177343901593</v>
      </c>
      <c r="N145" s="17">
        <f t="shared" si="38"/>
        <v>0.20289177343901593</v>
      </c>
      <c r="O145" s="17">
        <f t="shared" si="39"/>
        <v>0.20289177343901593</v>
      </c>
      <c r="P145" s="17">
        <f>IF(ISERROR(O145),0,IF('R-AFC ISOTOPE'!$G$7='R-AFC ISOTOPE_CONTROL'!B145,'R-AFC ISOTOPE_CONTROL'!O145,0))</f>
        <v>0</v>
      </c>
      <c r="S145" s="81"/>
      <c r="T145" s="30"/>
      <c r="U145" s="30"/>
      <c r="W145" s="30"/>
      <c r="X145" s="30"/>
      <c r="Y145" s="30"/>
      <c r="Z145" s="30"/>
      <c r="AA145" s="30"/>
      <c r="AB145" s="30"/>
      <c r="AC145" s="30"/>
      <c r="AD145" s="85"/>
      <c r="AE145" s="85"/>
      <c r="AF145" s="85"/>
      <c r="AH145" s="81"/>
      <c r="AI145" s="30"/>
      <c r="AJ145" s="30"/>
      <c r="AL145" s="30"/>
      <c r="AM145" s="30"/>
      <c r="AN145" s="30"/>
      <c r="AO145" s="30"/>
      <c r="AP145" s="30"/>
      <c r="AQ145" s="30"/>
      <c r="AR145" s="30"/>
      <c r="AS145" s="85"/>
      <c r="AT145" s="85"/>
      <c r="AU145" s="85"/>
      <c r="AW145" s="81"/>
      <c r="AX145" s="30"/>
      <c r="AY145" s="30"/>
      <c r="BA145" s="30"/>
      <c r="BB145" s="30"/>
      <c r="BC145" s="30"/>
      <c r="BD145" s="30"/>
      <c r="BE145" s="30"/>
      <c r="BF145" s="30"/>
      <c r="BG145" s="30"/>
      <c r="BH145" s="85"/>
      <c r="BI145" s="85"/>
      <c r="BJ145" s="85"/>
      <c r="BL145" s="81"/>
      <c r="BM145" s="30"/>
      <c r="BN145" s="30"/>
      <c r="BP145" s="30"/>
      <c r="BQ145" s="30"/>
      <c r="BR145" s="30"/>
      <c r="BS145" s="30"/>
      <c r="BT145" s="30"/>
      <c r="BU145" s="30"/>
      <c r="BV145" s="30"/>
      <c r="BW145" s="85"/>
      <c r="BX145" s="85"/>
      <c r="BY145" s="85"/>
      <c r="CA145" s="81"/>
      <c r="CB145" s="30"/>
      <c r="CC145" s="30"/>
      <c r="CE145" s="30"/>
      <c r="CF145" s="30"/>
      <c r="CG145" s="30"/>
      <c r="CH145" s="30"/>
      <c r="CI145" s="30"/>
      <c r="CJ145" s="30"/>
      <c r="CK145" s="30"/>
      <c r="CL145" s="85"/>
      <c r="CM145" s="85"/>
      <c r="CN145" s="85"/>
      <c r="CP145" s="81"/>
      <c r="CQ145" s="30"/>
      <c r="CR145" s="30"/>
      <c r="CT145" s="30"/>
      <c r="CU145" s="30"/>
      <c r="CV145" s="30"/>
      <c r="CW145" s="30"/>
      <c r="CX145" s="30"/>
      <c r="CY145" s="30"/>
      <c r="CZ145" s="30"/>
      <c r="DA145" s="85"/>
      <c r="DB145" s="85"/>
      <c r="DC145" s="85"/>
      <c r="DE145" s="81"/>
      <c r="DF145" s="30"/>
      <c r="DG145" s="30"/>
      <c r="DI145" s="30"/>
      <c r="DJ145" s="30"/>
      <c r="DK145" s="30"/>
      <c r="DL145" s="30"/>
      <c r="DM145" s="30"/>
      <c r="DN145" s="30"/>
      <c r="DO145" s="30"/>
      <c r="DP145" s="85"/>
      <c r="DQ145" s="85"/>
      <c r="DR145" s="85"/>
      <c r="DT145" s="81"/>
      <c r="DU145" s="30"/>
      <c r="DV145" s="30"/>
      <c r="DX145" s="30"/>
      <c r="DY145" s="30"/>
      <c r="DZ145" s="30"/>
      <c r="EA145" s="30"/>
      <c r="EB145" s="30"/>
      <c r="EC145" s="30"/>
      <c r="ED145" s="30"/>
      <c r="EE145" s="85"/>
      <c r="EF145" s="85"/>
      <c r="EG145" s="85"/>
      <c r="EI145" s="81"/>
      <c r="EJ145" s="30"/>
      <c r="EK145" s="30"/>
      <c r="EM145" s="30"/>
      <c r="EN145" s="30"/>
      <c r="EO145" s="30"/>
      <c r="EP145" s="30"/>
      <c r="EQ145" s="30"/>
      <c r="ER145" s="30"/>
      <c r="ES145" s="30"/>
      <c r="ET145" s="85"/>
      <c r="EU145" s="85"/>
      <c r="EV145" s="85"/>
    </row>
    <row r="146" spans="2:152">
      <c r="B146" s="11">
        <v>0.21</v>
      </c>
      <c r="C146" s="16"/>
      <c r="D146" s="16"/>
      <c r="E146" s="8"/>
      <c r="F146" s="27">
        <f t="shared" si="30"/>
        <v>-2.2133654408523689</v>
      </c>
      <c r="G146" s="27">
        <f t="shared" si="31"/>
        <v>-0.52816592550979313</v>
      </c>
      <c r="H146" s="27">
        <f t="shared" si="32"/>
        <v>-3.5253048872488191E-3</v>
      </c>
      <c r="I146" s="27">
        <f t="shared" si="33"/>
        <v>150.82134663591572</v>
      </c>
      <c r="J146" s="27">
        <f t="shared" si="34"/>
        <v>-0.18427311284371545</v>
      </c>
      <c r="K146" s="27">
        <f t="shared" si="35"/>
        <v>0.39679653954319327</v>
      </c>
      <c r="L146" s="27">
        <f t="shared" si="36"/>
        <v>1.3351096931776545</v>
      </c>
      <c r="M146" s="17">
        <f t="shared" si="37"/>
        <v>0.21111632023020543</v>
      </c>
      <c r="N146" s="17">
        <f t="shared" si="38"/>
        <v>0.21111632023020543</v>
      </c>
      <c r="O146" s="17">
        <f t="shared" si="39"/>
        <v>0.21111632023020543</v>
      </c>
      <c r="P146" s="17">
        <f>IF(ISERROR(O146),0,IF('R-AFC ISOTOPE'!$G$7='R-AFC ISOTOPE_CONTROL'!B146,'R-AFC ISOTOPE_CONTROL'!O146,0))</f>
        <v>0</v>
      </c>
      <c r="S146" s="81"/>
      <c r="T146" s="30"/>
      <c r="U146" s="30"/>
      <c r="W146" s="30"/>
      <c r="X146" s="30"/>
      <c r="Y146" s="30"/>
      <c r="Z146" s="30"/>
      <c r="AA146" s="30"/>
      <c r="AB146" s="30"/>
      <c r="AC146" s="30"/>
      <c r="AD146" s="85"/>
      <c r="AE146" s="85"/>
      <c r="AF146" s="85"/>
      <c r="AH146" s="81"/>
      <c r="AI146" s="30"/>
      <c r="AJ146" s="30"/>
      <c r="AL146" s="30"/>
      <c r="AM146" s="30"/>
      <c r="AN146" s="30"/>
      <c r="AO146" s="30"/>
      <c r="AP146" s="30"/>
      <c r="AQ146" s="30"/>
      <c r="AR146" s="30"/>
      <c r="AS146" s="85"/>
      <c r="AT146" s="85"/>
      <c r="AU146" s="85"/>
      <c r="AW146" s="81"/>
      <c r="AX146" s="30"/>
      <c r="AY146" s="30"/>
      <c r="BA146" s="30"/>
      <c r="BB146" s="30"/>
      <c r="BC146" s="30"/>
      <c r="BD146" s="30"/>
      <c r="BE146" s="30"/>
      <c r="BF146" s="30"/>
      <c r="BG146" s="30"/>
      <c r="BH146" s="85"/>
      <c r="BI146" s="85"/>
      <c r="BJ146" s="85"/>
      <c r="BL146" s="81"/>
      <c r="BM146" s="30"/>
      <c r="BN146" s="30"/>
      <c r="BP146" s="30"/>
      <c r="BQ146" s="30"/>
      <c r="BR146" s="30"/>
      <c r="BS146" s="30"/>
      <c r="BT146" s="30"/>
      <c r="BU146" s="30"/>
      <c r="BV146" s="30"/>
      <c r="BW146" s="85"/>
      <c r="BX146" s="85"/>
      <c r="BY146" s="85"/>
      <c r="CA146" s="81"/>
      <c r="CB146" s="30"/>
      <c r="CC146" s="30"/>
      <c r="CE146" s="30"/>
      <c r="CF146" s="30"/>
      <c r="CG146" s="30"/>
      <c r="CH146" s="30"/>
      <c r="CI146" s="30"/>
      <c r="CJ146" s="30"/>
      <c r="CK146" s="30"/>
      <c r="CL146" s="85"/>
      <c r="CM146" s="85"/>
      <c r="CN146" s="85"/>
      <c r="CP146" s="81"/>
      <c r="CQ146" s="30"/>
      <c r="CR146" s="30"/>
      <c r="CT146" s="30"/>
      <c r="CU146" s="30"/>
      <c r="CV146" s="30"/>
      <c r="CW146" s="30"/>
      <c r="CX146" s="30"/>
      <c r="CY146" s="30"/>
      <c r="CZ146" s="30"/>
      <c r="DA146" s="85"/>
      <c r="DB146" s="85"/>
      <c r="DC146" s="85"/>
      <c r="DE146" s="81"/>
      <c r="DF146" s="30"/>
      <c r="DG146" s="30"/>
      <c r="DI146" s="30"/>
      <c r="DJ146" s="30"/>
      <c r="DK146" s="30"/>
      <c r="DL146" s="30"/>
      <c r="DM146" s="30"/>
      <c r="DN146" s="30"/>
      <c r="DO146" s="30"/>
      <c r="DP146" s="85"/>
      <c r="DQ146" s="85"/>
      <c r="DR146" s="85"/>
      <c r="DT146" s="81"/>
      <c r="DU146" s="30"/>
      <c r="DV146" s="30"/>
      <c r="DX146" s="30"/>
      <c r="DY146" s="30"/>
      <c r="DZ146" s="30"/>
      <c r="EA146" s="30"/>
      <c r="EB146" s="30"/>
      <c r="EC146" s="30"/>
      <c r="ED146" s="30"/>
      <c r="EE146" s="85"/>
      <c r="EF146" s="85"/>
      <c r="EG146" s="85"/>
      <c r="EI146" s="81"/>
      <c r="EJ146" s="30"/>
      <c r="EK146" s="30"/>
      <c r="EM146" s="30"/>
      <c r="EN146" s="30"/>
      <c r="EO146" s="30"/>
      <c r="EP146" s="30"/>
      <c r="EQ146" s="30"/>
      <c r="ER146" s="30"/>
      <c r="ES146" s="30"/>
      <c r="ET146" s="85"/>
      <c r="EU146" s="85"/>
      <c r="EV146" s="85"/>
    </row>
    <row r="147" spans="2:152">
      <c r="B147" s="11">
        <v>0.22</v>
      </c>
      <c r="C147" s="16"/>
      <c r="D147" s="16"/>
      <c r="E147" s="8"/>
      <c r="F147" s="27">
        <f t="shared" si="30"/>
        <v>-2.5919511845213328</v>
      </c>
      <c r="G147" s="27">
        <f t="shared" si="31"/>
        <v>-0.53842400786847477</v>
      </c>
      <c r="H147" s="27">
        <f t="shared" si="32"/>
        <v>-3.6931765485463818E-3</v>
      </c>
      <c r="I147" s="27">
        <f t="shared" si="33"/>
        <v>146.78886245781999</v>
      </c>
      <c r="J147" s="27">
        <f t="shared" si="34"/>
        <v>-0.16171027955770281</v>
      </c>
      <c r="K147" s="27">
        <f t="shared" si="35"/>
        <v>0.44629647051689819</v>
      </c>
      <c r="L147" s="27">
        <f t="shared" si="36"/>
        <v>1.4351725191173685</v>
      </c>
      <c r="M147" s="17">
        <f t="shared" si="37"/>
        <v>0.21903704259809562</v>
      </c>
      <c r="N147" s="17">
        <f t="shared" si="38"/>
        <v>0.21903704259809562</v>
      </c>
      <c r="O147" s="17">
        <f t="shared" si="39"/>
        <v>0.21903704259809562</v>
      </c>
      <c r="P147" s="17">
        <f>IF(ISERROR(O147),0,IF('R-AFC ISOTOPE'!$G$7='R-AFC ISOTOPE_CONTROL'!B147,'R-AFC ISOTOPE_CONTROL'!O147,0))</f>
        <v>0</v>
      </c>
      <c r="S147" s="81"/>
      <c r="T147" s="30"/>
      <c r="U147" s="30"/>
      <c r="W147" s="30"/>
      <c r="X147" s="30"/>
      <c r="Y147" s="30"/>
      <c r="Z147" s="30"/>
      <c r="AA147" s="30"/>
      <c r="AB147" s="30"/>
      <c r="AC147" s="30"/>
      <c r="AD147" s="85"/>
      <c r="AE147" s="85"/>
      <c r="AF147" s="85"/>
      <c r="AH147" s="81"/>
      <c r="AI147" s="30"/>
      <c r="AJ147" s="30"/>
      <c r="AL147" s="30"/>
      <c r="AM147" s="30"/>
      <c r="AN147" s="30"/>
      <c r="AO147" s="30"/>
      <c r="AP147" s="30"/>
      <c r="AQ147" s="30"/>
      <c r="AR147" s="30"/>
      <c r="AS147" s="85"/>
      <c r="AT147" s="85"/>
      <c r="AU147" s="85"/>
      <c r="AW147" s="81"/>
      <c r="AX147" s="30"/>
      <c r="AY147" s="30"/>
      <c r="BA147" s="30"/>
      <c r="BB147" s="30"/>
      <c r="BC147" s="30"/>
      <c r="BD147" s="30"/>
      <c r="BE147" s="30"/>
      <c r="BF147" s="30"/>
      <c r="BG147" s="30"/>
      <c r="BH147" s="85"/>
      <c r="BI147" s="85"/>
      <c r="BJ147" s="85"/>
      <c r="BL147" s="81"/>
      <c r="BM147" s="30"/>
      <c r="BN147" s="30"/>
      <c r="BP147" s="30"/>
      <c r="BQ147" s="30"/>
      <c r="BR147" s="30"/>
      <c r="BS147" s="30"/>
      <c r="BT147" s="30"/>
      <c r="BU147" s="30"/>
      <c r="BV147" s="30"/>
      <c r="BW147" s="85"/>
      <c r="BX147" s="85"/>
      <c r="BY147" s="85"/>
      <c r="CA147" s="81"/>
      <c r="CB147" s="30"/>
      <c r="CC147" s="30"/>
      <c r="CE147" s="30"/>
      <c r="CF147" s="30"/>
      <c r="CG147" s="30"/>
      <c r="CH147" s="30"/>
      <c r="CI147" s="30"/>
      <c r="CJ147" s="30"/>
      <c r="CK147" s="30"/>
      <c r="CL147" s="85"/>
      <c r="CM147" s="85"/>
      <c r="CN147" s="85"/>
      <c r="CP147" s="81"/>
      <c r="CQ147" s="30"/>
      <c r="CR147" s="30"/>
      <c r="CT147" s="30"/>
      <c r="CU147" s="30"/>
      <c r="CV147" s="30"/>
      <c r="CW147" s="30"/>
      <c r="CX147" s="30"/>
      <c r="CY147" s="30"/>
      <c r="CZ147" s="30"/>
      <c r="DA147" s="85"/>
      <c r="DB147" s="85"/>
      <c r="DC147" s="85"/>
      <c r="DE147" s="81"/>
      <c r="DF147" s="30"/>
      <c r="DG147" s="30"/>
      <c r="DI147" s="30"/>
      <c r="DJ147" s="30"/>
      <c r="DK147" s="30"/>
      <c r="DL147" s="30"/>
      <c r="DM147" s="30"/>
      <c r="DN147" s="30"/>
      <c r="DO147" s="30"/>
      <c r="DP147" s="85"/>
      <c r="DQ147" s="85"/>
      <c r="DR147" s="85"/>
      <c r="DT147" s="81"/>
      <c r="DU147" s="30"/>
      <c r="DV147" s="30"/>
      <c r="DX147" s="30"/>
      <c r="DY147" s="30"/>
      <c r="DZ147" s="30"/>
      <c r="EA147" s="30"/>
      <c r="EB147" s="30"/>
      <c r="EC147" s="30"/>
      <c r="ED147" s="30"/>
      <c r="EE147" s="85"/>
      <c r="EF147" s="85"/>
      <c r="EG147" s="85"/>
      <c r="EI147" s="81"/>
      <c r="EJ147" s="30"/>
      <c r="EK147" s="30"/>
      <c r="EM147" s="30"/>
      <c r="EN147" s="30"/>
      <c r="EO147" s="30"/>
      <c r="EP147" s="30"/>
      <c r="EQ147" s="30"/>
      <c r="ER147" s="30"/>
      <c r="ES147" s="30"/>
      <c r="ET147" s="85"/>
      <c r="EU147" s="85"/>
      <c r="EV147" s="85"/>
    </row>
    <row r="148" spans="2:152">
      <c r="B148" s="11">
        <v>0.23</v>
      </c>
      <c r="C148" s="16"/>
      <c r="D148" s="16"/>
      <c r="E148" s="8"/>
      <c r="F148" s="27">
        <f t="shared" si="30"/>
        <v>-3.0716574247507817</v>
      </c>
      <c r="G148" s="27">
        <f t="shared" si="31"/>
        <v>-0.54868209022715642</v>
      </c>
      <c r="H148" s="27">
        <f t="shared" si="32"/>
        <v>-3.8610482098439449E-3</v>
      </c>
      <c r="I148" s="27">
        <f t="shared" si="33"/>
        <v>143.1070290778195</v>
      </c>
      <c r="J148" s="27">
        <f t="shared" si="34"/>
        <v>-0.13999110931889225</v>
      </c>
      <c r="K148" s="27">
        <f t="shared" si="35"/>
        <v>0.49914489080907981</v>
      </c>
      <c r="L148" s="27">
        <f t="shared" si="36"/>
        <v>1.5384553148706532</v>
      </c>
      <c r="M148" s="17">
        <f t="shared" si="37"/>
        <v>0.22665422011748013</v>
      </c>
      <c r="N148" s="17">
        <f t="shared" si="38"/>
        <v>0.22665422011748013</v>
      </c>
      <c r="O148" s="17">
        <f t="shared" si="39"/>
        <v>0.22665422011748013</v>
      </c>
      <c r="P148" s="17">
        <f>IF(ISERROR(O148),0,IF('R-AFC ISOTOPE'!$G$7='R-AFC ISOTOPE_CONTROL'!B148,'R-AFC ISOTOPE_CONTROL'!O148,0))</f>
        <v>0</v>
      </c>
      <c r="S148" s="81"/>
      <c r="T148" s="30"/>
      <c r="U148" s="30"/>
      <c r="W148" s="30"/>
      <c r="X148" s="30"/>
      <c r="Y148" s="30"/>
      <c r="Z148" s="30"/>
      <c r="AA148" s="30"/>
      <c r="AB148" s="30"/>
      <c r="AC148" s="30"/>
      <c r="AD148" s="85"/>
      <c r="AE148" s="85"/>
      <c r="AF148" s="85"/>
      <c r="AH148" s="81"/>
      <c r="AI148" s="30"/>
      <c r="AJ148" s="30"/>
      <c r="AL148" s="30"/>
      <c r="AM148" s="30"/>
      <c r="AN148" s="30"/>
      <c r="AO148" s="30"/>
      <c r="AP148" s="30"/>
      <c r="AQ148" s="30"/>
      <c r="AR148" s="30"/>
      <c r="AS148" s="85"/>
      <c r="AT148" s="85"/>
      <c r="AU148" s="85"/>
      <c r="AW148" s="81"/>
      <c r="AX148" s="30"/>
      <c r="AY148" s="30"/>
      <c r="BA148" s="30"/>
      <c r="BB148" s="30"/>
      <c r="BC148" s="30"/>
      <c r="BD148" s="30"/>
      <c r="BE148" s="30"/>
      <c r="BF148" s="30"/>
      <c r="BG148" s="30"/>
      <c r="BH148" s="85"/>
      <c r="BI148" s="85"/>
      <c r="BJ148" s="85"/>
      <c r="BL148" s="81"/>
      <c r="BM148" s="30"/>
      <c r="BN148" s="30"/>
      <c r="BP148" s="30"/>
      <c r="BQ148" s="30"/>
      <c r="BR148" s="30"/>
      <c r="BS148" s="30"/>
      <c r="BT148" s="30"/>
      <c r="BU148" s="30"/>
      <c r="BV148" s="30"/>
      <c r="BW148" s="85"/>
      <c r="BX148" s="85"/>
      <c r="BY148" s="85"/>
      <c r="CA148" s="81"/>
      <c r="CB148" s="30"/>
      <c r="CC148" s="30"/>
      <c r="CE148" s="30"/>
      <c r="CF148" s="30"/>
      <c r="CG148" s="30"/>
      <c r="CH148" s="30"/>
      <c r="CI148" s="30"/>
      <c r="CJ148" s="30"/>
      <c r="CK148" s="30"/>
      <c r="CL148" s="85"/>
      <c r="CM148" s="85"/>
      <c r="CN148" s="85"/>
      <c r="CP148" s="81"/>
      <c r="CQ148" s="30"/>
      <c r="CR148" s="30"/>
      <c r="CT148" s="30"/>
      <c r="CU148" s="30"/>
      <c r="CV148" s="30"/>
      <c r="CW148" s="30"/>
      <c r="CX148" s="30"/>
      <c r="CY148" s="30"/>
      <c r="CZ148" s="30"/>
      <c r="DA148" s="85"/>
      <c r="DB148" s="85"/>
      <c r="DC148" s="85"/>
      <c r="DE148" s="81"/>
      <c r="DF148" s="30"/>
      <c r="DG148" s="30"/>
      <c r="DI148" s="30"/>
      <c r="DJ148" s="30"/>
      <c r="DK148" s="30"/>
      <c r="DL148" s="30"/>
      <c r="DM148" s="30"/>
      <c r="DN148" s="30"/>
      <c r="DO148" s="30"/>
      <c r="DP148" s="85"/>
      <c r="DQ148" s="85"/>
      <c r="DR148" s="85"/>
      <c r="DT148" s="81"/>
      <c r="DU148" s="30"/>
      <c r="DV148" s="30"/>
      <c r="DX148" s="30"/>
      <c r="DY148" s="30"/>
      <c r="DZ148" s="30"/>
      <c r="EA148" s="30"/>
      <c r="EB148" s="30"/>
      <c r="EC148" s="30"/>
      <c r="ED148" s="30"/>
      <c r="EE148" s="85"/>
      <c r="EF148" s="85"/>
      <c r="EG148" s="85"/>
      <c r="EI148" s="81"/>
      <c r="EJ148" s="30"/>
      <c r="EK148" s="30"/>
      <c r="EM148" s="30"/>
      <c r="EN148" s="30"/>
      <c r="EO148" s="30"/>
      <c r="EP148" s="30"/>
      <c r="EQ148" s="30"/>
      <c r="ER148" s="30"/>
      <c r="ES148" s="30"/>
      <c r="ET148" s="85"/>
      <c r="EU148" s="85"/>
      <c r="EV148" s="85"/>
    </row>
    <row r="149" spans="2:152">
      <c r="B149" s="11">
        <v>0.24</v>
      </c>
      <c r="C149" s="16"/>
      <c r="D149" s="16"/>
      <c r="E149" s="8"/>
      <c r="F149" s="27">
        <f t="shared" si="30"/>
        <v>-3.6992428204028323</v>
      </c>
      <c r="G149" s="27">
        <f t="shared" si="31"/>
        <v>-0.55894017258583817</v>
      </c>
      <c r="H149" s="27">
        <f t="shared" si="32"/>
        <v>-4.0289198711415076E-3</v>
      </c>
      <c r="I149" s="27">
        <f t="shared" si="33"/>
        <v>139.73201514615243</v>
      </c>
      <c r="J149" s="27">
        <f t="shared" si="34"/>
        <v>-0.11906915154753134</v>
      </c>
      <c r="K149" s="27">
        <f t="shared" si="35"/>
        <v>0.55534316966445585</v>
      </c>
      <c r="L149" s="27">
        <f t="shared" si="36"/>
        <v>1.644893587161842</v>
      </c>
      <c r="M149" s="17">
        <f t="shared" si="37"/>
        <v>0.2339702119503819</v>
      </c>
      <c r="N149" s="17">
        <f t="shared" si="38"/>
        <v>0.2339702119503819</v>
      </c>
      <c r="O149" s="17">
        <f t="shared" si="39"/>
        <v>0.2339702119503819</v>
      </c>
      <c r="P149" s="17">
        <f>IF(ISERROR(O149),0,IF('R-AFC ISOTOPE'!$G$7='R-AFC ISOTOPE_CONTROL'!B149,'R-AFC ISOTOPE_CONTROL'!O149,0))</f>
        <v>0</v>
      </c>
      <c r="S149" s="81"/>
      <c r="T149" s="30"/>
      <c r="U149" s="30"/>
      <c r="W149" s="30"/>
      <c r="X149" s="30"/>
      <c r="Y149" s="30"/>
      <c r="Z149" s="30"/>
      <c r="AA149" s="30"/>
      <c r="AB149" s="30"/>
      <c r="AC149" s="30"/>
      <c r="AD149" s="85"/>
      <c r="AE149" s="85"/>
      <c r="AF149" s="85"/>
      <c r="AH149" s="81"/>
      <c r="AI149" s="30"/>
      <c r="AJ149" s="30"/>
      <c r="AL149" s="30"/>
      <c r="AM149" s="30"/>
      <c r="AN149" s="30"/>
      <c r="AO149" s="30"/>
      <c r="AP149" s="30"/>
      <c r="AQ149" s="30"/>
      <c r="AR149" s="30"/>
      <c r="AS149" s="85"/>
      <c r="AT149" s="85"/>
      <c r="AU149" s="85"/>
      <c r="AW149" s="81"/>
      <c r="AX149" s="30"/>
      <c r="AY149" s="30"/>
      <c r="BA149" s="30"/>
      <c r="BB149" s="30"/>
      <c r="BC149" s="30"/>
      <c r="BD149" s="30"/>
      <c r="BE149" s="30"/>
      <c r="BF149" s="30"/>
      <c r="BG149" s="30"/>
      <c r="BH149" s="85"/>
      <c r="BI149" s="85"/>
      <c r="BJ149" s="85"/>
      <c r="BL149" s="81"/>
      <c r="BM149" s="30"/>
      <c r="BN149" s="30"/>
      <c r="BP149" s="30"/>
      <c r="BQ149" s="30"/>
      <c r="BR149" s="30"/>
      <c r="BS149" s="30"/>
      <c r="BT149" s="30"/>
      <c r="BU149" s="30"/>
      <c r="BV149" s="30"/>
      <c r="BW149" s="85"/>
      <c r="BX149" s="85"/>
      <c r="BY149" s="85"/>
      <c r="CA149" s="81"/>
      <c r="CB149" s="30"/>
      <c r="CC149" s="30"/>
      <c r="CE149" s="30"/>
      <c r="CF149" s="30"/>
      <c r="CG149" s="30"/>
      <c r="CH149" s="30"/>
      <c r="CI149" s="30"/>
      <c r="CJ149" s="30"/>
      <c r="CK149" s="30"/>
      <c r="CL149" s="85"/>
      <c r="CM149" s="85"/>
      <c r="CN149" s="85"/>
      <c r="CP149" s="81"/>
      <c r="CQ149" s="30"/>
      <c r="CR149" s="30"/>
      <c r="CT149" s="30"/>
      <c r="CU149" s="30"/>
      <c r="CV149" s="30"/>
      <c r="CW149" s="30"/>
      <c r="CX149" s="30"/>
      <c r="CY149" s="30"/>
      <c r="CZ149" s="30"/>
      <c r="DA149" s="85"/>
      <c r="DB149" s="85"/>
      <c r="DC149" s="85"/>
      <c r="DE149" s="81"/>
      <c r="DF149" s="30"/>
      <c r="DG149" s="30"/>
      <c r="DI149" s="30"/>
      <c r="DJ149" s="30"/>
      <c r="DK149" s="30"/>
      <c r="DL149" s="30"/>
      <c r="DM149" s="30"/>
      <c r="DN149" s="30"/>
      <c r="DO149" s="30"/>
      <c r="DP149" s="85"/>
      <c r="DQ149" s="85"/>
      <c r="DR149" s="85"/>
      <c r="DT149" s="81"/>
      <c r="DU149" s="30"/>
      <c r="DV149" s="30"/>
      <c r="DX149" s="30"/>
      <c r="DY149" s="30"/>
      <c r="DZ149" s="30"/>
      <c r="EA149" s="30"/>
      <c r="EB149" s="30"/>
      <c r="EC149" s="30"/>
      <c r="ED149" s="30"/>
      <c r="EE149" s="85"/>
      <c r="EF149" s="85"/>
      <c r="EG149" s="85"/>
      <c r="EI149" s="81"/>
      <c r="EJ149" s="30"/>
      <c r="EK149" s="30"/>
      <c r="EM149" s="30"/>
      <c r="EN149" s="30"/>
      <c r="EO149" s="30"/>
      <c r="EP149" s="30"/>
      <c r="EQ149" s="30"/>
      <c r="ER149" s="30"/>
      <c r="ES149" s="30"/>
      <c r="ET149" s="85"/>
      <c r="EU149" s="85"/>
      <c r="EV149" s="85"/>
    </row>
    <row r="150" spans="2:152">
      <c r="B150" s="11">
        <v>0.25</v>
      </c>
      <c r="C150" s="16"/>
      <c r="D150" s="16"/>
      <c r="E150" s="8"/>
      <c r="F150" s="27">
        <f t="shared" si="30"/>
        <v>-4.5555478395168869</v>
      </c>
      <c r="G150" s="27">
        <f t="shared" si="31"/>
        <v>-0.56919825494451981</v>
      </c>
      <c r="H150" s="27">
        <f t="shared" si="32"/>
        <v>-4.1967915324390703E-3</v>
      </c>
      <c r="I150" s="27">
        <f t="shared" si="33"/>
        <v>136.62700232901872</v>
      </c>
      <c r="J150" s="27">
        <f t="shared" si="34"/>
        <v>-9.890130419045623E-2</v>
      </c>
      <c r="K150" s="27">
        <f t="shared" si="35"/>
        <v>0.61488323365429809</v>
      </c>
      <c r="L150" s="27">
        <f t="shared" si="36"/>
        <v>1.754417852887892</v>
      </c>
      <c r="M150" s="17">
        <f t="shared" si="37"/>
        <v>0.24098914775506486</v>
      </c>
      <c r="N150" s="17">
        <f t="shared" si="38"/>
        <v>0.24098914775506486</v>
      </c>
      <c r="O150" s="17">
        <f t="shared" si="39"/>
        <v>0.24098914775506486</v>
      </c>
      <c r="P150" s="17">
        <f>IF(ISERROR(O150),0,IF('R-AFC ISOTOPE'!$G$7='R-AFC ISOTOPE_CONTROL'!B150,'R-AFC ISOTOPE_CONTROL'!O150,0))</f>
        <v>0</v>
      </c>
      <c r="S150" s="81"/>
      <c r="T150" s="30"/>
      <c r="U150" s="30"/>
      <c r="W150" s="30"/>
      <c r="X150" s="30"/>
      <c r="Y150" s="30"/>
      <c r="Z150" s="30"/>
      <c r="AA150" s="30"/>
      <c r="AB150" s="30"/>
      <c r="AC150" s="30"/>
      <c r="AD150" s="85"/>
      <c r="AE150" s="85"/>
      <c r="AF150" s="85"/>
      <c r="AH150" s="81"/>
      <c r="AI150" s="30"/>
      <c r="AJ150" s="30"/>
      <c r="AL150" s="30"/>
      <c r="AM150" s="30"/>
      <c r="AN150" s="30"/>
      <c r="AO150" s="30"/>
      <c r="AP150" s="30"/>
      <c r="AQ150" s="30"/>
      <c r="AR150" s="30"/>
      <c r="AS150" s="85"/>
      <c r="AT150" s="85"/>
      <c r="AU150" s="85"/>
      <c r="AW150" s="81"/>
      <c r="AX150" s="30"/>
      <c r="AY150" s="30"/>
      <c r="BA150" s="30"/>
      <c r="BB150" s="30"/>
      <c r="BC150" s="30"/>
      <c r="BD150" s="30"/>
      <c r="BE150" s="30"/>
      <c r="BF150" s="30"/>
      <c r="BG150" s="30"/>
      <c r="BH150" s="85"/>
      <c r="BI150" s="85"/>
      <c r="BJ150" s="85"/>
      <c r="BL150" s="81"/>
      <c r="BM150" s="30"/>
      <c r="BN150" s="30"/>
      <c r="BP150" s="30"/>
      <c r="BQ150" s="30"/>
      <c r="BR150" s="30"/>
      <c r="BS150" s="30"/>
      <c r="BT150" s="30"/>
      <c r="BU150" s="30"/>
      <c r="BV150" s="30"/>
      <c r="BW150" s="85"/>
      <c r="BX150" s="85"/>
      <c r="BY150" s="85"/>
      <c r="CA150" s="81"/>
      <c r="CB150" s="30"/>
      <c r="CC150" s="30"/>
      <c r="CE150" s="30"/>
      <c r="CF150" s="30"/>
      <c r="CG150" s="30"/>
      <c r="CH150" s="30"/>
      <c r="CI150" s="30"/>
      <c r="CJ150" s="30"/>
      <c r="CK150" s="30"/>
      <c r="CL150" s="85"/>
      <c r="CM150" s="85"/>
      <c r="CN150" s="85"/>
      <c r="CP150" s="81"/>
      <c r="CQ150" s="30"/>
      <c r="CR150" s="30"/>
      <c r="CT150" s="30"/>
      <c r="CU150" s="30"/>
      <c r="CV150" s="30"/>
      <c r="CW150" s="30"/>
      <c r="CX150" s="30"/>
      <c r="CY150" s="30"/>
      <c r="CZ150" s="30"/>
      <c r="DA150" s="85"/>
      <c r="DB150" s="85"/>
      <c r="DC150" s="85"/>
      <c r="DE150" s="81"/>
      <c r="DF150" s="30"/>
      <c r="DG150" s="30"/>
      <c r="DI150" s="30"/>
      <c r="DJ150" s="30"/>
      <c r="DK150" s="30"/>
      <c r="DL150" s="30"/>
      <c r="DM150" s="30"/>
      <c r="DN150" s="30"/>
      <c r="DO150" s="30"/>
      <c r="DP150" s="85"/>
      <c r="DQ150" s="85"/>
      <c r="DR150" s="85"/>
      <c r="DT150" s="81"/>
      <c r="DU150" s="30"/>
      <c r="DV150" s="30"/>
      <c r="DX150" s="30"/>
      <c r="DY150" s="30"/>
      <c r="DZ150" s="30"/>
      <c r="EA150" s="30"/>
      <c r="EB150" s="30"/>
      <c r="EC150" s="30"/>
      <c r="ED150" s="30"/>
      <c r="EE150" s="85"/>
      <c r="EF150" s="85"/>
      <c r="EG150" s="85"/>
      <c r="EI150" s="81"/>
      <c r="EJ150" s="30"/>
      <c r="EK150" s="30"/>
      <c r="EM150" s="30"/>
      <c r="EN150" s="30"/>
      <c r="EO150" s="30"/>
      <c r="EP150" s="30"/>
      <c r="EQ150" s="30"/>
      <c r="ER150" s="30"/>
      <c r="ES150" s="30"/>
      <c r="ET150" s="85"/>
      <c r="EU150" s="85"/>
      <c r="EV150" s="85"/>
    </row>
    <row r="151" spans="2:152">
      <c r="B151" s="11">
        <v>0.26</v>
      </c>
      <c r="C151" s="16"/>
      <c r="D151" s="16"/>
      <c r="E151" s="8"/>
      <c r="F151" s="27">
        <f t="shared" si="30"/>
        <v>-5.7934662615405665</v>
      </c>
      <c r="G151" s="27">
        <f t="shared" si="31"/>
        <v>-0.57945633730320145</v>
      </c>
      <c r="H151" s="27">
        <f t="shared" si="32"/>
        <v>-4.364663193736633E-3</v>
      </c>
      <c r="I151" s="27">
        <f t="shared" si="33"/>
        <v>133.7608366516645</v>
      </c>
      <c r="J151" s="27">
        <f t="shared" si="34"/>
        <v>-7.9447517327219302E-2</v>
      </c>
      <c r="K151" s="27">
        <f t="shared" si="35"/>
        <v>0.67774830761907956</v>
      </c>
      <c r="L151" s="27">
        <f t="shared" si="36"/>
        <v>1.8669543075332118</v>
      </c>
      <c r="M151" s="17">
        <f t="shared" si="37"/>
        <v>0.24771663480769632</v>
      </c>
      <c r="N151" s="17">
        <f t="shared" si="38"/>
        <v>0.24771663480769632</v>
      </c>
      <c r="O151" s="17">
        <f t="shared" si="39"/>
        <v>0.24771663480769632</v>
      </c>
      <c r="P151" s="17">
        <f>IF(ISERROR(O151),0,IF('R-AFC ISOTOPE'!$G$7='R-AFC ISOTOPE_CONTROL'!B151,'R-AFC ISOTOPE_CONTROL'!O151,0))</f>
        <v>0</v>
      </c>
      <c r="S151" s="81"/>
      <c r="T151" s="30"/>
      <c r="U151" s="30"/>
      <c r="W151" s="30"/>
      <c r="X151" s="30"/>
      <c r="Y151" s="30"/>
      <c r="Z151" s="30"/>
      <c r="AA151" s="30"/>
      <c r="AB151" s="30"/>
      <c r="AC151" s="30"/>
      <c r="AD151" s="85"/>
      <c r="AE151" s="85"/>
      <c r="AF151" s="85"/>
      <c r="AH151" s="81"/>
      <c r="AI151" s="30"/>
      <c r="AJ151" s="30"/>
      <c r="AL151" s="30"/>
      <c r="AM151" s="30"/>
      <c r="AN151" s="30"/>
      <c r="AO151" s="30"/>
      <c r="AP151" s="30"/>
      <c r="AQ151" s="30"/>
      <c r="AR151" s="30"/>
      <c r="AS151" s="85"/>
      <c r="AT151" s="85"/>
      <c r="AU151" s="85"/>
      <c r="AW151" s="81"/>
      <c r="AX151" s="30"/>
      <c r="AY151" s="30"/>
      <c r="BA151" s="30"/>
      <c r="BB151" s="30"/>
      <c r="BC151" s="30"/>
      <c r="BD151" s="30"/>
      <c r="BE151" s="30"/>
      <c r="BF151" s="30"/>
      <c r="BG151" s="30"/>
      <c r="BH151" s="85"/>
      <c r="BI151" s="85"/>
      <c r="BJ151" s="85"/>
      <c r="BL151" s="81"/>
      <c r="BM151" s="30"/>
      <c r="BN151" s="30"/>
      <c r="BP151" s="30"/>
      <c r="BQ151" s="30"/>
      <c r="BR151" s="30"/>
      <c r="BS151" s="30"/>
      <c r="BT151" s="30"/>
      <c r="BU151" s="30"/>
      <c r="BV151" s="30"/>
      <c r="BW151" s="85"/>
      <c r="BX151" s="85"/>
      <c r="BY151" s="85"/>
      <c r="CA151" s="81"/>
      <c r="CB151" s="30"/>
      <c r="CC151" s="30"/>
      <c r="CE151" s="30"/>
      <c r="CF151" s="30"/>
      <c r="CG151" s="30"/>
      <c r="CH151" s="30"/>
      <c r="CI151" s="30"/>
      <c r="CJ151" s="30"/>
      <c r="CK151" s="30"/>
      <c r="CL151" s="85"/>
      <c r="CM151" s="85"/>
      <c r="CN151" s="85"/>
      <c r="CP151" s="81"/>
      <c r="CQ151" s="30"/>
      <c r="CR151" s="30"/>
      <c r="CT151" s="30"/>
      <c r="CU151" s="30"/>
      <c r="CV151" s="30"/>
      <c r="CW151" s="30"/>
      <c r="CX151" s="30"/>
      <c r="CY151" s="30"/>
      <c r="CZ151" s="30"/>
      <c r="DA151" s="85"/>
      <c r="DB151" s="85"/>
      <c r="DC151" s="85"/>
      <c r="DE151" s="81"/>
      <c r="DF151" s="30"/>
      <c r="DG151" s="30"/>
      <c r="DI151" s="30"/>
      <c r="DJ151" s="30"/>
      <c r="DK151" s="30"/>
      <c r="DL151" s="30"/>
      <c r="DM151" s="30"/>
      <c r="DN151" s="30"/>
      <c r="DO151" s="30"/>
      <c r="DP151" s="85"/>
      <c r="DQ151" s="85"/>
      <c r="DR151" s="85"/>
      <c r="DT151" s="81"/>
      <c r="DU151" s="30"/>
      <c r="DV151" s="30"/>
      <c r="DX151" s="30"/>
      <c r="DY151" s="30"/>
      <c r="DZ151" s="30"/>
      <c r="EA151" s="30"/>
      <c r="EB151" s="30"/>
      <c r="EC151" s="30"/>
      <c r="ED151" s="30"/>
      <c r="EE151" s="85"/>
      <c r="EF151" s="85"/>
      <c r="EG151" s="85"/>
      <c r="EI151" s="81"/>
      <c r="EJ151" s="30"/>
      <c r="EK151" s="30"/>
      <c r="EM151" s="30"/>
      <c r="EN151" s="30"/>
      <c r="EO151" s="30"/>
      <c r="EP151" s="30"/>
      <c r="EQ151" s="30"/>
      <c r="ER151" s="30"/>
      <c r="ES151" s="30"/>
      <c r="ET151" s="85"/>
      <c r="EU151" s="85"/>
      <c r="EV151" s="85"/>
    </row>
    <row r="152" spans="2:152">
      <c r="B152" s="11">
        <v>0.27</v>
      </c>
      <c r="C152" s="16"/>
      <c r="D152" s="16"/>
      <c r="E152" s="8"/>
      <c r="F152" s="27">
        <f t="shared" si="30"/>
        <v>-7.7412381107142432</v>
      </c>
      <c r="G152" s="27">
        <f t="shared" si="31"/>
        <v>-0.5897144196618832</v>
      </c>
      <c r="H152" s="27">
        <f t="shared" si="32"/>
        <v>-4.5325348550341966E-3</v>
      </c>
      <c r="I152" s="27">
        <f t="shared" si="33"/>
        <v>131.10697954300321</v>
      </c>
      <c r="J152" s="27">
        <f t="shared" si="34"/>
        <v>-6.0670527710845502E-2</v>
      </c>
      <c r="K152" s="27">
        <f t="shared" si="35"/>
        <v>0.74391364464149812</v>
      </c>
      <c r="L152" s="27">
        <f t="shared" si="36"/>
        <v>1.9824254537351453</v>
      </c>
      <c r="M152" s="17">
        <f t="shared" si="37"/>
        <v>0.25415948642798908</v>
      </c>
      <c r="N152" s="17">
        <f t="shared" si="38"/>
        <v>0.25415948642798908</v>
      </c>
      <c r="O152" s="17">
        <f t="shared" si="39"/>
        <v>0.25415948642798908</v>
      </c>
      <c r="P152" s="17">
        <f>IF(ISERROR(O152),0,IF('R-AFC ISOTOPE'!$G$7='R-AFC ISOTOPE_CONTROL'!B152,'R-AFC ISOTOPE_CONTROL'!O152,0))</f>
        <v>0</v>
      </c>
      <c r="S152" s="81"/>
      <c r="T152" s="30"/>
      <c r="U152" s="30"/>
      <c r="W152" s="30"/>
      <c r="X152" s="30"/>
      <c r="Y152" s="30"/>
      <c r="Z152" s="30"/>
      <c r="AA152" s="30"/>
      <c r="AB152" s="30"/>
      <c r="AC152" s="30"/>
      <c r="AD152" s="85"/>
      <c r="AE152" s="85"/>
      <c r="AF152" s="85"/>
      <c r="AH152" s="81"/>
      <c r="AI152" s="30"/>
      <c r="AJ152" s="30"/>
      <c r="AL152" s="30"/>
      <c r="AM152" s="30"/>
      <c r="AN152" s="30"/>
      <c r="AO152" s="30"/>
      <c r="AP152" s="30"/>
      <c r="AQ152" s="30"/>
      <c r="AR152" s="30"/>
      <c r="AS152" s="85"/>
      <c r="AT152" s="85"/>
      <c r="AU152" s="85"/>
      <c r="AW152" s="81"/>
      <c r="AX152" s="30"/>
      <c r="AY152" s="30"/>
      <c r="BA152" s="30"/>
      <c r="BB152" s="30"/>
      <c r="BC152" s="30"/>
      <c r="BD152" s="30"/>
      <c r="BE152" s="30"/>
      <c r="BF152" s="30"/>
      <c r="BG152" s="30"/>
      <c r="BH152" s="85"/>
      <c r="BI152" s="85"/>
      <c r="BJ152" s="85"/>
      <c r="BL152" s="81"/>
      <c r="BM152" s="30"/>
      <c r="BN152" s="30"/>
      <c r="BP152" s="30"/>
      <c r="BQ152" s="30"/>
      <c r="BR152" s="30"/>
      <c r="BS152" s="30"/>
      <c r="BT152" s="30"/>
      <c r="BU152" s="30"/>
      <c r="BV152" s="30"/>
      <c r="BW152" s="85"/>
      <c r="BX152" s="85"/>
      <c r="BY152" s="85"/>
      <c r="CA152" s="81"/>
      <c r="CB152" s="30"/>
      <c r="CC152" s="30"/>
      <c r="CE152" s="30"/>
      <c r="CF152" s="30"/>
      <c r="CG152" s="30"/>
      <c r="CH152" s="30"/>
      <c r="CI152" s="30"/>
      <c r="CJ152" s="30"/>
      <c r="CK152" s="30"/>
      <c r="CL152" s="85"/>
      <c r="CM152" s="85"/>
      <c r="CN152" s="85"/>
      <c r="CP152" s="81"/>
      <c r="CQ152" s="30"/>
      <c r="CR152" s="30"/>
      <c r="CT152" s="30"/>
      <c r="CU152" s="30"/>
      <c r="CV152" s="30"/>
      <c r="CW152" s="30"/>
      <c r="CX152" s="30"/>
      <c r="CY152" s="30"/>
      <c r="CZ152" s="30"/>
      <c r="DA152" s="85"/>
      <c r="DB152" s="85"/>
      <c r="DC152" s="85"/>
      <c r="DE152" s="81"/>
      <c r="DF152" s="30"/>
      <c r="DG152" s="30"/>
      <c r="DI152" s="30"/>
      <c r="DJ152" s="30"/>
      <c r="DK152" s="30"/>
      <c r="DL152" s="30"/>
      <c r="DM152" s="30"/>
      <c r="DN152" s="30"/>
      <c r="DO152" s="30"/>
      <c r="DP152" s="85"/>
      <c r="DQ152" s="85"/>
      <c r="DR152" s="85"/>
      <c r="DT152" s="81"/>
      <c r="DU152" s="30"/>
      <c r="DV152" s="30"/>
      <c r="DX152" s="30"/>
      <c r="DY152" s="30"/>
      <c r="DZ152" s="30"/>
      <c r="EA152" s="30"/>
      <c r="EB152" s="30"/>
      <c r="EC152" s="30"/>
      <c r="ED152" s="30"/>
      <c r="EE152" s="85"/>
      <c r="EF152" s="85"/>
      <c r="EG152" s="85"/>
      <c r="EI152" s="81"/>
      <c r="EJ152" s="30"/>
      <c r="EK152" s="30"/>
      <c r="EM152" s="30"/>
      <c r="EN152" s="30"/>
      <c r="EO152" s="30"/>
      <c r="EP152" s="30"/>
      <c r="EQ152" s="30"/>
      <c r="ER152" s="30"/>
      <c r="ES152" s="30"/>
      <c r="ET152" s="85"/>
      <c r="EU152" s="85"/>
      <c r="EV152" s="85"/>
    </row>
    <row r="153" spans="2:152">
      <c r="B153" s="11">
        <v>0.28000000000000003</v>
      </c>
      <c r="C153" s="16"/>
      <c r="D153" s="16"/>
      <c r="E153" s="8"/>
      <c r="F153" s="27">
        <f t="shared" si="30"/>
        <v>-11.254859909794432</v>
      </c>
      <c r="G153" s="27">
        <f t="shared" si="31"/>
        <v>-0.59997250202056485</v>
      </c>
      <c r="H153" s="27">
        <f t="shared" si="32"/>
        <v>-4.7004065163317593E-3</v>
      </c>
      <c r="I153" s="27">
        <f t="shared" si="33"/>
        <v>128.64268365638912</v>
      </c>
      <c r="J153" s="27">
        <f t="shared" si="34"/>
        <v>-4.2535620540864398E-2</v>
      </c>
      <c r="K153" s="27">
        <f t="shared" si="35"/>
        <v>0.81334723793245922</v>
      </c>
      <c r="L153" s="27">
        <f t="shared" si="36"/>
        <v>2.1007506888463636</v>
      </c>
      <c r="M153" s="17">
        <f t="shared" si="37"/>
        <v>0.26032547479295465</v>
      </c>
      <c r="N153" s="17">
        <f t="shared" si="38"/>
        <v>0.26032547479295465</v>
      </c>
      <c r="O153" s="17">
        <f t="shared" si="39"/>
        <v>0.26032547479295465</v>
      </c>
      <c r="P153" s="17">
        <f>IF(ISERROR(O153),0,IF('R-AFC ISOTOPE'!$G$7='R-AFC ISOTOPE_CONTROL'!B153,'R-AFC ISOTOPE_CONTROL'!O153,0))</f>
        <v>0</v>
      </c>
      <c r="S153" s="81"/>
      <c r="T153" s="30"/>
      <c r="U153" s="30"/>
      <c r="W153" s="30"/>
      <c r="X153" s="30"/>
      <c r="Y153" s="30"/>
      <c r="Z153" s="30"/>
      <c r="AA153" s="30"/>
      <c r="AB153" s="30"/>
      <c r="AC153" s="30"/>
      <c r="AD153" s="85"/>
      <c r="AE153" s="85"/>
      <c r="AF153" s="85"/>
      <c r="AH153" s="81"/>
      <c r="AI153" s="30"/>
      <c r="AJ153" s="30"/>
      <c r="AL153" s="30"/>
      <c r="AM153" s="30"/>
      <c r="AN153" s="30"/>
      <c r="AO153" s="30"/>
      <c r="AP153" s="30"/>
      <c r="AQ153" s="30"/>
      <c r="AR153" s="30"/>
      <c r="AS153" s="85"/>
      <c r="AT153" s="85"/>
      <c r="AU153" s="85"/>
      <c r="AW153" s="81"/>
      <c r="AX153" s="30"/>
      <c r="AY153" s="30"/>
      <c r="BA153" s="30"/>
      <c r="BB153" s="30"/>
      <c r="BC153" s="30"/>
      <c r="BD153" s="30"/>
      <c r="BE153" s="30"/>
      <c r="BF153" s="30"/>
      <c r="BG153" s="30"/>
      <c r="BH153" s="85"/>
      <c r="BI153" s="85"/>
      <c r="BJ153" s="85"/>
      <c r="BL153" s="81"/>
      <c r="BM153" s="30"/>
      <c r="BN153" s="30"/>
      <c r="BP153" s="30"/>
      <c r="BQ153" s="30"/>
      <c r="BR153" s="30"/>
      <c r="BS153" s="30"/>
      <c r="BT153" s="30"/>
      <c r="BU153" s="30"/>
      <c r="BV153" s="30"/>
      <c r="BW153" s="85"/>
      <c r="BX153" s="85"/>
      <c r="BY153" s="85"/>
      <c r="CA153" s="81"/>
      <c r="CB153" s="30"/>
      <c r="CC153" s="30"/>
      <c r="CE153" s="30"/>
      <c r="CF153" s="30"/>
      <c r="CG153" s="30"/>
      <c r="CH153" s="30"/>
      <c r="CI153" s="30"/>
      <c r="CJ153" s="30"/>
      <c r="CK153" s="30"/>
      <c r="CL153" s="85"/>
      <c r="CM153" s="85"/>
      <c r="CN153" s="85"/>
      <c r="CP153" s="81"/>
      <c r="CQ153" s="30"/>
      <c r="CR153" s="30"/>
      <c r="CT153" s="30"/>
      <c r="CU153" s="30"/>
      <c r="CV153" s="30"/>
      <c r="CW153" s="30"/>
      <c r="CX153" s="30"/>
      <c r="CY153" s="30"/>
      <c r="CZ153" s="30"/>
      <c r="DA153" s="85"/>
      <c r="DB153" s="85"/>
      <c r="DC153" s="85"/>
      <c r="DE153" s="81"/>
      <c r="DF153" s="30"/>
      <c r="DG153" s="30"/>
      <c r="DI153" s="30"/>
      <c r="DJ153" s="30"/>
      <c r="DK153" s="30"/>
      <c r="DL153" s="30"/>
      <c r="DM153" s="30"/>
      <c r="DN153" s="30"/>
      <c r="DO153" s="30"/>
      <c r="DP153" s="85"/>
      <c r="DQ153" s="85"/>
      <c r="DR153" s="85"/>
      <c r="DT153" s="81"/>
      <c r="DU153" s="30"/>
      <c r="DV153" s="30"/>
      <c r="DX153" s="30"/>
      <c r="DY153" s="30"/>
      <c r="DZ153" s="30"/>
      <c r="EA153" s="30"/>
      <c r="EB153" s="30"/>
      <c r="EC153" s="30"/>
      <c r="ED153" s="30"/>
      <c r="EE153" s="85"/>
      <c r="EF153" s="85"/>
      <c r="EG153" s="85"/>
      <c r="EI153" s="81"/>
      <c r="EJ153" s="30"/>
      <c r="EK153" s="30"/>
      <c r="EM153" s="30"/>
      <c r="EN153" s="30"/>
      <c r="EO153" s="30"/>
      <c r="EP153" s="30"/>
      <c r="EQ153" s="30"/>
      <c r="ER153" s="30"/>
      <c r="ES153" s="30"/>
      <c r="ET153" s="85"/>
      <c r="EU153" s="85"/>
      <c r="EV153" s="85"/>
    </row>
    <row r="154" spans="2:152">
      <c r="B154" s="11">
        <v>0.28999999999999998</v>
      </c>
      <c r="C154" s="16"/>
      <c r="D154" s="16"/>
      <c r="E154" s="8"/>
      <c r="F154" s="27">
        <f t="shared" si="30"/>
        <v>-19.491681504351636</v>
      </c>
      <c r="G154" s="27">
        <f t="shared" si="31"/>
        <v>-0.61023058437924649</v>
      </c>
      <c r="H154" s="27">
        <f t="shared" si="32"/>
        <v>-4.8682781776293212E-3</v>
      </c>
      <c r="I154" s="27">
        <f t="shared" si="33"/>
        <v>126.34833921023123</v>
      </c>
      <c r="J154" s="27">
        <f t="shared" si="34"/>
        <v>-2.5010415264163532E-2</v>
      </c>
      <c r="K154" s="27">
        <f t="shared" si="35"/>
        <v>0.88601050911602941</v>
      </c>
      <c r="L154" s="27">
        <f t="shared" si="36"/>
        <v>2.2218468511535487</v>
      </c>
      <c r="M154" s="17">
        <f t="shared" si="37"/>
        <v>0.26622310960984513</v>
      </c>
      <c r="N154" s="17">
        <f t="shared" si="38"/>
        <v>0.26622310960984513</v>
      </c>
      <c r="O154" s="17">
        <f t="shared" si="39"/>
        <v>0.26622310960984513</v>
      </c>
      <c r="P154" s="17">
        <f>IF(ISERROR(O154),0,IF('R-AFC ISOTOPE'!$G$7='R-AFC ISOTOPE_CONTROL'!B154,'R-AFC ISOTOPE_CONTROL'!O154,0))</f>
        <v>0</v>
      </c>
      <c r="S154" s="81"/>
      <c r="T154" s="30"/>
      <c r="U154" s="30"/>
      <c r="W154" s="30"/>
      <c r="X154" s="30"/>
      <c r="Y154" s="30"/>
      <c r="Z154" s="30"/>
      <c r="AA154" s="30"/>
      <c r="AB154" s="30"/>
      <c r="AC154" s="30"/>
      <c r="AD154" s="85"/>
      <c r="AE154" s="85"/>
      <c r="AF154" s="85"/>
      <c r="AH154" s="81"/>
      <c r="AI154" s="30"/>
      <c r="AJ154" s="30"/>
      <c r="AL154" s="30"/>
      <c r="AM154" s="30"/>
      <c r="AN154" s="30"/>
      <c r="AO154" s="30"/>
      <c r="AP154" s="30"/>
      <c r="AQ154" s="30"/>
      <c r="AR154" s="30"/>
      <c r="AS154" s="85"/>
      <c r="AT154" s="85"/>
      <c r="AU154" s="85"/>
      <c r="AW154" s="81"/>
      <c r="AX154" s="30"/>
      <c r="AY154" s="30"/>
      <c r="BA154" s="30"/>
      <c r="BB154" s="30"/>
      <c r="BC154" s="30"/>
      <c r="BD154" s="30"/>
      <c r="BE154" s="30"/>
      <c r="BF154" s="30"/>
      <c r="BG154" s="30"/>
      <c r="BH154" s="85"/>
      <c r="BI154" s="85"/>
      <c r="BJ154" s="85"/>
      <c r="BL154" s="81"/>
      <c r="BM154" s="30"/>
      <c r="BN154" s="30"/>
      <c r="BP154" s="30"/>
      <c r="BQ154" s="30"/>
      <c r="BR154" s="30"/>
      <c r="BS154" s="30"/>
      <c r="BT154" s="30"/>
      <c r="BU154" s="30"/>
      <c r="BV154" s="30"/>
      <c r="BW154" s="85"/>
      <c r="BX154" s="85"/>
      <c r="BY154" s="85"/>
      <c r="CA154" s="81"/>
      <c r="CB154" s="30"/>
      <c r="CC154" s="30"/>
      <c r="CE154" s="30"/>
      <c r="CF154" s="30"/>
      <c r="CG154" s="30"/>
      <c r="CH154" s="30"/>
      <c r="CI154" s="30"/>
      <c r="CJ154" s="30"/>
      <c r="CK154" s="30"/>
      <c r="CL154" s="85"/>
      <c r="CM154" s="85"/>
      <c r="CN154" s="85"/>
      <c r="CP154" s="81"/>
      <c r="CQ154" s="30"/>
      <c r="CR154" s="30"/>
      <c r="CT154" s="30"/>
      <c r="CU154" s="30"/>
      <c r="CV154" s="30"/>
      <c r="CW154" s="30"/>
      <c r="CX154" s="30"/>
      <c r="CY154" s="30"/>
      <c r="CZ154" s="30"/>
      <c r="DA154" s="85"/>
      <c r="DB154" s="85"/>
      <c r="DC154" s="85"/>
      <c r="DE154" s="81"/>
      <c r="DF154" s="30"/>
      <c r="DG154" s="30"/>
      <c r="DI154" s="30"/>
      <c r="DJ154" s="30"/>
      <c r="DK154" s="30"/>
      <c r="DL154" s="30"/>
      <c r="DM154" s="30"/>
      <c r="DN154" s="30"/>
      <c r="DO154" s="30"/>
      <c r="DP154" s="85"/>
      <c r="DQ154" s="85"/>
      <c r="DR154" s="85"/>
      <c r="DT154" s="81"/>
      <c r="DU154" s="30"/>
      <c r="DV154" s="30"/>
      <c r="DX154" s="30"/>
      <c r="DY154" s="30"/>
      <c r="DZ154" s="30"/>
      <c r="EA154" s="30"/>
      <c r="EB154" s="30"/>
      <c r="EC154" s="30"/>
      <c r="ED154" s="30"/>
      <c r="EE154" s="85"/>
      <c r="EF154" s="85"/>
      <c r="EG154" s="85"/>
      <c r="EI154" s="81"/>
      <c r="EJ154" s="30"/>
      <c r="EK154" s="30"/>
      <c r="EM154" s="30"/>
      <c r="EN154" s="30"/>
      <c r="EO154" s="30"/>
      <c r="EP154" s="30"/>
      <c r="EQ154" s="30"/>
      <c r="ER154" s="30"/>
      <c r="ES154" s="30"/>
      <c r="ET154" s="85"/>
      <c r="EU154" s="85"/>
      <c r="EV154" s="85"/>
    </row>
    <row r="155" spans="2:152">
      <c r="B155" s="11">
        <v>0.3</v>
      </c>
      <c r="C155" s="16"/>
      <c r="D155" s="16"/>
      <c r="E155" s="8"/>
      <c r="F155" s="27">
        <f t="shared" si="30"/>
        <v>-61.498828146971505</v>
      </c>
      <c r="G155" s="27">
        <f t="shared" si="31"/>
        <v>-0.62048866673792824</v>
      </c>
      <c r="H155" s="27">
        <f t="shared" si="32"/>
        <v>-5.0361498389268839E-3</v>
      </c>
      <c r="I155" s="27">
        <f t="shared" si="33"/>
        <v>124.20695106048386</v>
      </c>
      <c r="J155" s="27">
        <f t="shared" si="34"/>
        <v>-8.0646726230214714E-3</v>
      </c>
      <c r="K155" s="27">
        <f t="shared" si="35"/>
        <v>0.96185896876837984</v>
      </c>
      <c r="L155" s="27">
        <f t="shared" si="36"/>
        <v>2.345628725061681</v>
      </c>
      <c r="M155" s="17">
        <f t="shared" si="37"/>
        <v>0.27186144287385194</v>
      </c>
      <c r="N155" s="17">
        <f t="shared" si="38"/>
        <v>0.27186144287385194</v>
      </c>
      <c r="O155" s="17">
        <f t="shared" si="39"/>
        <v>0.27186144287385194</v>
      </c>
      <c r="P155" s="17">
        <f>IF(ISERROR(O155),0,IF('R-AFC ISOTOPE'!$G$7='R-AFC ISOTOPE_CONTROL'!B155,'R-AFC ISOTOPE_CONTROL'!O155,0))</f>
        <v>0</v>
      </c>
      <c r="S155" s="81"/>
      <c r="T155" s="30"/>
      <c r="U155" s="30"/>
      <c r="W155" s="30"/>
      <c r="X155" s="30"/>
      <c r="Y155" s="30"/>
      <c r="Z155" s="30"/>
      <c r="AA155" s="30"/>
      <c r="AB155" s="30"/>
      <c r="AC155" s="30"/>
      <c r="AD155" s="85"/>
      <c r="AE155" s="85"/>
      <c r="AF155" s="85"/>
      <c r="AH155" s="81"/>
      <c r="AI155" s="30"/>
      <c r="AJ155" s="30"/>
      <c r="AL155" s="30"/>
      <c r="AM155" s="30"/>
      <c r="AN155" s="30"/>
      <c r="AO155" s="30"/>
      <c r="AP155" s="30"/>
      <c r="AQ155" s="30"/>
      <c r="AR155" s="30"/>
      <c r="AS155" s="85"/>
      <c r="AT155" s="85"/>
      <c r="AU155" s="85"/>
      <c r="AW155" s="81"/>
      <c r="AX155" s="30"/>
      <c r="AY155" s="30"/>
      <c r="BA155" s="30"/>
      <c r="BB155" s="30"/>
      <c r="BC155" s="30"/>
      <c r="BD155" s="30"/>
      <c r="BE155" s="30"/>
      <c r="BF155" s="30"/>
      <c r="BG155" s="30"/>
      <c r="BH155" s="85"/>
      <c r="BI155" s="85"/>
      <c r="BJ155" s="85"/>
      <c r="BL155" s="81"/>
      <c r="BM155" s="30"/>
      <c r="BN155" s="30"/>
      <c r="BP155" s="30"/>
      <c r="BQ155" s="30"/>
      <c r="BR155" s="30"/>
      <c r="BS155" s="30"/>
      <c r="BT155" s="30"/>
      <c r="BU155" s="30"/>
      <c r="BV155" s="30"/>
      <c r="BW155" s="85"/>
      <c r="BX155" s="85"/>
      <c r="BY155" s="85"/>
      <c r="CA155" s="81"/>
      <c r="CB155" s="30"/>
      <c r="CC155" s="30"/>
      <c r="CE155" s="30"/>
      <c r="CF155" s="30"/>
      <c r="CG155" s="30"/>
      <c r="CH155" s="30"/>
      <c r="CI155" s="30"/>
      <c r="CJ155" s="30"/>
      <c r="CK155" s="30"/>
      <c r="CL155" s="85"/>
      <c r="CM155" s="85"/>
      <c r="CN155" s="85"/>
      <c r="CP155" s="81"/>
      <c r="CQ155" s="30"/>
      <c r="CR155" s="30"/>
      <c r="CT155" s="30"/>
      <c r="CU155" s="30"/>
      <c r="CV155" s="30"/>
      <c r="CW155" s="30"/>
      <c r="CX155" s="30"/>
      <c r="CY155" s="30"/>
      <c r="CZ155" s="30"/>
      <c r="DA155" s="85"/>
      <c r="DB155" s="85"/>
      <c r="DC155" s="85"/>
      <c r="DE155" s="81"/>
      <c r="DF155" s="30"/>
      <c r="DG155" s="30"/>
      <c r="DI155" s="30"/>
      <c r="DJ155" s="30"/>
      <c r="DK155" s="30"/>
      <c r="DL155" s="30"/>
      <c r="DM155" s="30"/>
      <c r="DN155" s="30"/>
      <c r="DO155" s="30"/>
      <c r="DP155" s="85"/>
      <c r="DQ155" s="85"/>
      <c r="DR155" s="85"/>
      <c r="DT155" s="81"/>
      <c r="DU155" s="30"/>
      <c r="DV155" s="30"/>
      <c r="DX155" s="30"/>
      <c r="DY155" s="30"/>
      <c r="DZ155" s="30"/>
      <c r="EA155" s="30"/>
      <c r="EB155" s="30"/>
      <c r="EC155" s="30"/>
      <c r="ED155" s="30"/>
      <c r="EE155" s="85"/>
      <c r="EF155" s="85"/>
      <c r="EG155" s="85"/>
      <c r="EI155" s="81"/>
      <c r="EJ155" s="30"/>
      <c r="EK155" s="30"/>
      <c r="EM155" s="30"/>
      <c r="EN155" s="30"/>
      <c r="EO155" s="30"/>
      <c r="EP155" s="30"/>
      <c r="EQ155" s="30"/>
      <c r="ER155" s="30"/>
      <c r="ES155" s="30"/>
      <c r="ET155" s="85"/>
      <c r="EU155" s="85"/>
      <c r="EV155" s="85"/>
    </row>
    <row r="156" spans="2:152">
      <c r="B156" s="11">
        <v>0.31</v>
      </c>
      <c r="C156" s="16"/>
      <c r="D156" s="16"/>
      <c r="E156" s="8"/>
      <c r="F156" s="27">
        <f t="shared" si="30"/>
        <v>60.524907900086916</v>
      </c>
      <c r="G156" s="27">
        <f t="shared" si="31"/>
        <v>-0.63074674909660988</v>
      </c>
      <c r="H156" s="27">
        <f t="shared" si="32"/>
        <v>-5.2040215002244474E-3</v>
      </c>
      <c r="I156" s="27">
        <f t="shared" si="33"/>
        <v>122.20371698491368</v>
      </c>
      <c r="J156" s="27">
        <f t="shared" si="34"/>
        <v>8.3298794685352628E-3</v>
      </c>
      <c r="K156" s="27">
        <f t="shared" si="35"/>
        <v>1.0408428462236425</v>
      </c>
      <c r="L156" s="27">
        <f t="shared" si="36"/>
        <v>2.4720095060633773</v>
      </c>
      <c r="M156" s="17">
        <f t="shared" si="37"/>
        <v>0.27724989901616937</v>
      </c>
      <c r="N156" s="17">
        <f t="shared" si="38"/>
        <v>0.27724989901616937</v>
      </c>
      <c r="O156" s="17">
        <f t="shared" si="39"/>
        <v>0.27724989901616937</v>
      </c>
      <c r="P156" s="17">
        <f>IF(ISERROR(O156),0,IF('R-AFC ISOTOPE'!$G$7='R-AFC ISOTOPE_CONTROL'!B156,'R-AFC ISOTOPE_CONTROL'!O156,0))</f>
        <v>0</v>
      </c>
      <c r="S156" s="81"/>
      <c r="T156" s="30"/>
      <c r="U156" s="30"/>
      <c r="W156" s="30"/>
      <c r="X156" s="30"/>
      <c r="Y156" s="30"/>
      <c r="Z156" s="30"/>
      <c r="AA156" s="30"/>
      <c r="AB156" s="30"/>
      <c r="AC156" s="30"/>
      <c r="AD156" s="85"/>
      <c r="AE156" s="85"/>
      <c r="AF156" s="85"/>
      <c r="AH156" s="81"/>
      <c r="AI156" s="30"/>
      <c r="AJ156" s="30"/>
      <c r="AL156" s="30"/>
      <c r="AM156" s="30"/>
      <c r="AN156" s="30"/>
      <c r="AO156" s="30"/>
      <c r="AP156" s="30"/>
      <c r="AQ156" s="30"/>
      <c r="AR156" s="30"/>
      <c r="AS156" s="85"/>
      <c r="AT156" s="85"/>
      <c r="AU156" s="85"/>
      <c r="AW156" s="81"/>
      <c r="AX156" s="30"/>
      <c r="AY156" s="30"/>
      <c r="BA156" s="30"/>
      <c r="BB156" s="30"/>
      <c r="BC156" s="30"/>
      <c r="BD156" s="30"/>
      <c r="BE156" s="30"/>
      <c r="BF156" s="30"/>
      <c r="BG156" s="30"/>
      <c r="BH156" s="85"/>
      <c r="BI156" s="85"/>
      <c r="BJ156" s="85"/>
      <c r="BL156" s="81"/>
      <c r="BM156" s="30"/>
      <c r="BN156" s="30"/>
      <c r="BP156" s="30"/>
      <c r="BQ156" s="30"/>
      <c r="BR156" s="30"/>
      <c r="BS156" s="30"/>
      <c r="BT156" s="30"/>
      <c r="BU156" s="30"/>
      <c r="BV156" s="30"/>
      <c r="BW156" s="85"/>
      <c r="BX156" s="85"/>
      <c r="BY156" s="85"/>
      <c r="CA156" s="81"/>
      <c r="CB156" s="30"/>
      <c r="CC156" s="30"/>
      <c r="CE156" s="30"/>
      <c r="CF156" s="30"/>
      <c r="CG156" s="30"/>
      <c r="CH156" s="30"/>
      <c r="CI156" s="30"/>
      <c r="CJ156" s="30"/>
      <c r="CK156" s="30"/>
      <c r="CL156" s="85"/>
      <c r="CM156" s="85"/>
      <c r="CN156" s="85"/>
      <c r="CP156" s="81"/>
      <c r="CQ156" s="30"/>
      <c r="CR156" s="30"/>
      <c r="CT156" s="30"/>
      <c r="CU156" s="30"/>
      <c r="CV156" s="30"/>
      <c r="CW156" s="30"/>
      <c r="CX156" s="30"/>
      <c r="CY156" s="30"/>
      <c r="CZ156" s="30"/>
      <c r="DA156" s="85"/>
      <c r="DB156" s="85"/>
      <c r="DC156" s="85"/>
      <c r="DE156" s="81"/>
      <c r="DF156" s="30"/>
      <c r="DG156" s="30"/>
      <c r="DI156" s="30"/>
      <c r="DJ156" s="30"/>
      <c r="DK156" s="30"/>
      <c r="DL156" s="30"/>
      <c r="DM156" s="30"/>
      <c r="DN156" s="30"/>
      <c r="DO156" s="30"/>
      <c r="DP156" s="85"/>
      <c r="DQ156" s="85"/>
      <c r="DR156" s="85"/>
      <c r="DT156" s="81"/>
      <c r="DU156" s="30"/>
      <c r="DV156" s="30"/>
      <c r="DX156" s="30"/>
      <c r="DY156" s="30"/>
      <c r="DZ156" s="30"/>
      <c r="EA156" s="30"/>
      <c r="EB156" s="30"/>
      <c r="EC156" s="30"/>
      <c r="ED156" s="30"/>
      <c r="EE156" s="85"/>
      <c r="EF156" s="85"/>
      <c r="EG156" s="85"/>
      <c r="EI156" s="81"/>
      <c r="EJ156" s="30"/>
      <c r="EK156" s="30"/>
      <c r="EM156" s="30"/>
      <c r="EN156" s="30"/>
      <c r="EO156" s="30"/>
      <c r="EP156" s="30"/>
      <c r="EQ156" s="30"/>
      <c r="ER156" s="30"/>
      <c r="ES156" s="30"/>
      <c r="ET156" s="85"/>
      <c r="EU156" s="85"/>
      <c r="EV156" s="85"/>
    </row>
    <row r="157" spans="2:152">
      <c r="B157" s="11">
        <v>0.32</v>
      </c>
      <c r="C157" s="16"/>
      <c r="D157" s="16"/>
      <c r="E157" s="8"/>
      <c r="F157" s="27">
        <f t="shared" si="30"/>
        <v>21.161420396260699</v>
      </c>
      <c r="G157" s="27">
        <f t="shared" si="31"/>
        <v>-0.64100483145529152</v>
      </c>
      <c r="H157" s="27">
        <f t="shared" si="32"/>
        <v>-5.3718931615220102E-3</v>
      </c>
      <c r="I157" s="27">
        <f t="shared" si="33"/>
        <v>120.32568503906668</v>
      </c>
      <c r="J157" s="27">
        <f t="shared" si="34"/>
        <v>2.4199703329238979E-2</v>
      </c>
      <c r="K157" s="27">
        <f t="shared" si="35"/>
        <v>1.1229076866297649</v>
      </c>
      <c r="L157" s="27">
        <f t="shared" si="36"/>
        <v>2.6009012267043259</v>
      </c>
      <c r="M157" s="17">
        <f t="shared" si="37"/>
        <v>0.28239812910467399</v>
      </c>
      <c r="N157" s="17">
        <f t="shared" si="38"/>
        <v>0.28239812910467399</v>
      </c>
      <c r="O157" s="17">
        <f t="shared" si="39"/>
        <v>0.28239812910467399</v>
      </c>
      <c r="P157" s="17">
        <f>IF(ISERROR(O157),0,IF('R-AFC ISOTOPE'!$G$7='R-AFC ISOTOPE_CONTROL'!B157,'R-AFC ISOTOPE_CONTROL'!O157,0))</f>
        <v>0</v>
      </c>
      <c r="S157" s="81"/>
      <c r="T157" s="30"/>
      <c r="U157" s="30"/>
      <c r="W157" s="30"/>
      <c r="X157" s="30"/>
      <c r="Y157" s="30"/>
      <c r="Z157" s="30"/>
      <c r="AA157" s="30"/>
      <c r="AB157" s="30"/>
      <c r="AC157" s="30"/>
      <c r="AD157" s="85"/>
      <c r="AE157" s="85"/>
      <c r="AF157" s="85"/>
      <c r="AH157" s="81"/>
      <c r="AI157" s="30"/>
      <c r="AJ157" s="30"/>
      <c r="AL157" s="30"/>
      <c r="AM157" s="30"/>
      <c r="AN157" s="30"/>
      <c r="AO157" s="30"/>
      <c r="AP157" s="30"/>
      <c r="AQ157" s="30"/>
      <c r="AR157" s="30"/>
      <c r="AS157" s="85"/>
      <c r="AT157" s="85"/>
      <c r="AU157" s="85"/>
      <c r="AW157" s="81"/>
      <c r="AX157" s="30"/>
      <c r="AY157" s="30"/>
      <c r="BA157" s="30"/>
      <c r="BB157" s="30"/>
      <c r="BC157" s="30"/>
      <c r="BD157" s="30"/>
      <c r="BE157" s="30"/>
      <c r="BF157" s="30"/>
      <c r="BG157" s="30"/>
      <c r="BH157" s="85"/>
      <c r="BI157" s="85"/>
      <c r="BJ157" s="85"/>
      <c r="BL157" s="81"/>
      <c r="BM157" s="30"/>
      <c r="BN157" s="30"/>
      <c r="BP157" s="30"/>
      <c r="BQ157" s="30"/>
      <c r="BR157" s="30"/>
      <c r="BS157" s="30"/>
      <c r="BT157" s="30"/>
      <c r="BU157" s="30"/>
      <c r="BV157" s="30"/>
      <c r="BW157" s="85"/>
      <c r="BX157" s="85"/>
      <c r="BY157" s="85"/>
      <c r="CA157" s="81"/>
      <c r="CB157" s="30"/>
      <c r="CC157" s="30"/>
      <c r="CE157" s="30"/>
      <c r="CF157" s="30"/>
      <c r="CG157" s="30"/>
      <c r="CH157" s="30"/>
      <c r="CI157" s="30"/>
      <c r="CJ157" s="30"/>
      <c r="CK157" s="30"/>
      <c r="CL157" s="85"/>
      <c r="CM157" s="85"/>
      <c r="CN157" s="85"/>
      <c r="CP157" s="81"/>
      <c r="CQ157" s="30"/>
      <c r="CR157" s="30"/>
      <c r="CT157" s="30"/>
      <c r="CU157" s="30"/>
      <c r="CV157" s="30"/>
      <c r="CW157" s="30"/>
      <c r="CX157" s="30"/>
      <c r="CY157" s="30"/>
      <c r="CZ157" s="30"/>
      <c r="DA157" s="85"/>
      <c r="DB157" s="85"/>
      <c r="DC157" s="85"/>
      <c r="DE157" s="81"/>
      <c r="DF157" s="30"/>
      <c r="DG157" s="30"/>
      <c r="DI157" s="30"/>
      <c r="DJ157" s="30"/>
      <c r="DK157" s="30"/>
      <c r="DL157" s="30"/>
      <c r="DM157" s="30"/>
      <c r="DN157" s="30"/>
      <c r="DO157" s="30"/>
      <c r="DP157" s="85"/>
      <c r="DQ157" s="85"/>
      <c r="DR157" s="85"/>
      <c r="DT157" s="81"/>
      <c r="DU157" s="30"/>
      <c r="DV157" s="30"/>
      <c r="DX157" s="30"/>
      <c r="DY157" s="30"/>
      <c r="DZ157" s="30"/>
      <c r="EA157" s="30"/>
      <c r="EB157" s="30"/>
      <c r="EC157" s="30"/>
      <c r="ED157" s="30"/>
      <c r="EE157" s="85"/>
      <c r="EF157" s="85"/>
      <c r="EG157" s="85"/>
      <c r="EI157" s="81"/>
      <c r="EJ157" s="30"/>
      <c r="EK157" s="30"/>
      <c r="EM157" s="30"/>
      <c r="EN157" s="30"/>
      <c r="EO157" s="30"/>
      <c r="EP157" s="30"/>
      <c r="EQ157" s="30"/>
      <c r="ER157" s="30"/>
      <c r="ES157" s="30"/>
      <c r="ET157" s="85"/>
      <c r="EU157" s="85"/>
      <c r="EV157" s="85"/>
    </row>
    <row r="158" spans="2:152">
      <c r="B158" s="11">
        <v>0.33</v>
      </c>
      <c r="C158" s="16"/>
      <c r="D158" s="16"/>
      <c r="E158" s="8"/>
      <c r="F158" s="27">
        <f t="shared" si="30"/>
        <v>13.135970932893294</v>
      </c>
      <c r="G158" s="27">
        <f t="shared" si="31"/>
        <v>-0.65126291381397328</v>
      </c>
      <c r="H158" s="27">
        <f t="shared" si="32"/>
        <v>-5.5397648228195729E-3</v>
      </c>
      <c r="I158" s="27">
        <f t="shared" si="33"/>
        <v>118.5614732111498</v>
      </c>
      <c r="J158" s="27">
        <f t="shared" si="34"/>
        <v>3.9569594039358488E-2</v>
      </c>
      <c r="K158" s="27">
        <f t="shared" si="35"/>
        <v>1.2079949140422042</v>
      </c>
      <c r="L158" s="27">
        <f t="shared" si="36"/>
        <v>2.7322151450480332</v>
      </c>
      <c r="M158" s="17">
        <f t="shared" si="37"/>
        <v>0.28731588734274477</v>
      </c>
      <c r="N158" s="17">
        <f t="shared" si="38"/>
        <v>0.28731588734274477</v>
      </c>
      <c r="O158" s="17">
        <f t="shared" si="39"/>
        <v>0.28731588734274477</v>
      </c>
      <c r="P158" s="17">
        <f>IF(ISERROR(O158),0,IF('R-AFC ISOTOPE'!$G$7='R-AFC ISOTOPE_CONTROL'!B158,'R-AFC ISOTOPE_CONTROL'!O158,0))</f>
        <v>0</v>
      </c>
      <c r="S158" s="81"/>
      <c r="T158" s="30"/>
      <c r="U158" s="30"/>
      <c r="W158" s="30"/>
      <c r="X158" s="30"/>
      <c r="Y158" s="30"/>
      <c r="Z158" s="30"/>
      <c r="AA158" s="30"/>
      <c r="AB158" s="30"/>
      <c r="AC158" s="30"/>
      <c r="AD158" s="85"/>
      <c r="AE158" s="85"/>
      <c r="AF158" s="85"/>
      <c r="AH158" s="81"/>
      <c r="AI158" s="30"/>
      <c r="AJ158" s="30"/>
      <c r="AL158" s="30"/>
      <c r="AM158" s="30"/>
      <c r="AN158" s="30"/>
      <c r="AO158" s="30"/>
      <c r="AP158" s="30"/>
      <c r="AQ158" s="30"/>
      <c r="AR158" s="30"/>
      <c r="AS158" s="85"/>
      <c r="AT158" s="85"/>
      <c r="AU158" s="85"/>
      <c r="AW158" s="81"/>
      <c r="AX158" s="30"/>
      <c r="AY158" s="30"/>
      <c r="BA158" s="30"/>
      <c r="BB158" s="30"/>
      <c r="BC158" s="30"/>
      <c r="BD158" s="30"/>
      <c r="BE158" s="30"/>
      <c r="BF158" s="30"/>
      <c r="BG158" s="30"/>
      <c r="BH158" s="85"/>
      <c r="BI158" s="85"/>
      <c r="BJ158" s="85"/>
      <c r="BL158" s="81"/>
      <c r="BM158" s="30"/>
      <c r="BN158" s="30"/>
      <c r="BP158" s="30"/>
      <c r="BQ158" s="30"/>
      <c r="BR158" s="30"/>
      <c r="BS158" s="30"/>
      <c r="BT158" s="30"/>
      <c r="BU158" s="30"/>
      <c r="BV158" s="30"/>
      <c r="BW158" s="85"/>
      <c r="BX158" s="85"/>
      <c r="BY158" s="85"/>
      <c r="CA158" s="81"/>
      <c r="CB158" s="30"/>
      <c r="CC158" s="30"/>
      <c r="CE158" s="30"/>
      <c r="CF158" s="30"/>
      <c r="CG158" s="30"/>
      <c r="CH158" s="30"/>
      <c r="CI158" s="30"/>
      <c r="CJ158" s="30"/>
      <c r="CK158" s="30"/>
      <c r="CL158" s="85"/>
      <c r="CM158" s="85"/>
      <c r="CN158" s="85"/>
      <c r="CP158" s="81"/>
      <c r="CQ158" s="30"/>
      <c r="CR158" s="30"/>
      <c r="CT158" s="30"/>
      <c r="CU158" s="30"/>
      <c r="CV158" s="30"/>
      <c r="CW158" s="30"/>
      <c r="CX158" s="30"/>
      <c r="CY158" s="30"/>
      <c r="CZ158" s="30"/>
      <c r="DA158" s="85"/>
      <c r="DB158" s="85"/>
      <c r="DC158" s="85"/>
      <c r="DE158" s="81"/>
      <c r="DF158" s="30"/>
      <c r="DG158" s="30"/>
      <c r="DI158" s="30"/>
      <c r="DJ158" s="30"/>
      <c r="DK158" s="30"/>
      <c r="DL158" s="30"/>
      <c r="DM158" s="30"/>
      <c r="DN158" s="30"/>
      <c r="DO158" s="30"/>
      <c r="DP158" s="85"/>
      <c r="DQ158" s="85"/>
      <c r="DR158" s="85"/>
      <c r="DT158" s="81"/>
      <c r="DU158" s="30"/>
      <c r="DV158" s="30"/>
      <c r="DX158" s="30"/>
      <c r="DY158" s="30"/>
      <c r="DZ158" s="30"/>
      <c r="EA158" s="30"/>
      <c r="EB158" s="30"/>
      <c r="EC158" s="30"/>
      <c r="ED158" s="30"/>
      <c r="EE158" s="85"/>
      <c r="EF158" s="85"/>
      <c r="EG158" s="85"/>
      <c r="EI158" s="81"/>
      <c r="EJ158" s="30"/>
      <c r="EK158" s="30"/>
      <c r="EM158" s="30"/>
      <c r="EN158" s="30"/>
      <c r="EO158" s="30"/>
      <c r="EP158" s="30"/>
      <c r="EQ158" s="30"/>
      <c r="ER158" s="30"/>
      <c r="ES158" s="30"/>
      <c r="ET158" s="85"/>
      <c r="EU158" s="85"/>
      <c r="EV158" s="85"/>
    </row>
    <row r="159" spans="2:152">
      <c r="B159" s="11">
        <v>0.34</v>
      </c>
      <c r="C159" s="16"/>
      <c r="D159" s="16"/>
      <c r="E159" s="8"/>
      <c r="F159" s="27">
        <f t="shared" si="30"/>
        <v>9.6805811753263828</v>
      </c>
      <c r="G159" s="27">
        <f t="shared" si="31"/>
        <v>-0.66152099617265492</v>
      </c>
      <c r="H159" s="27">
        <f t="shared" si="32"/>
        <v>-5.7076364841171364E-3</v>
      </c>
      <c r="I159" s="27">
        <f t="shared" si="33"/>
        <v>116.90103854958095</v>
      </c>
      <c r="J159" s="27">
        <f t="shared" si="34"/>
        <v>5.4462808708473767E-2</v>
      </c>
      <c r="K159" s="27">
        <f t="shared" si="35"/>
        <v>1.2960423600038098</v>
      </c>
      <c r="L159" s="27">
        <f t="shared" si="36"/>
        <v>2.865862097352077</v>
      </c>
      <c r="M159" s="17">
        <f t="shared" si="37"/>
        <v>0.2920129278744697</v>
      </c>
      <c r="N159" s="17">
        <f t="shared" si="38"/>
        <v>0.2920129278744697</v>
      </c>
      <c r="O159" s="17">
        <f t="shared" si="39"/>
        <v>0.2920129278744697</v>
      </c>
      <c r="P159" s="17">
        <f>IF(ISERROR(O159),0,IF('R-AFC ISOTOPE'!$G$7='R-AFC ISOTOPE_CONTROL'!B159,'R-AFC ISOTOPE_CONTROL'!O159,0))</f>
        <v>0</v>
      </c>
      <c r="S159" s="81"/>
      <c r="T159" s="30"/>
      <c r="U159" s="30"/>
      <c r="W159" s="30"/>
      <c r="X159" s="30"/>
      <c r="Y159" s="30"/>
      <c r="Z159" s="30"/>
      <c r="AA159" s="30"/>
      <c r="AB159" s="30"/>
      <c r="AC159" s="30"/>
      <c r="AD159" s="85"/>
      <c r="AE159" s="85"/>
      <c r="AF159" s="85"/>
      <c r="AH159" s="81"/>
      <c r="AI159" s="30"/>
      <c r="AJ159" s="30"/>
      <c r="AL159" s="30"/>
      <c r="AM159" s="30"/>
      <c r="AN159" s="30"/>
      <c r="AO159" s="30"/>
      <c r="AP159" s="30"/>
      <c r="AQ159" s="30"/>
      <c r="AR159" s="30"/>
      <c r="AS159" s="85"/>
      <c r="AT159" s="85"/>
      <c r="AU159" s="85"/>
      <c r="AW159" s="81"/>
      <c r="AX159" s="30"/>
      <c r="AY159" s="30"/>
      <c r="BA159" s="30"/>
      <c r="BB159" s="30"/>
      <c r="BC159" s="30"/>
      <c r="BD159" s="30"/>
      <c r="BE159" s="30"/>
      <c r="BF159" s="30"/>
      <c r="BG159" s="30"/>
      <c r="BH159" s="85"/>
      <c r="BI159" s="85"/>
      <c r="BJ159" s="85"/>
      <c r="BL159" s="81"/>
      <c r="BM159" s="30"/>
      <c r="BN159" s="30"/>
      <c r="BP159" s="30"/>
      <c r="BQ159" s="30"/>
      <c r="BR159" s="30"/>
      <c r="BS159" s="30"/>
      <c r="BT159" s="30"/>
      <c r="BU159" s="30"/>
      <c r="BV159" s="30"/>
      <c r="BW159" s="85"/>
      <c r="BX159" s="85"/>
      <c r="BY159" s="85"/>
      <c r="CA159" s="81"/>
      <c r="CB159" s="30"/>
      <c r="CC159" s="30"/>
      <c r="CE159" s="30"/>
      <c r="CF159" s="30"/>
      <c r="CG159" s="30"/>
      <c r="CH159" s="30"/>
      <c r="CI159" s="30"/>
      <c r="CJ159" s="30"/>
      <c r="CK159" s="30"/>
      <c r="CL159" s="85"/>
      <c r="CM159" s="85"/>
      <c r="CN159" s="85"/>
      <c r="CP159" s="81"/>
      <c r="CQ159" s="30"/>
      <c r="CR159" s="30"/>
      <c r="CT159" s="30"/>
      <c r="CU159" s="30"/>
      <c r="CV159" s="30"/>
      <c r="CW159" s="30"/>
      <c r="CX159" s="30"/>
      <c r="CY159" s="30"/>
      <c r="CZ159" s="30"/>
      <c r="DA159" s="85"/>
      <c r="DB159" s="85"/>
      <c r="DC159" s="85"/>
      <c r="DE159" s="81"/>
      <c r="DF159" s="30"/>
      <c r="DG159" s="30"/>
      <c r="DI159" s="30"/>
      <c r="DJ159" s="30"/>
      <c r="DK159" s="30"/>
      <c r="DL159" s="30"/>
      <c r="DM159" s="30"/>
      <c r="DN159" s="30"/>
      <c r="DO159" s="30"/>
      <c r="DP159" s="85"/>
      <c r="DQ159" s="85"/>
      <c r="DR159" s="85"/>
      <c r="DT159" s="81"/>
      <c r="DU159" s="30"/>
      <c r="DV159" s="30"/>
      <c r="DX159" s="30"/>
      <c r="DY159" s="30"/>
      <c r="DZ159" s="30"/>
      <c r="EA159" s="30"/>
      <c r="EB159" s="30"/>
      <c r="EC159" s="30"/>
      <c r="ED159" s="30"/>
      <c r="EE159" s="85"/>
      <c r="EF159" s="85"/>
      <c r="EG159" s="85"/>
      <c r="EI159" s="81"/>
      <c r="EJ159" s="30"/>
      <c r="EK159" s="30"/>
      <c r="EM159" s="30"/>
      <c r="EN159" s="30"/>
      <c r="EO159" s="30"/>
      <c r="EP159" s="30"/>
      <c r="EQ159" s="30"/>
      <c r="ER159" s="30"/>
      <c r="ES159" s="30"/>
      <c r="ET159" s="85"/>
      <c r="EU159" s="85"/>
      <c r="EV159" s="85"/>
    </row>
    <row r="160" spans="2:152">
      <c r="B160" s="11">
        <v>0.35</v>
      </c>
      <c r="C160" s="16"/>
      <c r="D160" s="16"/>
      <c r="E160" s="8"/>
      <c r="F160" s="27">
        <f t="shared" si="30"/>
        <v>7.7567727356112073</v>
      </c>
      <c r="G160" s="27">
        <f t="shared" si="31"/>
        <v>-0.67177907853133656</v>
      </c>
      <c r="H160" s="27">
        <f t="shared" si="32"/>
        <v>-5.8755081454146983E-3</v>
      </c>
      <c r="I160" s="27">
        <f t="shared" si="33"/>
        <v>115.3354858686732</v>
      </c>
      <c r="J160" s="27">
        <f t="shared" si="34"/>
        <v>6.8901183899719776E-2</v>
      </c>
      <c r="K160" s="27">
        <f t="shared" si="35"/>
        <v>1.3869847575948473</v>
      </c>
      <c r="L160" s="27">
        <f t="shared" si="36"/>
        <v>3.0017528168088234</v>
      </c>
      <c r="M160" s="17">
        <f t="shared" si="37"/>
        <v>0.29649891980454823</v>
      </c>
      <c r="N160" s="17">
        <f t="shared" si="38"/>
        <v>0.29649891980454823</v>
      </c>
      <c r="O160" s="17">
        <f t="shared" si="39"/>
        <v>0.29649891980454823</v>
      </c>
      <c r="P160" s="17">
        <f>IF(ISERROR(O160),0,IF('R-AFC ISOTOPE'!$G$7='R-AFC ISOTOPE_CONTROL'!B160,'R-AFC ISOTOPE_CONTROL'!O160,0))</f>
        <v>0</v>
      </c>
      <c r="S160" s="81"/>
      <c r="T160" s="30"/>
      <c r="U160" s="30"/>
      <c r="W160" s="30"/>
      <c r="X160" s="30"/>
      <c r="Y160" s="30"/>
      <c r="Z160" s="30"/>
      <c r="AA160" s="30"/>
      <c r="AB160" s="30"/>
      <c r="AC160" s="30"/>
      <c r="AD160" s="85"/>
      <c r="AE160" s="85"/>
      <c r="AF160" s="85"/>
      <c r="AH160" s="81"/>
      <c r="AI160" s="30"/>
      <c r="AJ160" s="30"/>
      <c r="AL160" s="30"/>
      <c r="AM160" s="30"/>
      <c r="AN160" s="30"/>
      <c r="AO160" s="30"/>
      <c r="AP160" s="30"/>
      <c r="AQ160" s="30"/>
      <c r="AR160" s="30"/>
      <c r="AS160" s="85"/>
      <c r="AT160" s="85"/>
      <c r="AU160" s="85"/>
      <c r="AW160" s="81"/>
      <c r="AX160" s="30"/>
      <c r="AY160" s="30"/>
      <c r="BA160" s="30"/>
      <c r="BB160" s="30"/>
      <c r="BC160" s="30"/>
      <c r="BD160" s="30"/>
      <c r="BE160" s="30"/>
      <c r="BF160" s="30"/>
      <c r="BG160" s="30"/>
      <c r="BH160" s="85"/>
      <c r="BI160" s="85"/>
      <c r="BJ160" s="85"/>
      <c r="BL160" s="81"/>
      <c r="BM160" s="30"/>
      <c r="BN160" s="30"/>
      <c r="BP160" s="30"/>
      <c r="BQ160" s="30"/>
      <c r="BR160" s="30"/>
      <c r="BS160" s="30"/>
      <c r="BT160" s="30"/>
      <c r="BU160" s="30"/>
      <c r="BV160" s="30"/>
      <c r="BW160" s="85"/>
      <c r="BX160" s="85"/>
      <c r="BY160" s="85"/>
      <c r="CA160" s="81"/>
      <c r="CB160" s="30"/>
      <c r="CC160" s="30"/>
      <c r="CE160" s="30"/>
      <c r="CF160" s="30"/>
      <c r="CG160" s="30"/>
      <c r="CH160" s="30"/>
      <c r="CI160" s="30"/>
      <c r="CJ160" s="30"/>
      <c r="CK160" s="30"/>
      <c r="CL160" s="85"/>
      <c r="CM160" s="85"/>
      <c r="CN160" s="85"/>
      <c r="CP160" s="81"/>
      <c r="CQ160" s="30"/>
      <c r="CR160" s="30"/>
      <c r="CT160" s="30"/>
      <c r="CU160" s="30"/>
      <c r="CV160" s="30"/>
      <c r="CW160" s="30"/>
      <c r="CX160" s="30"/>
      <c r="CY160" s="30"/>
      <c r="CZ160" s="30"/>
      <c r="DA160" s="85"/>
      <c r="DB160" s="85"/>
      <c r="DC160" s="85"/>
      <c r="DE160" s="81"/>
      <c r="DF160" s="30"/>
      <c r="DG160" s="30"/>
      <c r="DI160" s="30"/>
      <c r="DJ160" s="30"/>
      <c r="DK160" s="30"/>
      <c r="DL160" s="30"/>
      <c r="DM160" s="30"/>
      <c r="DN160" s="30"/>
      <c r="DO160" s="30"/>
      <c r="DP160" s="85"/>
      <c r="DQ160" s="85"/>
      <c r="DR160" s="85"/>
      <c r="DT160" s="81"/>
      <c r="DU160" s="30"/>
      <c r="DV160" s="30"/>
      <c r="DX160" s="30"/>
      <c r="DY160" s="30"/>
      <c r="DZ160" s="30"/>
      <c r="EA160" s="30"/>
      <c r="EB160" s="30"/>
      <c r="EC160" s="30"/>
      <c r="ED160" s="30"/>
      <c r="EE160" s="85"/>
      <c r="EF160" s="85"/>
      <c r="EG160" s="85"/>
      <c r="EI160" s="81"/>
      <c r="EJ160" s="30"/>
      <c r="EK160" s="30"/>
      <c r="EM160" s="30"/>
      <c r="EN160" s="30"/>
      <c r="EO160" s="30"/>
      <c r="EP160" s="30"/>
      <c r="EQ160" s="30"/>
      <c r="ER160" s="30"/>
      <c r="ES160" s="30"/>
      <c r="ET160" s="85"/>
      <c r="EU160" s="85"/>
      <c r="EV160" s="85"/>
    </row>
    <row r="161" spans="2:152">
      <c r="B161" s="11">
        <v>0.36</v>
      </c>
      <c r="C161" s="16"/>
      <c r="D161" s="16"/>
      <c r="E161" s="8"/>
      <c r="F161" s="27">
        <f t="shared" si="30"/>
        <v>6.5309844643496024</v>
      </c>
      <c r="G161" s="27">
        <f t="shared" si="31"/>
        <v>-0.68203716089001831</v>
      </c>
      <c r="H161" s="27">
        <f t="shared" si="32"/>
        <v>-6.043379806712261E-3</v>
      </c>
      <c r="I161" s="27">
        <f t="shared" si="33"/>
        <v>113.85690833670478</v>
      </c>
      <c r="J161" s="27">
        <f t="shared" si="34"/>
        <v>8.2905242457414513E-2</v>
      </c>
      <c r="K161" s="27">
        <f t="shared" si="35"/>
        <v>1.4807542013654367</v>
      </c>
      <c r="L161" s="27">
        <f t="shared" si="36"/>
        <v>3.1397982202884673</v>
      </c>
      <c r="M161" s="17">
        <f t="shared" si="37"/>
        <v>0.30078337834249008</v>
      </c>
      <c r="N161" s="17">
        <f t="shared" si="38"/>
        <v>0.30078337834249008</v>
      </c>
      <c r="O161" s="17">
        <f t="shared" si="39"/>
        <v>0.30078337834249008</v>
      </c>
      <c r="P161" s="17">
        <f>IF(ISERROR(O161),0,IF('R-AFC ISOTOPE'!$G$7='R-AFC ISOTOPE_CONTROL'!B161,'R-AFC ISOTOPE_CONTROL'!O161,0))</f>
        <v>0</v>
      </c>
      <c r="S161" s="81"/>
      <c r="T161" s="30"/>
      <c r="U161" s="30"/>
      <c r="W161" s="30"/>
      <c r="X161" s="30"/>
      <c r="Y161" s="30"/>
      <c r="Z161" s="30"/>
      <c r="AA161" s="30"/>
      <c r="AB161" s="30"/>
      <c r="AC161" s="30"/>
      <c r="AD161" s="85"/>
      <c r="AE161" s="85"/>
      <c r="AF161" s="85"/>
      <c r="AH161" s="81"/>
      <c r="AI161" s="30"/>
      <c r="AJ161" s="30"/>
      <c r="AL161" s="30"/>
      <c r="AM161" s="30"/>
      <c r="AN161" s="30"/>
      <c r="AO161" s="30"/>
      <c r="AP161" s="30"/>
      <c r="AQ161" s="30"/>
      <c r="AR161" s="30"/>
      <c r="AS161" s="85"/>
      <c r="AT161" s="85"/>
      <c r="AU161" s="85"/>
      <c r="AW161" s="81"/>
      <c r="AX161" s="30"/>
      <c r="AY161" s="30"/>
      <c r="BA161" s="30"/>
      <c r="BB161" s="30"/>
      <c r="BC161" s="30"/>
      <c r="BD161" s="30"/>
      <c r="BE161" s="30"/>
      <c r="BF161" s="30"/>
      <c r="BG161" s="30"/>
      <c r="BH161" s="85"/>
      <c r="BI161" s="85"/>
      <c r="BJ161" s="85"/>
      <c r="BL161" s="81"/>
      <c r="BM161" s="30"/>
      <c r="BN161" s="30"/>
      <c r="BP161" s="30"/>
      <c r="BQ161" s="30"/>
      <c r="BR161" s="30"/>
      <c r="BS161" s="30"/>
      <c r="BT161" s="30"/>
      <c r="BU161" s="30"/>
      <c r="BV161" s="30"/>
      <c r="BW161" s="85"/>
      <c r="BX161" s="85"/>
      <c r="BY161" s="85"/>
      <c r="CA161" s="81"/>
      <c r="CB161" s="30"/>
      <c r="CC161" s="30"/>
      <c r="CE161" s="30"/>
      <c r="CF161" s="30"/>
      <c r="CG161" s="30"/>
      <c r="CH161" s="30"/>
      <c r="CI161" s="30"/>
      <c r="CJ161" s="30"/>
      <c r="CK161" s="30"/>
      <c r="CL161" s="85"/>
      <c r="CM161" s="85"/>
      <c r="CN161" s="85"/>
      <c r="CP161" s="81"/>
      <c r="CQ161" s="30"/>
      <c r="CR161" s="30"/>
      <c r="CT161" s="30"/>
      <c r="CU161" s="30"/>
      <c r="CV161" s="30"/>
      <c r="CW161" s="30"/>
      <c r="CX161" s="30"/>
      <c r="CY161" s="30"/>
      <c r="CZ161" s="30"/>
      <c r="DA161" s="85"/>
      <c r="DB161" s="85"/>
      <c r="DC161" s="85"/>
      <c r="DE161" s="81"/>
      <c r="DF161" s="30"/>
      <c r="DG161" s="30"/>
      <c r="DI161" s="30"/>
      <c r="DJ161" s="30"/>
      <c r="DK161" s="30"/>
      <c r="DL161" s="30"/>
      <c r="DM161" s="30"/>
      <c r="DN161" s="30"/>
      <c r="DO161" s="30"/>
      <c r="DP161" s="85"/>
      <c r="DQ161" s="85"/>
      <c r="DR161" s="85"/>
      <c r="DT161" s="81"/>
      <c r="DU161" s="30"/>
      <c r="DV161" s="30"/>
      <c r="DX161" s="30"/>
      <c r="DY161" s="30"/>
      <c r="DZ161" s="30"/>
      <c r="EA161" s="30"/>
      <c r="EB161" s="30"/>
      <c r="EC161" s="30"/>
      <c r="ED161" s="30"/>
      <c r="EE161" s="85"/>
      <c r="EF161" s="85"/>
      <c r="EG161" s="85"/>
      <c r="EI161" s="81"/>
      <c r="EJ161" s="30"/>
      <c r="EK161" s="30"/>
      <c r="EM161" s="30"/>
      <c r="EN161" s="30"/>
      <c r="EO161" s="30"/>
      <c r="EP161" s="30"/>
      <c r="EQ161" s="30"/>
      <c r="ER161" s="30"/>
      <c r="ES161" s="30"/>
      <c r="ET161" s="85"/>
      <c r="EU161" s="85"/>
      <c r="EV161" s="85"/>
    </row>
    <row r="162" spans="2:152">
      <c r="B162" s="11">
        <v>0.37</v>
      </c>
      <c r="C162" s="16"/>
      <c r="D162" s="16"/>
      <c r="E162" s="8"/>
      <c r="F162" s="27">
        <f t="shared" si="30"/>
        <v>5.6816560496851087</v>
      </c>
      <c r="G162" s="27">
        <f t="shared" si="31"/>
        <v>-0.69229524324869995</v>
      </c>
      <c r="H162" s="27">
        <f t="shared" si="32"/>
        <v>-6.2112514680098237E-3</v>
      </c>
      <c r="I162" s="27">
        <f t="shared" si="33"/>
        <v>112.45825391457247</v>
      </c>
      <c r="J162" s="27">
        <f t="shared" si="34"/>
        <v>9.6494290837178476E-2</v>
      </c>
      <c r="K162" s="27">
        <f t="shared" si="35"/>
        <v>1.5772805738995201</v>
      </c>
      <c r="L162" s="27">
        <f t="shared" si="36"/>
        <v>3.2799096650619002</v>
      </c>
      <c r="M162" s="17">
        <f t="shared" si="37"/>
        <v>0.3048756100533645</v>
      </c>
      <c r="N162" s="17">
        <f t="shared" si="38"/>
        <v>0.3048756100533645</v>
      </c>
      <c r="O162" s="17">
        <f t="shared" si="39"/>
        <v>0.3048756100533645</v>
      </c>
      <c r="P162" s="17">
        <f>IF(ISERROR(O162),0,IF('R-AFC ISOTOPE'!$G$7='R-AFC ISOTOPE_CONTROL'!B162,'R-AFC ISOTOPE_CONTROL'!O162,0))</f>
        <v>0</v>
      </c>
      <c r="S162" s="81"/>
      <c r="T162" s="30"/>
      <c r="U162" s="30"/>
      <c r="W162" s="30"/>
      <c r="X162" s="30"/>
      <c r="Y162" s="30"/>
      <c r="Z162" s="30"/>
      <c r="AA162" s="30"/>
      <c r="AB162" s="30"/>
      <c r="AC162" s="30"/>
      <c r="AD162" s="85"/>
      <c r="AE162" s="85"/>
      <c r="AF162" s="85"/>
      <c r="AH162" s="81"/>
      <c r="AI162" s="30"/>
      <c r="AJ162" s="30"/>
      <c r="AL162" s="30"/>
      <c r="AM162" s="30"/>
      <c r="AN162" s="30"/>
      <c r="AO162" s="30"/>
      <c r="AP162" s="30"/>
      <c r="AQ162" s="30"/>
      <c r="AR162" s="30"/>
      <c r="AS162" s="85"/>
      <c r="AT162" s="85"/>
      <c r="AU162" s="85"/>
      <c r="AW162" s="81"/>
      <c r="AX162" s="30"/>
      <c r="AY162" s="30"/>
      <c r="BA162" s="30"/>
      <c r="BB162" s="30"/>
      <c r="BC162" s="30"/>
      <c r="BD162" s="30"/>
      <c r="BE162" s="30"/>
      <c r="BF162" s="30"/>
      <c r="BG162" s="30"/>
      <c r="BH162" s="85"/>
      <c r="BI162" s="85"/>
      <c r="BJ162" s="85"/>
      <c r="BL162" s="81"/>
      <c r="BM162" s="30"/>
      <c r="BN162" s="30"/>
      <c r="BP162" s="30"/>
      <c r="BQ162" s="30"/>
      <c r="BR162" s="30"/>
      <c r="BS162" s="30"/>
      <c r="BT162" s="30"/>
      <c r="BU162" s="30"/>
      <c r="BV162" s="30"/>
      <c r="BW162" s="85"/>
      <c r="BX162" s="85"/>
      <c r="BY162" s="85"/>
      <c r="CA162" s="81"/>
      <c r="CB162" s="30"/>
      <c r="CC162" s="30"/>
      <c r="CE162" s="30"/>
      <c r="CF162" s="30"/>
      <c r="CG162" s="30"/>
      <c r="CH162" s="30"/>
      <c r="CI162" s="30"/>
      <c r="CJ162" s="30"/>
      <c r="CK162" s="30"/>
      <c r="CL162" s="85"/>
      <c r="CM162" s="85"/>
      <c r="CN162" s="85"/>
      <c r="CP162" s="81"/>
      <c r="CQ162" s="30"/>
      <c r="CR162" s="30"/>
      <c r="CT162" s="30"/>
      <c r="CU162" s="30"/>
      <c r="CV162" s="30"/>
      <c r="CW162" s="30"/>
      <c r="CX162" s="30"/>
      <c r="CY162" s="30"/>
      <c r="CZ162" s="30"/>
      <c r="DA162" s="85"/>
      <c r="DB162" s="85"/>
      <c r="DC162" s="85"/>
      <c r="DE162" s="81"/>
      <c r="DF162" s="30"/>
      <c r="DG162" s="30"/>
      <c r="DI162" s="30"/>
      <c r="DJ162" s="30"/>
      <c r="DK162" s="30"/>
      <c r="DL162" s="30"/>
      <c r="DM162" s="30"/>
      <c r="DN162" s="30"/>
      <c r="DO162" s="30"/>
      <c r="DP162" s="85"/>
      <c r="DQ162" s="85"/>
      <c r="DR162" s="85"/>
      <c r="DT162" s="81"/>
      <c r="DU162" s="30"/>
      <c r="DV162" s="30"/>
      <c r="DX162" s="30"/>
      <c r="DY162" s="30"/>
      <c r="DZ162" s="30"/>
      <c r="EA162" s="30"/>
      <c r="EB162" s="30"/>
      <c r="EC162" s="30"/>
      <c r="ED162" s="30"/>
      <c r="EE162" s="85"/>
      <c r="EF162" s="85"/>
      <c r="EG162" s="85"/>
      <c r="EI162" s="81"/>
      <c r="EJ162" s="30"/>
      <c r="EK162" s="30"/>
      <c r="EM162" s="30"/>
      <c r="EN162" s="30"/>
      <c r="EO162" s="30"/>
      <c r="EP162" s="30"/>
      <c r="EQ162" s="30"/>
      <c r="ER162" s="30"/>
      <c r="ES162" s="30"/>
      <c r="ET162" s="85"/>
      <c r="EU162" s="85"/>
      <c r="EV162" s="85"/>
    </row>
    <row r="163" spans="2:152">
      <c r="B163" s="11">
        <v>0.38</v>
      </c>
      <c r="C163" s="16"/>
      <c r="D163" s="16"/>
      <c r="E163" s="8"/>
      <c r="F163" s="27">
        <f t="shared" si="30"/>
        <v>5.0584478174114098</v>
      </c>
      <c r="G163" s="27">
        <f t="shared" si="31"/>
        <v>-0.7025533256073816</v>
      </c>
      <c r="H163" s="27">
        <f t="shared" si="32"/>
        <v>-6.3791231293073873E-3</v>
      </c>
      <c r="I163" s="27">
        <f t="shared" si="33"/>
        <v>111.13321288307868</v>
      </c>
      <c r="J163" s="27">
        <f t="shared" si="34"/>
        <v>0.1096865079092685</v>
      </c>
      <c r="K163" s="27">
        <f t="shared" si="35"/>
        <v>1.6764919400188558</v>
      </c>
      <c r="L163" s="27">
        <f t="shared" si="36"/>
        <v>3.4219991774847918</v>
      </c>
      <c r="M163" s="17">
        <f t="shared" si="37"/>
        <v>0.30878467031742457</v>
      </c>
      <c r="N163" s="17">
        <f t="shared" si="38"/>
        <v>0.30878467031742457</v>
      </c>
      <c r="O163" s="17">
        <f t="shared" si="39"/>
        <v>0.30878467031742457</v>
      </c>
      <c r="P163" s="17">
        <f>IF(ISERROR(O163),0,IF('R-AFC ISOTOPE'!$G$7='R-AFC ISOTOPE_CONTROL'!B163,'R-AFC ISOTOPE_CONTROL'!O163,0))</f>
        <v>0</v>
      </c>
      <c r="S163" s="81"/>
      <c r="T163" s="30"/>
      <c r="U163" s="30"/>
      <c r="W163" s="30"/>
      <c r="X163" s="30"/>
      <c r="Y163" s="30"/>
      <c r="Z163" s="30"/>
      <c r="AA163" s="30"/>
      <c r="AB163" s="30"/>
      <c r="AC163" s="30"/>
      <c r="AD163" s="85"/>
      <c r="AE163" s="85"/>
      <c r="AF163" s="85"/>
      <c r="AH163" s="81"/>
      <c r="AI163" s="30"/>
      <c r="AJ163" s="30"/>
      <c r="AL163" s="30"/>
      <c r="AM163" s="30"/>
      <c r="AN163" s="30"/>
      <c r="AO163" s="30"/>
      <c r="AP163" s="30"/>
      <c r="AQ163" s="30"/>
      <c r="AR163" s="30"/>
      <c r="AS163" s="85"/>
      <c r="AT163" s="85"/>
      <c r="AU163" s="85"/>
      <c r="AW163" s="81"/>
      <c r="AX163" s="30"/>
      <c r="AY163" s="30"/>
      <c r="BA163" s="30"/>
      <c r="BB163" s="30"/>
      <c r="BC163" s="30"/>
      <c r="BD163" s="30"/>
      <c r="BE163" s="30"/>
      <c r="BF163" s="30"/>
      <c r="BG163" s="30"/>
      <c r="BH163" s="85"/>
      <c r="BI163" s="85"/>
      <c r="BJ163" s="85"/>
      <c r="BL163" s="81"/>
      <c r="BM163" s="30"/>
      <c r="BN163" s="30"/>
      <c r="BP163" s="30"/>
      <c r="BQ163" s="30"/>
      <c r="BR163" s="30"/>
      <c r="BS163" s="30"/>
      <c r="BT163" s="30"/>
      <c r="BU163" s="30"/>
      <c r="BV163" s="30"/>
      <c r="BW163" s="85"/>
      <c r="BX163" s="85"/>
      <c r="BY163" s="85"/>
      <c r="CA163" s="81"/>
      <c r="CB163" s="30"/>
      <c r="CC163" s="30"/>
      <c r="CE163" s="30"/>
      <c r="CF163" s="30"/>
      <c r="CG163" s="30"/>
      <c r="CH163" s="30"/>
      <c r="CI163" s="30"/>
      <c r="CJ163" s="30"/>
      <c r="CK163" s="30"/>
      <c r="CL163" s="85"/>
      <c r="CM163" s="85"/>
      <c r="CN163" s="85"/>
      <c r="CP163" s="81"/>
      <c r="CQ163" s="30"/>
      <c r="CR163" s="30"/>
      <c r="CT163" s="30"/>
      <c r="CU163" s="30"/>
      <c r="CV163" s="30"/>
      <c r="CW163" s="30"/>
      <c r="CX163" s="30"/>
      <c r="CY163" s="30"/>
      <c r="CZ163" s="30"/>
      <c r="DA163" s="85"/>
      <c r="DB163" s="85"/>
      <c r="DC163" s="85"/>
      <c r="DE163" s="81"/>
      <c r="DF163" s="30"/>
      <c r="DG163" s="30"/>
      <c r="DI163" s="30"/>
      <c r="DJ163" s="30"/>
      <c r="DK163" s="30"/>
      <c r="DL163" s="30"/>
      <c r="DM163" s="30"/>
      <c r="DN163" s="30"/>
      <c r="DO163" s="30"/>
      <c r="DP163" s="85"/>
      <c r="DQ163" s="85"/>
      <c r="DR163" s="85"/>
      <c r="DT163" s="81"/>
      <c r="DU163" s="30"/>
      <c r="DV163" s="30"/>
      <c r="DX163" s="30"/>
      <c r="DY163" s="30"/>
      <c r="DZ163" s="30"/>
      <c r="EA163" s="30"/>
      <c r="EB163" s="30"/>
      <c r="EC163" s="30"/>
      <c r="ED163" s="30"/>
      <c r="EE163" s="85"/>
      <c r="EF163" s="85"/>
      <c r="EG163" s="85"/>
      <c r="EI163" s="81"/>
      <c r="EJ163" s="30"/>
      <c r="EK163" s="30"/>
      <c r="EM163" s="30"/>
      <c r="EN163" s="30"/>
      <c r="EO163" s="30"/>
      <c r="EP163" s="30"/>
      <c r="EQ163" s="30"/>
      <c r="ER163" s="30"/>
      <c r="ES163" s="30"/>
      <c r="ET163" s="85"/>
      <c r="EU163" s="85"/>
      <c r="EV163" s="85"/>
    </row>
    <row r="164" spans="2:152">
      <c r="B164" s="11">
        <v>0.39</v>
      </c>
      <c r="C164" s="16"/>
      <c r="D164" s="16"/>
      <c r="E164" s="8"/>
      <c r="F164" s="27">
        <f t="shared" si="30"/>
        <v>4.5816668941622112</v>
      </c>
      <c r="G164" s="27">
        <f t="shared" si="31"/>
        <v>-0.71281140796606324</v>
      </c>
      <c r="H164" s="27">
        <f t="shared" si="32"/>
        <v>-6.54699479060495E-3</v>
      </c>
      <c r="I164" s="27">
        <f t="shared" si="33"/>
        <v>109.87612267371281</v>
      </c>
      <c r="J164" s="27">
        <f t="shared" si="34"/>
        <v>0.12249902609408832</v>
      </c>
      <c r="K164" s="27">
        <f t="shared" si="35"/>
        <v>1.7783149098297293</v>
      </c>
      <c r="L164" s="27">
        <f t="shared" si="36"/>
        <v>3.5659796555997172</v>
      </c>
      <c r="M164" s="17">
        <f t="shared" si="37"/>
        <v>0.31251933124973813</v>
      </c>
      <c r="N164" s="17">
        <f t="shared" si="38"/>
        <v>0.31251933124973813</v>
      </c>
      <c r="O164" s="17">
        <f t="shared" si="39"/>
        <v>0.31251933124973813</v>
      </c>
      <c r="P164" s="17">
        <f>IF(ISERROR(O164),0,IF('R-AFC ISOTOPE'!$G$7='R-AFC ISOTOPE_CONTROL'!B164,'R-AFC ISOTOPE_CONTROL'!O164,0))</f>
        <v>0</v>
      </c>
      <c r="S164" s="81"/>
      <c r="T164" s="30"/>
      <c r="U164" s="30"/>
      <c r="W164" s="30"/>
      <c r="X164" s="30"/>
      <c r="Y164" s="30"/>
      <c r="Z164" s="30"/>
      <c r="AA164" s="30"/>
      <c r="AB164" s="30"/>
      <c r="AC164" s="30"/>
      <c r="AD164" s="85"/>
      <c r="AE164" s="85"/>
      <c r="AF164" s="85"/>
      <c r="AH164" s="81"/>
      <c r="AI164" s="30"/>
      <c r="AJ164" s="30"/>
      <c r="AL164" s="30"/>
      <c r="AM164" s="30"/>
      <c r="AN164" s="30"/>
      <c r="AO164" s="30"/>
      <c r="AP164" s="30"/>
      <c r="AQ164" s="30"/>
      <c r="AR164" s="30"/>
      <c r="AS164" s="85"/>
      <c r="AT164" s="85"/>
      <c r="AU164" s="85"/>
      <c r="AW164" s="81"/>
      <c r="AX164" s="30"/>
      <c r="AY164" s="30"/>
      <c r="BA164" s="30"/>
      <c r="BB164" s="30"/>
      <c r="BC164" s="30"/>
      <c r="BD164" s="30"/>
      <c r="BE164" s="30"/>
      <c r="BF164" s="30"/>
      <c r="BG164" s="30"/>
      <c r="BH164" s="85"/>
      <c r="BI164" s="85"/>
      <c r="BJ164" s="85"/>
      <c r="BL164" s="81"/>
      <c r="BM164" s="30"/>
      <c r="BN164" s="30"/>
      <c r="BP164" s="30"/>
      <c r="BQ164" s="30"/>
      <c r="BR164" s="30"/>
      <c r="BS164" s="30"/>
      <c r="BT164" s="30"/>
      <c r="BU164" s="30"/>
      <c r="BV164" s="30"/>
      <c r="BW164" s="85"/>
      <c r="BX164" s="85"/>
      <c r="BY164" s="85"/>
      <c r="CA164" s="81"/>
      <c r="CB164" s="30"/>
      <c r="CC164" s="30"/>
      <c r="CE164" s="30"/>
      <c r="CF164" s="30"/>
      <c r="CG164" s="30"/>
      <c r="CH164" s="30"/>
      <c r="CI164" s="30"/>
      <c r="CJ164" s="30"/>
      <c r="CK164" s="30"/>
      <c r="CL164" s="85"/>
      <c r="CM164" s="85"/>
      <c r="CN164" s="85"/>
      <c r="CP164" s="81"/>
      <c r="CQ164" s="30"/>
      <c r="CR164" s="30"/>
      <c r="CT164" s="30"/>
      <c r="CU164" s="30"/>
      <c r="CV164" s="30"/>
      <c r="CW164" s="30"/>
      <c r="CX164" s="30"/>
      <c r="CY164" s="30"/>
      <c r="CZ164" s="30"/>
      <c r="DA164" s="85"/>
      <c r="DB164" s="85"/>
      <c r="DC164" s="85"/>
      <c r="DE164" s="81"/>
      <c r="DF164" s="30"/>
      <c r="DG164" s="30"/>
      <c r="DI164" s="30"/>
      <c r="DJ164" s="30"/>
      <c r="DK164" s="30"/>
      <c r="DL164" s="30"/>
      <c r="DM164" s="30"/>
      <c r="DN164" s="30"/>
      <c r="DO164" s="30"/>
      <c r="DP164" s="85"/>
      <c r="DQ164" s="85"/>
      <c r="DR164" s="85"/>
      <c r="DT164" s="81"/>
      <c r="DU164" s="30"/>
      <c r="DV164" s="30"/>
      <c r="DX164" s="30"/>
      <c r="DY164" s="30"/>
      <c r="DZ164" s="30"/>
      <c r="EA164" s="30"/>
      <c r="EB164" s="30"/>
      <c r="EC164" s="30"/>
      <c r="ED164" s="30"/>
      <c r="EE164" s="85"/>
      <c r="EF164" s="85"/>
      <c r="EG164" s="85"/>
      <c r="EI164" s="81"/>
      <c r="EJ164" s="30"/>
      <c r="EK164" s="30"/>
      <c r="EM164" s="30"/>
      <c r="EN164" s="30"/>
      <c r="EO164" s="30"/>
      <c r="EP164" s="30"/>
      <c r="EQ164" s="30"/>
      <c r="ER164" s="30"/>
      <c r="ES164" s="30"/>
      <c r="ET164" s="85"/>
      <c r="EU164" s="85"/>
      <c r="EV164" s="85"/>
    </row>
    <row r="165" spans="2:152">
      <c r="B165" s="11">
        <v>0.4</v>
      </c>
      <c r="C165" s="16"/>
      <c r="D165" s="16"/>
      <c r="E165" s="8"/>
      <c r="F165" s="27">
        <f t="shared" si="30"/>
        <v>4.2051323142721975</v>
      </c>
      <c r="G165" s="27">
        <f t="shared" si="31"/>
        <v>-0.72306949032474499</v>
      </c>
      <c r="H165" s="27">
        <f t="shared" si="32"/>
        <v>-6.7148664519025127E-3</v>
      </c>
      <c r="I165" s="27">
        <f t="shared" si="33"/>
        <v>108.68188697481524</v>
      </c>
      <c r="J165" s="27">
        <f t="shared" si="34"/>
        <v>0.13494800559135289</v>
      </c>
      <c r="K165" s="27">
        <f t="shared" si="35"/>
        <v>1.8826749719549196</v>
      </c>
      <c r="L165" s="27">
        <f t="shared" si="36"/>
        <v>3.7117650475669381</v>
      </c>
      <c r="M165" s="17">
        <f t="shared" si="37"/>
        <v>0.31608805849439747</v>
      </c>
      <c r="N165" s="17">
        <f t="shared" si="38"/>
        <v>0.31608805849439747</v>
      </c>
      <c r="O165" s="17">
        <f t="shared" si="39"/>
        <v>0.31608805849439747</v>
      </c>
      <c r="P165" s="17">
        <f>IF(ISERROR(O165),0,IF('R-AFC ISOTOPE'!$G$7='R-AFC ISOTOPE_CONTROL'!B165,'R-AFC ISOTOPE_CONTROL'!O165,0))</f>
        <v>0</v>
      </c>
      <c r="S165" s="81"/>
      <c r="T165" s="30"/>
      <c r="U165" s="30"/>
      <c r="W165" s="30"/>
      <c r="X165" s="30"/>
      <c r="Y165" s="30"/>
      <c r="Z165" s="30"/>
      <c r="AA165" s="30"/>
      <c r="AB165" s="30"/>
      <c r="AC165" s="30"/>
      <c r="AD165" s="85"/>
      <c r="AE165" s="85"/>
      <c r="AF165" s="85"/>
      <c r="AH165" s="81"/>
      <c r="AI165" s="30"/>
      <c r="AJ165" s="30"/>
      <c r="AL165" s="30"/>
      <c r="AM165" s="30"/>
      <c r="AN165" s="30"/>
      <c r="AO165" s="30"/>
      <c r="AP165" s="30"/>
      <c r="AQ165" s="30"/>
      <c r="AR165" s="30"/>
      <c r="AS165" s="85"/>
      <c r="AT165" s="85"/>
      <c r="AU165" s="85"/>
      <c r="AW165" s="81"/>
      <c r="AX165" s="30"/>
      <c r="AY165" s="30"/>
      <c r="BA165" s="30"/>
      <c r="BB165" s="30"/>
      <c r="BC165" s="30"/>
      <c r="BD165" s="30"/>
      <c r="BE165" s="30"/>
      <c r="BF165" s="30"/>
      <c r="BG165" s="30"/>
      <c r="BH165" s="85"/>
      <c r="BI165" s="85"/>
      <c r="BJ165" s="85"/>
      <c r="BL165" s="81"/>
      <c r="BM165" s="30"/>
      <c r="BN165" s="30"/>
      <c r="BP165" s="30"/>
      <c r="BQ165" s="30"/>
      <c r="BR165" s="30"/>
      <c r="BS165" s="30"/>
      <c r="BT165" s="30"/>
      <c r="BU165" s="30"/>
      <c r="BV165" s="30"/>
      <c r="BW165" s="85"/>
      <c r="BX165" s="85"/>
      <c r="BY165" s="85"/>
      <c r="CA165" s="81"/>
      <c r="CB165" s="30"/>
      <c r="CC165" s="30"/>
      <c r="CE165" s="30"/>
      <c r="CF165" s="30"/>
      <c r="CG165" s="30"/>
      <c r="CH165" s="30"/>
      <c r="CI165" s="30"/>
      <c r="CJ165" s="30"/>
      <c r="CK165" s="30"/>
      <c r="CL165" s="85"/>
      <c r="CM165" s="85"/>
      <c r="CN165" s="85"/>
      <c r="CP165" s="81"/>
      <c r="CQ165" s="30"/>
      <c r="CR165" s="30"/>
      <c r="CT165" s="30"/>
      <c r="CU165" s="30"/>
      <c r="CV165" s="30"/>
      <c r="CW165" s="30"/>
      <c r="CX165" s="30"/>
      <c r="CY165" s="30"/>
      <c r="CZ165" s="30"/>
      <c r="DA165" s="85"/>
      <c r="DB165" s="85"/>
      <c r="DC165" s="85"/>
      <c r="DE165" s="81"/>
      <c r="DF165" s="30"/>
      <c r="DG165" s="30"/>
      <c r="DI165" s="30"/>
      <c r="DJ165" s="30"/>
      <c r="DK165" s="30"/>
      <c r="DL165" s="30"/>
      <c r="DM165" s="30"/>
      <c r="DN165" s="30"/>
      <c r="DO165" s="30"/>
      <c r="DP165" s="85"/>
      <c r="DQ165" s="85"/>
      <c r="DR165" s="85"/>
      <c r="DT165" s="81"/>
      <c r="DU165" s="30"/>
      <c r="DV165" s="30"/>
      <c r="DX165" s="30"/>
      <c r="DY165" s="30"/>
      <c r="DZ165" s="30"/>
      <c r="EA165" s="30"/>
      <c r="EB165" s="30"/>
      <c r="EC165" s="30"/>
      <c r="ED165" s="30"/>
      <c r="EE165" s="85"/>
      <c r="EF165" s="85"/>
      <c r="EG165" s="85"/>
      <c r="EI165" s="81"/>
      <c r="EJ165" s="30"/>
      <c r="EK165" s="30"/>
      <c r="EM165" s="30"/>
      <c r="EN165" s="30"/>
      <c r="EO165" s="30"/>
      <c r="EP165" s="30"/>
      <c r="EQ165" s="30"/>
      <c r="ER165" s="30"/>
      <c r="ES165" s="30"/>
      <c r="ET165" s="85"/>
      <c r="EU165" s="85"/>
      <c r="EV165" s="85"/>
    </row>
    <row r="166" spans="2:152">
      <c r="B166" s="11">
        <v>0.41</v>
      </c>
      <c r="C166" s="16"/>
      <c r="D166" s="16"/>
      <c r="E166" s="8"/>
      <c r="F166" s="27">
        <f t="shared" si="30"/>
        <v>3.9002354672173496</v>
      </c>
      <c r="G166" s="27">
        <f t="shared" si="31"/>
        <v>-0.73332757268342663</v>
      </c>
      <c r="H166" s="27">
        <f t="shared" si="32"/>
        <v>-6.8827381132000745E-3</v>
      </c>
      <c r="I166" s="27">
        <f t="shared" si="33"/>
        <v>107.54590667586389</v>
      </c>
      <c r="J166" s="27">
        <f t="shared" si="34"/>
        <v>0.14704870237916676</v>
      </c>
      <c r="K166" s="27">
        <f t="shared" si="35"/>
        <v>1.989496798388221</v>
      </c>
      <c r="L166" s="27">
        <f t="shared" si="36"/>
        <v>3.8592705077717548</v>
      </c>
      <c r="M166" s="17">
        <f t="shared" si="37"/>
        <v>0.3194989954755994</v>
      </c>
      <c r="N166" s="17">
        <f t="shared" si="38"/>
        <v>0.3194989954755994</v>
      </c>
      <c r="O166" s="17">
        <f t="shared" si="39"/>
        <v>0.3194989954755994</v>
      </c>
      <c r="P166" s="17">
        <f>IF(ISERROR(O166),0,IF('R-AFC ISOTOPE'!$G$7='R-AFC ISOTOPE_CONTROL'!B166,'R-AFC ISOTOPE_CONTROL'!O166,0))</f>
        <v>0</v>
      </c>
      <c r="S166" s="81"/>
      <c r="T166" s="30"/>
      <c r="U166" s="30"/>
      <c r="W166" s="30"/>
      <c r="X166" s="30"/>
      <c r="Y166" s="30"/>
      <c r="Z166" s="30"/>
      <c r="AA166" s="30"/>
      <c r="AB166" s="30"/>
      <c r="AC166" s="30"/>
      <c r="AD166" s="85"/>
      <c r="AE166" s="85"/>
      <c r="AF166" s="85"/>
      <c r="AH166" s="81"/>
      <c r="AI166" s="30"/>
      <c r="AJ166" s="30"/>
      <c r="AL166" s="30"/>
      <c r="AM166" s="30"/>
      <c r="AN166" s="30"/>
      <c r="AO166" s="30"/>
      <c r="AP166" s="30"/>
      <c r="AQ166" s="30"/>
      <c r="AR166" s="30"/>
      <c r="AS166" s="85"/>
      <c r="AT166" s="85"/>
      <c r="AU166" s="85"/>
      <c r="AW166" s="81"/>
      <c r="AX166" s="30"/>
      <c r="AY166" s="30"/>
      <c r="BA166" s="30"/>
      <c r="BB166" s="30"/>
      <c r="BC166" s="30"/>
      <c r="BD166" s="30"/>
      <c r="BE166" s="30"/>
      <c r="BF166" s="30"/>
      <c r="BG166" s="30"/>
      <c r="BH166" s="85"/>
      <c r="BI166" s="85"/>
      <c r="BJ166" s="85"/>
      <c r="BL166" s="81"/>
      <c r="BM166" s="30"/>
      <c r="BN166" s="30"/>
      <c r="BP166" s="30"/>
      <c r="BQ166" s="30"/>
      <c r="BR166" s="30"/>
      <c r="BS166" s="30"/>
      <c r="BT166" s="30"/>
      <c r="BU166" s="30"/>
      <c r="BV166" s="30"/>
      <c r="BW166" s="85"/>
      <c r="BX166" s="85"/>
      <c r="BY166" s="85"/>
      <c r="CA166" s="81"/>
      <c r="CB166" s="30"/>
      <c r="CC166" s="30"/>
      <c r="CE166" s="30"/>
      <c r="CF166" s="30"/>
      <c r="CG166" s="30"/>
      <c r="CH166" s="30"/>
      <c r="CI166" s="30"/>
      <c r="CJ166" s="30"/>
      <c r="CK166" s="30"/>
      <c r="CL166" s="85"/>
      <c r="CM166" s="85"/>
      <c r="CN166" s="85"/>
      <c r="CP166" s="81"/>
      <c r="CQ166" s="30"/>
      <c r="CR166" s="30"/>
      <c r="CT166" s="30"/>
      <c r="CU166" s="30"/>
      <c r="CV166" s="30"/>
      <c r="CW166" s="30"/>
      <c r="CX166" s="30"/>
      <c r="CY166" s="30"/>
      <c r="CZ166" s="30"/>
      <c r="DA166" s="85"/>
      <c r="DB166" s="85"/>
      <c r="DC166" s="85"/>
      <c r="DE166" s="81"/>
      <c r="DF166" s="30"/>
      <c r="DG166" s="30"/>
      <c r="DI166" s="30"/>
      <c r="DJ166" s="30"/>
      <c r="DK166" s="30"/>
      <c r="DL166" s="30"/>
      <c r="DM166" s="30"/>
      <c r="DN166" s="30"/>
      <c r="DO166" s="30"/>
      <c r="DP166" s="85"/>
      <c r="DQ166" s="85"/>
      <c r="DR166" s="85"/>
      <c r="DT166" s="81"/>
      <c r="DU166" s="30"/>
      <c r="DV166" s="30"/>
      <c r="DX166" s="30"/>
      <c r="DY166" s="30"/>
      <c r="DZ166" s="30"/>
      <c r="EA166" s="30"/>
      <c r="EB166" s="30"/>
      <c r="EC166" s="30"/>
      <c r="ED166" s="30"/>
      <c r="EE166" s="85"/>
      <c r="EF166" s="85"/>
      <c r="EG166" s="85"/>
      <c r="EI166" s="81"/>
      <c r="EJ166" s="30"/>
      <c r="EK166" s="30"/>
      <c r="EM166" s="30"/>
      <c r="EN166" s="30"/>
      <c r="EO166" s="30"/>
      <c r="EP166" s="30"/>
      <c r="EQ166" s="30"/>
      <c r="ER166" s="30"/>
      <c r="ES166" s="30"/>
      <c r="ET166" s="85"/>
      <c r="EU166" s="85"/>
      <c r="EV166" s="85"/>
    </row>
    <row r="167" spans="2:152">
      <c r="B167" s="11">
        <v>0.42</v>
      </c>
      <c r="C167" s="16"/>
      <c r="D167" s="16"/>
      <c r="E167" s="8"/>
      <c r="F167" s="27">
        <f t="shared" si="30"/>
        <v>3.6483080304273656</v>
      </c>
      <c r="G167" s="27">
        <f t="shared" si="31"/>
        <v>-0.74358565504210827</v>
      </c>
      <c r="H167" s="27">
        <f t="shared" si="32"/>
        <v>-7.0506097744976381E-3</v>
      </c>
      <c r="I167" s="27">
        <f t="shared" si="33"/>
        <v>106.46402067686257</v>
      </c>
      <c r="J167" s="27">
        <f t="shared" si="34"/>
        <v>0.15881553058464556</v>
      </c>
      <c r="K167" s="27">
        <f t="shared" si="35"/>
        <v>2.0987045224666114</v>
      </c>
      <c r="L167" s="27">
        <f t="shared" si="36"/>
        <v>4.0084125323818025</v>
      </c>
      <c r="M167" s="17">
        <f t="shared" si="37"/>
        <v>0.3227599538526128</v>
      </c>
      <c r="N167" s="17">
        <f t="shared" si="38"/>
        <v>0.3227599538526128</v>
      </c>
      <c r="O167" s="17">
        <f t="shared" si="39"/>
        <v>0.3227599538526128</v>
      </c>
      <c r="P167" s="17">
        <f>IF(ISERROR(O167),0,IF('R-AFC ISOTOPE'!$G$7='R-AFC ISOTOPE_CONTROL'!B167,'R-AFC ISOTOPE_CONTROL'!O167,0))</f>
        <v>0</v>
      </c>
      <c r="S167" s="81"/>
      <c r="T167" s="30"/>
      <c r="U167" s="30"/>
      <c r="W167" s="30"/>
      <c r="X167" s="30"/>
      <c r="Y167" s="30"/>
      <c r="Z167" s="30"/>
      <c r="AA167" s="30"/>
      <c r="AB167" s="30"/>
      <c r="AC167" s="30"/>
      <c r="AD167" s="85"/>
      <c r="AE167" s="85"/>
      <c r="AF167" s="85"/>
      <c r="AH167" s="81"/>
      <c r="AI167" s="30"/>
      <c r="AJ167" s="30"/>
      <c r="AL167" s="30"/>
      <c r="AM167" s="30"/>
      <c r="AN167" s="30"/>
      <c r="AO167" s="30"/>
      <c r="AP167" s="30"/>
      <c r="AQ167" s="30"/>
      <c r="AR167" s="30"/>
      <c r="AS167" s="85"/>
      <c r="AT167" s="85"/>
      <c r="AU167" s="85"/>
      <c r="AW167" s="81"/>
      <c r="AX167" s="30"/>
      <c r="AY167" s="30"/>
      <c r="BA167" s="30"/>
      <c r="BB167" s="30"/>
      <c r="BC167" s="30"/>
      <c r="BD167" s="30"/>
      <c r="BE167" s="30"/>
      <c r="BF167" s="30"/>
      <c r="BG167" s="30"/>
      <c r="BH167" s="85"/>
      <c r="BI167" s="85"/>
      <c r="BJ167" s="85"/>
      <c r="BL167" s="81"/>
      <c r="BM167" s="30"/>
      <c r="BN167" s="30"/>
      <c r="BP167" s="30"/>
      <c r="BQ167" s="30"/>
      <c r="BR167" s="30"/>
      <c r="BS167" s="30"/>
      <c r="BT167" s="30"/>
      <c r="BU167" s="30"/>
      <c r="BV167" s="30"/>
      <c r="BW167" s="85"/>
      <c r="BX167" s="85"/>
      <c r="BY167" s="85"/>
      <c r="CA167" s="81"/>
      <c r="CB167" s="30"/>
      <c r="CC167" s="30"/>
      <c r="CE167" s="30"/>
      <c r="CF167" s="30"/>
      <c r="CG167" s="30"/>
      <c r="CH167" s="30"/>
      <c r="CI167" s="30"/>
      <c r="CJ167" s="30"/>
      <c r="CK167" s="30"/>
      <c r="CL167" s="85"/>
      <c r="CM167" s="85"/>
      <c r="CN167" s="85"/>
      <c r="CP167" s="81"/>
      <c r="CQ167" s="30"/>
      <c r="CR167" s="30"/>
      <c r="CT167" s="30"/>
      <c r="CU167" s="30"/>
      <c r="CV167" s="30"/>
      <c r="CW167" s="30"/>
      <c r="CX167" s="30"/>
      <c r="CY167" s="30"/>
      <c r="CZ167" s="30"/>
      <c r="DA167" s="85"/>
      <c r="DB167" s="85"/>
      <c r="DC167" s="85"/>
      <c r="DE167" s="81"/>
      <c r="DF167" s="30"/>
      <c r="DG167" s="30"/>
      <c r="DI167" s="30"/>
      <c r="DJ167" s="30"/>
      <c r="DK167" s="30"/>
      <c r="DL167" s="30"/>
      <c r="DM167" s="30"/>
      <c r="DN167" s="30"/>
      <c r="DO167" s="30"/>
      <c r="DP167" s="85"/>
      <c r="DQ167" s="85"/>
      <c r="DR167" s="85"/>
      <c r="DT167" s="81"/>
      <c r="DU167" s="30"/>
      <c r="DV167" s="30"/>
      <c r="DX167" s="30"/>
      <c r="DY167" s="30"/>
      <c r="DZ167" s="30"/>
      <c r="EA167" s="30"/>
      <c r="EB167" s="30"/>
      <c r="EC167" s="30"/>
      <c r="ED167" s="30"/>
      <c r="EE167" s="85"/>
      <c r="EF167" s="85"/>
      <c r="EG167" s="85"/>
      <c r="EI167" s="81"/>
      <c r="EJ167" s="30"/>
      <c r="EK167" s="30"/>
      <c r="EM167" s="30"/>
      <c r="EN167" s="30"/>
      <c r="EO167" s="30"/>
      <c r="EP167" s="30"/>
      <c r="EQ167" s="30"/>
      <c r="ER167" s="30"/>
      <c r="ES167" s="30"/>
      <c r="ET167" s="85"/>
      <c r="EU167" s="85"/>
      <c r="EV167" s="85"/>
    </row>
    <row r="168" spans="2:152">
      <c r="B168" s="11">
        <v>0.43</v>
      </c>
      <c r="C168" s="16"/>
      <c r="D168" s="16"/>
      <c r="E168" s="8"/>
      <c r="F168" s="27">
        <f t="shared" si="30"/>
        <v>3.4366497265092173</v>
      </c>
      <c r="G168" s="27">
        <f t="shared" si="31"/>
        <v>-0.75384373740079003</v>
      </c>
      <c r="H168" s="27">
        <f t="shared" si="32"/>
        <v>-7.2184814357952008E-3</v>
      </c>
      <c r="I168" s="27">
        <f t="shared" si="33"/>
        <v>105.43245495688461</v>
      </c>
      <c r="J168" s="27">
        <f t="shared" si="34"/>
        <v>0.17026211976221003</v>
      </c>
      <c r="K168" s="27">
        <f t="shared" si="35"/>
        <v>2.2102219914827548</v>
      </c>
      <c r="L168" s="27">
        <f t="shared" si="36"/>
        <v>4.1591090760446496</v>
      </c>
      <c r="M168" s="17">
        <f t="shared" si="37"/>
        <v>0.32587840908247723</v>
      </c>
      <c r="N168" s="17">
        <f t="shared" si="38"/>
        <v>0.32587840908247723</v>
      </c>
      <c r="O168" s="17">
        <f t="shared" si="39"/>
        <v>0.32587840908247723</v>
      </c>
      <c r="P168" s="17">
        <f>IF(ISERROR(O168),0,IF('R-AFC ISOTOPE'!$G$7='R-AFC ISOTOPE_CONTROL'!B168,'R-AFC ISOTOPE_CONTROL'!O168,0))</f>
        <v>0</v>
      </c>
      <c r="S168" s="81"/>
      <c r="T168" s="30"/>
      <c r="U168" s="30"/>
      <c r="W168" s="30"/>
      <c r="X168" s="30"/>
      <c r="Y168" s="30"/>
      <c r="Z168" s="30"/>
      <c r="AA168" s="30"/>
      <c r="AB168" s="30"/>
      <c r="AC168" s="30"/>
      <c r="AD168" s="85"/>
      <c r="AE168" s="85"/>
      <c r="AF168" s="85"/>
      <c r="AH168" s="81"/>
      <c r="AI168" s="30"/>
      <c r="AJ168" s="30"/>
      <c r="AL168" s="30"/>
      <c r="AM168" s="30"/>
      <c r="AN168" s="30"/>
      <c r="AO168" s="30"/>
      <c r="AP168" s="30"/>
      <c r="AQ168" s="30"/>
      <c r="AR168" s="30"/>
      <c r="AS168" s="85"/>
      <c r="AT168" s="85"/>
      <c r="AU168" s="85"/>
      <c r="AW168" s="81"/>
      <c r="AX168" s="30"/>
      <c r="AY168" s="30"/>
      <c r="BA168" s="30"/>
      <c r="BB168" s="30"/>
      <c r="BC168" s="30"/>
      <c r="BD168" s="30"/>
      <c r="BE168" s="30"/>
      <c r="BF168" s="30"/>
      <c r="BG168" s="30"/>
      <c r="BH168" s="85"/>
      <c r="BI168" s="85"/>
      <c r="BJ168" s="85"/>
      <c r="BL168" s="81"/>
      <c r="BM168" s="30"/>
      <c r="BN168" s="30"/>
      <c r="BP168" s="30"/>
      <c r="BQ168" s="30"/>
      <c r="BR168" s="30"/>
      <c r="BS168" s="30"/>
      <c r="BT168" s="30"/>
      <c r="BU168" s="30"/>
      <c r="BV168" s="30"/>
      <c r="BW168" s="85"/>
      <c r="BX168" s="85"/>
      <c r="BY168" s="85"/>
      <c r="CA168" s="81"/>
      <c r="CB168" s="30"/>
      <c r="CC168" s="30"/>
      <c r="CE168" s="30"/>
      <c r="CF168" s="30"/>
      <c r="CG168" s="30"/>
      <c r="CH168" s="30"/>
      <c r="CI168" s="30"/>
      <c r="CJ168" s="30"/>
      <c r="CK168" s="30"/>
      <c r="CL168" s="85"/>
      <c r="CM168" s="85"/>
      <c r="CN168" s="85"/>
      <c r="CP168" s="81"/>
      <c r="CQ168" s="30"/>
      <c r="CR168" s="30"/>
      <c r="CT168" s="30"/>
      <c r="CU168" s="30"/>
      <c r="CV168" s="30"/>
      <c r="CW168" s="30"/>
      <c r="CX168" s="30"/>
      <c r="CY168" s="30"/>
      <c r="CZ168" s="30"/>
      <c r="DA168" s="85"/>
      <c r="DB168" s="85"/>
      <c r="DC168" s="85"/>
      <c r="DE168" s="81"/>
      <c r="DF168" s="30"/>
      <c r="DG168" s="30"/>
      <c r="DI168" s="30"/>
      <c r="DJ168" s="30"/>
      <c r="DK168" s="30"/>
      <c r="DL168" s="30"/>
      <c r="DM168" s="30"/>
      <c r="DN168" s="30"/>
      <c r="DO168" s="30"/>
      <c r="DP168" s="85"/>
      <c r="DQ168" s="85"/>
      <c r="DR168" s="85"/>
      <c r="DT168" s="81"/>
      <c r="DU168" s="30"/>
      <c r="DV168" s="30"/>
      <c r="DX168" s="30"/>
      <c r="DY168" s="30"/>
      <c r="DZ168" s="30"/>
      <c r="EA168" s="30"/>
      <c r="EB168" s="30"/>
      <c r="EC168" s="30"/>
      <c r="ED168" s="30"/>
      <c r="EE168" s="85"/>
      <c r="EF168" s="85"/>
      <c r="EG168" s="85"/>
      <c r="EI168" s="81"/>
      <c r="EJ168" s="30"/>
      <c r="EK168" s="30"/>
      <c r="EM168" s="30"/>
      <c r="EN168" s="30"/>
      <c r="EO168" s="30"/>
      <c r="EP168" s="30"/>
      <c r="EQ168" s="30"/>
      <c r="ER168" s="30"/>
      <c r="ES168" s="30"/>
      <c r="ET168" s="85"/>
      <c r="EU168" s="85"/>
      <c r="EV168" s="85"/>
    </row>
    <row r="169" spans="2:152">
      <c r="B169" s="11">
        <v>0.44</v>
      </c>
      <c r="C169" s="16"/>
      <c r="D169" s="16"/>
      <c r="E169" s="8"/>
      <c r="F169" s="27">
        <f t="shared" si="30"/>
        <v>3.2563199295594978</v>
      </c>
      <c r="G169" s="27">
        <f t="shared" si="31"/>
        <v>-0.76410181975947167</v>
      </c>
      <c r="H169" s="27">
        <f t="shared" si="32"/>
        <v>-7.3863530970927635E-3</v>
      </c>
      <c r="I169" s="27">
        <f t="shared" si="33"/>
        <v>104.44777858781471</v>
      </c>
      <c r="J169" s="27">
        <f t="shared" si="34"/>
        <v>0.18140136755810787</v>
      </c>
      <c r="K169" s="27">
        <f t="shared" si="35"/>
        <v>2.3239729954639712</v>
      </c>
      <c r="L169" s="27">
        <f t="shared" si="36"/>
        <v>4.3112796513279159</v>
      </c>
      <c r="M169" s="17">
        <f t="shared" si="37"/>
        <v>0.32886150014016402</v>
      </c>
      <c r="N169" s="17">
        <f t="shared" si="38"/>
        <v>0.32886150014016402</v>
      </c>
      <c r="O169" s="17">
        <f t="shared" si="39"/>
        <v>0.32886150014016402</v>
      </c>
      <c r="P169" s="17">
        <f>IF(ISERROR(O169),0,IF('R-AFC ISOTOPE'!$G$7='R-AFC ISOTOPE_CONTROL'!B169,'R-AFC ISOTOPE_CONTROL'!O169,0))</f>
        <v>0</v>
      </c>
      <c r="S169" s="81"/>
      <c r="T169" s="30"/>
      <c r="U169" s="30"/>
      <c r="W169" s="30"/>
      <c r="X169" s="30"/>
      <c r="Y169" s="30"/>
      <c r="Z169" s="30"/>
      <c r="AA169" s="30"/>
      <c r="AB169" s="30"/>
      <c r="AC169" s="30"/>
      <c r="AD169" s="85"/>
      <c r="AE169" s="85"/>
      <c r="AF169" s="85"/>
      <c r="AH169" s="81"/>
      <c r="AI169" s="30"/>
      <c r="AJ169" s="30"/>
      <c r="AL169" s="30"/>
      <c r="AM169" s="30"/>
      <c r="AN169" s="30"/>
      <c r="AO169" s="30"/>
      <c r="AP169" s="30"/>
      <c r="AQ169" s="30"/>
      <c r="AR169" s="30"/>
      <c r="AS169" s="85"/>
      <c r="AT169" s="85"/>
      <c r="AU169" s="85"/>
      <c r="AW169" s="81"/>
      <c r="AX169" s="30"/>
      <c r="AY169" s="30"/>
      <c r="BA169" s="30"/>
      <c r="BB169" s="30"/>
      <c r="BC169" s="30"/>
      <c r="BD169" s="30"/>
      <c r="BE169" s="30"/>
      <c r="BF169" s="30"/>
      <c r="BG169" s="30"/>
      <c r="BH169" s="85"/>
      <c r="BI169" s="85"/>
      <c r="BJ169" s="85"/>
      <c r="BL169" s="81"/>
      <c r="BM169" s="30"/>
      <c r="BN169" s="30"/>
      <c r="BP169" s="30"/>
      <c r="BQ169" s="30"/>
      <c r="BR169" s="30"/>
      <c r="BS169" s="30"/>
      <c r="BT169" s="30"/>
      <c r="BU169" s="30"/>
      <c r="BV169" s="30"/>
      <c r="BW169" s="85"/>
      <c r="BX169" s="85"/>
      <c r="BY169" s="85"/>
      <c r="CA169" s="81"/>
      <c r="CB169" s="30"/>
      <c r="CC169" s="30"/>
      <c r="CE169" s="30"/>
      <c r="CF169" s="30"/>
      <c r="CG169" s="30"/>
      <c r="CH169" s="30"/>
      <c r="CI169" s="30"/>
      <c r="CJ169" s="30"/>
      <c r="CK169" s="30"/>
      <c r="CL169" s="85"/>
      <c r="CM169" s="85"/>
      <c r="CN169" s="85"/>
      <c r="CP169" s="81"/>
      <c r="CQ169" s="30"/>
      <c r="CR169" s="30"/>
      <c r="CT169" s="30"/>
      <c r="CU169" s="30"/>
      <c r="CV169" s="30"/>
      <c r="CW169" s="30"/>
      <c r="CX169" s="30"/>
      <c r="CY169" s="30"/>
      <c r="CZ169" s="30"/>
      <c r="DA169" s="85"/>
      <c r="DB169" s="85"/>
      <c r="DC169" s="85"/>
      <c r="DE169" s="81"/>
      <c r="DF169" s="30"/>
      <c r="DG169" s="30"/>
      <c r="DI169" s="30"/>
      <c r="DJ169" s="30"/>
      <c r="DK169" s="30"/>
      <c r="DL169" s="30"/>
      <c r="DM169" s="30"/>
      <c r="DN169" s="30"/>
      <c r="DO169" s="30"/>
      <c r="DP169" s="85"/>
      <c r="DQ169" s="85"/>
      <c r="DR169" s="85"/>
      <c r="DT169" s="81"/>
      <c r="DU169" s="30"/>
      <c r="DV169" s="30"/>
      <c r="DX169" s="30"/>
      <c r="DY169" s="30"/>
      <c r="DZ169" s="30"/>
      <c r="EA169" s="30"/>
      <c r="EB169" s="30"/>
      <c r="EC169" s="30"/>
      <c r="ED169" s="30"/>
      <c r="EE169" s="85"/>
      <c r="EF169" s="85"/>
      <c r="EG169" s="85"/>
      <c r="EI169" s="81"/>
      <c r="EJ169" s="30"/>
      <c r="EK169" s="30"/>
      <c r="EM169" s="30"/>
      <c r="EN169" s="30"/>
      <c r="EO169" s="30"/>
      <c r="EP169" s="30"/>
      <c r="EQ169" s="30"/>
      <c r="ER169" s="30"/>
      <c r="ES169" s="30"/>
      <c r="ET169" s="85"/>
      <c r="EU169" s="85"/>
      <c r="EV169" s="85"/>
    </row>
    <row r="170" spans="2:152">
      <c r="B170" s="11">
        <v>0.45</v>
      </c>
      <c r="C170" s="16"/>
      <c r="D170" s="16"/>
      <c r="E170" s="8"/>
      <c r="F170" s="27">
        <f t="shared" si="30"/>
        <v>3.1008423222248851</v>
      </c>
      <c r="G170" s="27">
        <f t="shared" si="31"/>
        <v>-0.77435990211815331</v>
      </c>
      <c r="H170" s="27">
        <f t="shared" si="32"/>
        <v>-7.5542247583903271E-3</v>
      </c>
      <c r="I170" s="27">
        <f t="shared" si="33"/>
        <v>103.50686561292569</v>
      </c>
      <c r="J170" s="27">
        <f t="shared" si="34"/>
        <v>0.19224548818899748</v>
      </c>
      <c r="K170" s="27">
        <f t="shared" si="35"/>
        <v>2.4398814736278855</v>
      </c>
      <c r="L170" s="27">
        <f t="shared" si="36"/>
        <v>4.464845412412882</v>
      </c>
      <c r="M170" s="17">
        <f t="shared" si="37"/>
        <v>0.33171603257920351</v>
      </c>
      <c r="N170" s="17">
        <f t="shared" si="38"/>
        <v>0.33171603257920351</v>
      </c>
      <c r="O170" s="17">
        <f t="shared" si="39"/>
        <v>0.33171603257920351</v>
      </c>
      <c r="P170" s="17">
        <f>IF(ISERROR(O170),0,IF('R-AFC ISOTOPE'!$G$7='R-AFC ISOTOPE_CONTROL'!B170,'R-AFC ISOTOPE_CONTROL'!O170,0))</f>
        <v>0</v>
      </c>
      <c r="S170" s="81"/>
      <c r="T170" s="30"/>
      <c r="U170" s="30"/>
      <c r="W170" s="30"/>
      <c r="X170" s="30"/>
      <c r="Y170" s="30"/>
      <c r="Z170" s="30"/>
      <c r="AA170" s="30"/>
      <c r="AB170" s="30"/>
      <c r="AC170" s="30"/>
      <c r="AD170" s="85"/>
      <c r="AE170" s="85"/>
      <c r="AF170" s="85"/>
      <c r="AH170" s="81"/>
      <c r="AI170" s="30"/>
      <c r="AJ170" s="30"/>
      <c r="AL170" s="30"/>
      <c r="AM170" s="30"/>
      <c r="AN170" s="30"/>
      <c r="AO170" s="30"/>
      <c r="AP170" s="30"/>
      <c r="AQ170" s="30"/>
      <c r="AR170" s="30"/>
      <c r="AS170" s="85"/>
      <c r="AT170" s="85"/>
      <c r="AU170" s="85"/>
      <c r="AW170" s="81"/>
      <c r="AX170" s="30"/>
      <c r="AY170" s="30"/>
      <c r="BA170" s="30"/>
      <c r="BB170" s="30"/>
      <c r="BC170" s="30"/>
      <c r="BD170" s="30"/>
      <c r="BE170" s="30"/>
      <c r="BF170" s="30"/>
      <c r="BG170" s="30"/>
      <c r="BH170" s="85"/>
      <c r="BI170" s="85"/>
      <c r="BJ170" s="85"/>
      <c r="BL170" s="81"/>
      <c r="BM170" s="30"/>
      <c r="BN170" s="30"/>
      <c r="BP170" s="30"/>
      <c r="BQ170" s="30"/>
      <c r="BR170" s="30"/>
      <c r="BS170" s="30"/>
      <c r="BT170" s="30"/>
      <c r="BU170" s="30"/>
      <c r="BV170" s="30"/>
      <c r="BW170" s="85"/>
      <c r="BX170" s="85"/>
      <c r="BY170" s="85"/>
      <c r="CA170" s="81"/>
      <c r="CB170" s="30"/>
      <c r="CC170" s="30"/>
      <c r="CE170" s="30"/>
      <c r="CF170" s="30"/>
      <c r="CG170" s="30"/>
      <c r="CH170" s="30"/>
      <c r="CI170" s="30"/>
      <c r="CJ170" s="30"/>
      <c r="CK170" s="30"/>
      <c r="CL170" s="85"/>
      <c r="CM170" s="85"/>
      <c r="CN170" s="85"/>
      <c r="CP170" s="81"/>
      <c r="CQ170" s="30"/>
      <c r="CR170" s="30"/>
      <c r="CT170" s="30"/>
      <c r="CU170" s="30"/>
      <c r="CV170" s="30"/>
      <c r="CW170" s="30"/>
      <c r="CX170" s="30"/>
      <c r="CY170" s="30"/>
      <c r="CZ170" s="30"/>
      <c r="DA170" s="85"/>
      <c r="DB170" s="85"/>
      <c r="DC170" s="85"/>
      <c r="DE170" s="81"/>
      <c r="DF170" s="30"/>
      <c r="DG170" s="30"/>
      <c r="DI170" s="30"/>
      <c r="DJ170" s="30"/>
      <c r="DK170" s="30"/>
      <c r="DL170" s="30"/>
      <c r="DM170" s="30"/>
      <c r="DN170" s="30"/>
      <c r="DO170" s="30"/>
      <c r="DP170" s="85"/>
      <c r="DQ170" s="85"/>
      <c r="DR170" s="85"/>
      <c r="DT170" s="81"/>
      <c r="DU170" s="30"/>
      <c r="DV170" s="30"/>
      <c r="DX170" s="30"/>
      <c r="DY170" s="30"/>
      <c r="DZ170" s="30"/>
      <c r="EA170" s="30"/>
      <c r="EB170" s="30"/>
      <c r="EC170" s="30"/>
      <c r="ED170" s="30"/>
      <c r="EE170" s="85"/>
      <c r="EF170" s="85"/>
      <c r="EG170" s="85"/>
      <c r="EI170" s="81"/>
      <c r="EJ170" s="30"/>
      <c r="EK170" s="30"/>
      <c r="EM170" s="30"/>
      <c r="EN170" s="30"/>
      <c r="EO170" s="30"/>
      <c r="EP170" s="30"/>
      <c r="EQ170" s="30"/>
      <c r="ER170" s="30"/>
      <c r="ES170" s="30"/>
      <c r="ET170" s="85"/>
      <c r="EU170" s="85"/>
      <c r="EV170" s="85"/>
    </row>
    <row r="171" spans="2:152">
      <c r="B171" s="11">
        <v>0.46</v>
      </c>
      <c r="C171" s="16"/>
      <c r="D171" s="16"/>
      <c r="E171" s="8"/>
      <c r="F171" s="27">
        <f t="shared" si="30"/>
        <v>2.9654105819356684</v>
      </c>
      <c r="G171" s="27">
        <f t="shared" si="31"/>
        <v>-0.78461798447683506</v>
      </c>
      <c r="H171" s="27">
        <f t="shared" si="32"/>
        <v>-7.7220964196878898E-3</v>
      </c>
      <c r="I171" s="27">
        <f t="shared" si="33"/>
        <v>102.60686189781448</v>
      </c>
      <c r="J171" s="27">
        <f t="shared" si="34"/>
        <v>0.20280605711768304</v>
      </c>
      <c r="K171" s="27">
        <f t="shared" si="35"/>
        <v>2.5578716999940241</v>
      </c>
      <c r="L171" s="27">
        <f t="shared" si="36"/>
        <v>4.6197292244603876</v>
      </c>
      <c r="M171" s="17">
        <f t="shared" si="37"/>
        <v>0.33444848423576429</v>
      </c>
      <c r="N171" s="17">
        <f t="shared" si="38"/>
        <v>0.33444848423576429</v>
      </c>
      <c r="O171" s="17">
        <f t="shared" si="39"/>
        <v>0.33444848423576429</v>
      </c>
      <c r="P171" s="17">
        <f>IF(ISERROR(O171),0,IF('R-AFC ISOTOPE'!$G$7='R-AFC ISOTOPE_CONTROL'!B171,'R-AFC ISOTOPE_CONTROL'!O171,0))</f>
        <v>0</v>
      </c>
      <c r="S171" s="81"/>
      <c r="T171" s="30"/>
      <c r="U171" s="30"/>
      <c r="W171" s="30"/>
      <c r="X171" s="30"/>
      <c r="Y171" s="30"/>
      <c r="Z171" s="30"/>
      <c r="AA171" s="30"/>
      <c r="AB171" s="30"/>
      <c r="AC171" s="30"/>
      <c r="AD171" s="85"/>
      <c r="AE171" s="85"/>
      <c r="AF171" s="85"/>
      <c r="AH171" s="81"/>
      <c r="AI171" s="30"/>
      <c r="AJ171" s="30"/>
      <c r="AL171" s="30"/>
      <c r="AM171" s="30"/>
      <c r="AN171" s="30"/>
      <c r="AO171" s="30"/>
      <c r="AP171" s="30"/>
      <c r="AQ171" s="30"/>
      <c r="AR171" s="30"/>
      <c r="AS171" s="85"/>
      <c r="AT171" s="85"/>
      <c r="AU171" s="85"/>
      <c r="AW171" s="81"/>
      <c r="AX171" s="30"/>
      <c r="AY171" s="30"/>
      <c r="BA171" s="30"/>
      <c r="BB171" s="30"/>
      <c r="BC171" s="30"/>
      <c r="BD171" s="30"/>
      <c r="BE171" s="30"/>
      <c r="BF171" s="30"/>
      <c r="BG171" s="30"/>
      <c r="BH171" s="85"/>
      <c r="BI171" s="85"/>
      <c r="BJ171" s="85"/>
      <c r="BL171" s="81"/>
      <c r="BM171" s="30"/>
      <c r="BN171" s="30"/>
      <c r="BP171" s="30"/>
      <c r="BQ171" s="30"/>
      <c r="BR171" s="30"/>
      <c r="BS171" s="30"/>
      <c r="BT171" s="30"/>
      <c r="BU171" s="30"/>
      <c r="BV171" s="30"/>
      <c r="BW171" s="85"/>
      <c r="BX171" s="85"/>
      <c r="BY171" s="85"/>
      <c r="CA171" s="81"/>
      <c r="CB171" s="30"/>
      <c r="CC171" s="30"/>
      <c r="CE171" s="30"/>
      <c r="CF171" s="30"/>
      <c r="CG171" s="30"/>
      <c r="CH171" s="30"/>
      <c r="CI171" s="30"/>
      <c r="CJ171" s="30"/>
      <c r="CK171" s="30"/>
      <c r="CL171" s="85"/>
      <c r="CM171" s="85"/>
      <c r="CN171" s="85"/>
      <c r="CP171" s="81"/>
      <c r="CQ171" s="30"/>
      <c r="CR171" s="30"/>
      <c r="CT171" s="30"/>
      <c r="CU171" s="30"/>
      <c r="CV171" s="30"/>
      <c r="CW171" s="30"/>
      <c r="CX171" s="30"/>
      <c r="CY171" s="30"/>
      <c r="CZ171" s="30"/>
      <c r="DA171" s="85"/>
      <c r="DB171" s="85"/>
      <c r="DC171" s="85"/>
      <c r="DE171" s="81"/>
      <c r="DF171" s="30"/>
      <c r="DG171" s="30"/>
      <c r="DI171" s="30"/>
      <c r="DJ171" s="30"/>
      <c r="DK171" s="30"/>
      <c r="DL171" s="30"/>
      <c r="DM171" s="30"/>
      <c r="DN171" s="30"/>
      <c r="DO171" s="30"/>
      <c r="DP171" s="85"/>
      <c r="DQ171" s="85"/>
      <c r="DR171" s="85"/>
      <c r="DT171" s="81"/>
      <c r="DU171" s="30"/>
      <c r="DV171" s="30"/>
      <c r="DX171" s="30"/>
      <c r="DY171" s="30"/>
      <c r="DZ171" s="30"/>
      <c r="EA171" s="30"/>
      <c r="EB171" s="30"/>
      <c r="EC171" s="30"/>
      <c r="ED171" s="30"/>
      <c r="EE171" s="85"/>
      <c r="EF171" s="85"/>
      <c r="EG171" s="85"/>
      <c r="EI171" s="81"/>
      <c r="EJ171" s="30"/>
      <c r="EK171" s="30"/>
      <c r="EM171" s="30"/>
      <c r="EN171" s="30"/>
      <c r="EO171" s="30"/>
      <c r="EP171" s="30"/>
      <c r="EQ171" s="30"/>
      <c r="ER171" s="30"/>
      <c r="ES171" s="30"/>
      <c r="ET171" s="85"/>
      <c r="EU171" s="85"/>
      <c r="EV171" s="85"/>
    </row>
    <row r="172" spans="2:152">
      <c r="B172" s="11">
        <v>0.47</v>
      </c>
      <c r="C172" s="16"/>
      <c r="D172" s="16"/>
      <c r="E172" s="8"/>
      <c r="F172" s="27">
        <f t="shared" si="30"/>
        <v>2.8463826953468745</v>
      </c>
      <c r="G172" s="27">
        <f t="shared" si="31"/>
        <v>-0.7948760668355167</v>
      </c>
      <c r="H172" s="27">
        <f t="shared" si="32"/>
        <v>-7.8899680809854517E-3</v>
      </c>
      <c r="I172" s="27">
        <f t="shared" si="33"/>
        <v>101.74515621313353</v>
      </c>
      <c r="J172" s="27">
        <f t="shared" si="34"/>
        <v>0.21309405226953756</v>
      </c>
      <c r="K172" s="27">
        <f t="shared" si="35"/>
        <v>2.6778684495880896</v>
      </c>
      <c r="L172" s="27">
        <f t="shared" si="36"/>
        <v>4.7758557199760281</v>
      </c>
      <c r="M172" s="17">
        <f t="shared" si="37"/>
        <v>0.33706501298588937</v>
      </c>
      <c r="N172" s="17">
        <f t="shared" si="38"/>
        <v>0.33706501298588937</v>
      </c>
      <c r="O172" s="17">
        <f t="shared" si="39"/>
        <v>0.33706501298588937</v>
      </c>
      <c r="P172" s="17">
        <f>IF(ISERROR(O172),0,IF('R-AFC ISOTOPE'!$G$7='R-AFC ISOTOPE_CONTROL'!B172,'R-AFC ISOTOPE_CONTROL'!O172,0))</f>
        <v>0</v>
      </c>
      <c r="S172" s="81"/>
      <c r="T172" s="30"/>
      <c r="U172" s="30"/>
      <c r="W172" s="30"/>
      <c r="X172" s="30"/>
      <c r="Y172" s="30"/>
      <c r="Z172" s="30"/>
      <c r="AA172" s="30"/>
      <c r="AB172" s="30"/>
      <c r="AC172" s="30"/>
      <c r="AD172" s="85"/>
      <c r="AE172" s="85"/>
      <c r="AF172" s="85"/>
      <c r="AH172" s="81"/>
      <c r="AI172" s="30"/>
      <c r="AJ172" s="30"/>
      <c r="AL172" s="30"/>
      <c r="AM172" s="30"/>
      <c r="AN172" s="30"/>
      <c r="AO172" s="30"/>
      <c r="AP172" s="30"/>
      <c r="AQ172" s="30"/>
      <c r="AR172" s="30"/>
      <c r="AS172" s="85"/>
      <c r="AT172" s="85"/>
      <c r="AU172" s="85"/>
      <c r="AW172" s="81"/>
      <c r="AX172" s="30"/>
      <c r="AY172" s="30"/>
      <c r="BA172" s="30"/>
      <c r="BB172" s="30"/>
      <c r="BC172" s="30"/>
      <c r="BD172" s="30"/>
      <c r="BE172" s="30"/>
      <c r="BF172" s="30"/>
      <c r="BG172" s="30"/>
      <c r="BH172" s="85"/>
      <c r="BI172" s="85"/>
      <c r="BJ172" s="85"/>
      <c r="BL172" s="81"/>
      <c r="BM172" s="30"/>
      <c r="BN172" s="30"/>
      <c r="BP172" s="30"/>
      <c r="BQ172" s="30"/>
      <c r="BR172" s="30"/>
      <c r="BS172" s="30"/>
      <c r="BT172" s="30"/>
      <c r="BU172" s="30"/>
      <c r="BV172" s="30"/>
      <c r="BW172" s="85"/>
      <c r="BX172" s="85"/>
      <c r="BY172" s="85"/>
      <c r="CA172" s="81"/>
      <c r="CB172" s="30"/>
      <c r="CC172" s="30"/>
      <c r="CE172" s="30"/>
      <c r="CF172" s="30"/>
      <c r="CG172" s="30"/>
      <c r="CH172" s="30"/>
      <c r="CI172" s="30"/>
      <c r="CJ172" s="30"/>
      <c r="CK172" s="30"/>
      <c r="CL172" s="85"/>
      <c r="CM172" s="85"/>
      <c r="CN172" s="85"/>
      <c r="CP172" s="81"/>
      <c r="CQ172" s="30"/>
      <c r="CR172" s="30"/>
      <c r="CT172" s="30"/>
      <c r="CU172" s="30"/>
      <c r="CV172" s="30"/>
      <c r="CW172" s="30"/>
      <c r="CX172" s="30"/>
      <c r="CY172" s="30"/>
      <c r="CZ172" s="30"/>
      <c r="DA172" s="85"/>
      <c r="DB172" s="85"/>
      <c r="DC172" s="85"/>
      <c r="DE172" s="81"/>
      <c r="DF172" s="30"/>
      <c r="DG172" s="30"/>
      <c r="DI172" s="30"/>
      <c r="DJ172" s="30"/>
      <c r="DK172" s="30"/>
      <c r="DL172" s="30"/>
      <c r="DM172" s="30"/>
      <c r="DN172" s="30"/>
      <c r="DO172" s="30"/>
      <c r="DP172" s="85"/>
      <c r="DQ172" s="85"/>
      <c r="DR172" s="85"/>
      <c r="DT172" s="81"/>
      <c r="DU172" s="30"/>
      <c r="DV172" s="30"/>
      <c r="DX172" s="30"/>
      <c r="DY172" s="30"/>
      <c r="DZ172" s="30"/>
      <c r="EA172" s="30"/>
      <c r="EB172" s="30"/>
      <c r="EC172" s="30"/>
      <c r="ED172" s="30"/>
      <c r="EE172" s="85"/>
      <c r="EF172" s="85"/>
      <c r="EG172" s="85"/>
      <c r="EI172" s="81"/>
      <c r="EJ172" s="30"/>
      <c r="EK172" s="30"/>
      <c r="EM172" s="30"/>
      <c r="EN172" s="30"/>
      <c r="EO172" s="30"/>
      <c r="EP172" s="30"/>
      <c r="EQ172" s="30"/>
      <c r="ER172" s="30"/>
      <c r="ES172" s="30"/>
      <c r="ET172" s="85"/>
      <c r="EU172" s="85"/>
      <c r="EV172" s="85"/>
    </row>
    <row r="173" spans="2:152">
      <c r="B173" s="11">
        <v>0.48</v>
      </c>
      <c r="C173" s="16"/>
      <c r="D173" s="16"/>
      <c r="E173" s="8"/>
      <c r="F173" s="27">
        <f t="shared" si="30"/>
        <v>2.7409485300405549</v>
      </c>
      <c r="G173" s="27">
        <f t="shared" si="31"/>
        <v>-0.80513414919419835</v>
      </c>
      <c r="H173" s="27">
        <f t="shared" si="32"/>
        <v>-8.0578397422830152E-3</v>
      </c>
      <c r="I173" s="27">
        <f t="shared" si="33"/>
        <v>100.91935493198093</v>
      </c>
      <c r="J173" s="27">
        <f t="shared" si="34"/>
        <v>0.22311989209813554</v>
      </c>
      <c r="K173" s="27">
        <f t="shared" si="35"/>
        <v>2.7997971466244791</v>
      </c>
      <c r="L173" s="27">
        <f t="shared" si="36"/>
        <v>4.9331513434115513</v>
      </c>
      <c r="M173" s="17">
        <f t="shared" si="37"/>
        <v>0.3395714660595554</v>
      </c>
      <c r="N173" s="17">
        <f t="shared" si="38"/>
        <v>0.3395714660595554</v>
      </c>
      <c r="O173" s="17">
        <f t="shared" si="39"/>
        <v>0.3395714660595554</v>
      </c>
      <c r="P173" s="17">
        <f>IF(ISERROR(O173),0,IF('R-AFC ISOTOPE'!$G$7='R-AFC ISOTOPE_CONTROL'!B173,'R-AFC ISOTOPE_CONTROL'!O173,0))</f>
        <v>0</v>
      </c>
      <c r="S173" s="81"/>
      <c r="T173" s="30"/>
      <c r="U173" s="30"/>
      <c r="W173" s="30"/>
      <c r="X173" s="30"/>
      <c r="Y173" s="30"/>
      <c r="Z173" s="30"/>
      <c r="AA173" s="30"/>
      <c r="AB173" s="30"/>
      <c r="AC173" s="30"/>
      <c r="AD173" s="85"/>
      <c r="AE173" s="85"/>
      <c r="AF173" s="85"/>
      <c r="AH173" s="81"/>
      <c r="AI173" s="30"/>
      <c r="AJ173" s="30"/>
      <c r="AL173" s="30"/>
      <c r="AM173" s="30"/>
      <c r="AN173" s="30"/>
      <c r="AO173" s="30"/>
      <c r="AP173" s="30"/>
      <c r="AQ173" s="30"/>
      <c r="AR173" s="30"/>
      <c r="AS173" s="85"/>
      <c r="AT173" s="85"/>
      <c r="AU173" s="85"/>
      <c r="AW173" s="81"/>
      <c r="AX173" s="30"/>
      <c r="AY173" s="30"/>
      <c r="BA173" s="30"/>
      <c r="BB173" s="30"/>
      <c r="BC173" s="30"/>
      <c r="BD173" s="30"/>
      <c r="BE173" s="30"/>
      <c r="BF173" s="30"/>
      <c r="BG173" s="30"/>
      <c r="BH173" s="85"/>
      <c r="BI173" s="85"/>
      <c r="BJ173" s="85"/>
      <c r="BL173" s="81"/>
      <c r="BM173" s="30"/>
      <c r="BN173" s="30"/>
      <c r="BP173" s="30"/>
      <c r="BQ173" s="30"/>
      <c r="BR173" s="30"/>
      <c r="BS173" s="30"/>
      <c r="BT173" s="30"/>
      <c r="BU173" s="30"/>
      <c r="BV173" s="30"/>
      <c r="BW173" s="85"/>
      <c r="BX173" s="85"/>
      <c r="BY173" s="85"/>
      <c r="CA173" s="81"/>
      <c r="CB173" s="30"/>
      <c r="CC173" s="30"/>
      <c r="CE173" s="30"/>
      <c r="CF173" s="30"/>
      <c r="CG173" s="30"/>
      <c r="CH173" s="30"/>
      <c r="CI173" s="30"/>
      <c r="CJ173" s="30"/>
      <c r="CK173" s="30"/>
      <c r="CL173" s="85"/>
      <c r="CM173" s="85"/>
      <c r="CN173" s="85"/>
      <c r="CP173" s="81"/>
      <c r="CQ173" s="30"/>
      <c r="CR173" s="30"/>
      <c r="CT173" s="30"/>
      <c r="CU173" s="30"/>
      <c r="CV173" s="30"/>
      <c r="CW173" s="30"/>
      <c r="CX173" s="30"/>
      <c r="CY173" s="30"/>
      <c r="CZ173" s="30"/>
      <c r="DA173" s="85"/>
      <c r="DB173" s="85"/>
      <c r="DC173" s="85"/>
      <c r="DE173" s="81"/>
      <c r="DF173" s="30"/>
      <c r="DG173" s="30"/>
      <c r="DI173" s="30"/>
      <c r="DJ173" s="30"/>
      <c r="DK173" s="30"/>
      <c r="DL173" s="30"/>
      <c r="DM173" s="30"/>
      <c r="DN173" s="30"/>
      <c r="DO173" s="30"/>
      <c r="DP173" s="85"/>
      <c r="DQ173" s="85"/>
      <c r="DR173" s="85"/>
      <c r="DT173" s="81"/>
      <c r="DU173" s="30"/>
      <c r="DV173" s="30"/>
      <c r="DX173" s="30"/>
      <c r="DY173" s="30"/>
      <c r="DZ173" s="30"/>
      <c r="EA173" s="30"/>
      <c r="EB173" s="30"/>
      <c r="EC173" s="30"/>
      <c r="ED173" s="30"/>
      <c r="EE173" s="85"/>
      <c r="EF173" s="85"/>
      <c r="EG173" s="85"/>
      <c r="EI173" s="81"/>
      <c r="EJ173" s="30"/>
      <c r="EK173" s="30"/>
      <c r="EM173" s="30"/>
      <c r="EN173" s="30"/>
      <c r="EO173" s="30"/>
      <c r="EP173" s="30"/>
      <c r="EQ173" s="30"/>
      <c r="ER173" s="30"/>
      <c r="ES173" s="30"/>
      <c r="ET173" s="85"/>
      <c r="EU173" s="85"/>
      <c r="EV173" s="85"/>
    </row>
    <row r="174" spans="2:152">
      <c r="B174" s="11">
        <v>0.49</v>
      </c>
      <c r="C174" s="16"/>
      <c r="D174" s="16"/>
      <c r="E174" s="8"/>
      <c r="F174" s="27">
        <f t="shared" si="30"/>
        <v>2.6469051498411127</v>
      </c>
      <c r="G174" s="27">
        <f t="shared" si="31"/>
        <v>-0.8153922315528801</v>
      </c>
      <c r="H174" s="27">
        <f t="shared" si="32"/>
        <v>-8.2257114035805771E-3</v>
      </c>
      <c r="I174" s="27">
        <f t="shared" si="33"/>
        <v>100.12725982556928</v>
      </c>
      <c r="J174" s="27">
        <f t="shared" si="34"/>
        <v>0.23289347077756647</v>
      </c>
      <c r="K174" s="27">
        <f t="shared" si="35"/>
        <v>2.9235839959952501</v>
      </c>
      <c r="L174" s="27">
        <f t="shared" si="36"/>
        <v>5.0915443851517734</v>
      </c>
      <c r="M174" s="17">
        <f t="shared" si="37"/>
        <v>0.34197339049722181</v>
      </c>
      <c r="N174" s="17">
        <f t="shared" si="38"/>
        <v>0.34197339049722181</v>
      </c>
      <c r="O174" s="17">
        <f t="shared" si="39"/>
        <v>0.34197339049722181</v>
      </c>
      <c r="P174" s="17">
        <f>IF(ISERROR(O174),0,IF('R-AFC ISOTOPE'!$G$7='R-AFC ISOTOPE_CONTROL'!B174,'R-AFC ISOTOPE_CONTROL'!O174,0))</f>
        <v>0</v>
      </c>
      <c r="S174" s="81"/>
      <c r="T174" s="30"/>
      <c r="U174" s="30"/>
      <c r="W174" s="30"/>
      <c r="X174" s="30"/>
      <c r="Y174" s="30"/>
      <c r="Z174" s="30"/>
      <c r="AA174" s="30"/>
      <c r="AB174" s="30"/>
      <c r="AC174" s="30"/>
      <c r="AD174" s="85"/>
      <c r="AE174" s="85"/>
      <c r="AF174" s="85"/>
      <c r="AH174" s="81"/>
      <c r="AI174" s="30"/>
      <c r="AJ174" s="30"/>
      <c r="AL174" s="30"/>
      <c r="AM174" s="30"/>
      <c r="AN174" s="30"/>
      <c r="AO174" s="30"/>
      <c r="AP174" s="30"/>
      <c r="AQ174" s="30"/>
      <c r="AR174" s="30"/>
      <c r="AS174" s="85"/>
      <c r="AT174" s="85"/>
      <c r="AU174" s="85"/>
      <c r="AW174" s="81"/>
      <c r="AX174" s="30"/>
      <c r="AY174" s="30"/>
      <c r="BA174" s="30"/>
      <c r="BB174" s="30"/>
      <c r="BC174" s="30"/>
      <c r="BD174" s="30"/>
      <c r="BE174" s="30"/>
      <c r="BF174" s="30"/>
      <c r="BG174" s="30"/>
      <c r="BH174" s="85"/>
      <c r="BI174" s="85"/>
      <c r="BJ174" s="85"/>
      <c r="BL174" s="81"/>
      <c r="BM174" s="30"/>
      <c r="BN174" s="30"/>
      <c r="BP174" s="30"/>
      <c r="BQ174" s="30"/>
      <c r="BR174" s="30"/>
      <c r="BS174" s="30"/>
      <c r="BT174" s="30"/>
      <c r="BU174" s="30"/>
      <c r="BV174" s="30"/>
      <c r="BW174" s="85"/>
      <c r="BX174" s="85"/>
      <c r="BY174" s="85"/>
      <c r="CA174" s="81"/>
      <c r="CB174" s="30"/>
      <c r="CC174" s="30"/>
      <c r="CE174" s="30"/>
      <c r="CF174" s="30"/>
      <c r="CG174" s="30"/>
      <c r="CH174" s="30"/>
      <c r="CI174" s="30"/>
      <c r="CJ174" s="30"/>
      <c r="CK174" s="30"/>
      <c r="CL174" s="85"/>
      <c r="CM174" s="85"/>
      <c r="CN174" s="85"/>
      <c r="CP174" s="81"/>
      <c r="CQ174" s="30"/>
      <c r="CR174" s="30"/>
      <c r="CT174" s="30"/>
      <c r="CU174" s="30"/>
      <c r="CV174" s="30"/>
      <c r="CW174" s="30"/>
      <c r="CX174" s="30"/>
      <c r="CY174" s="30"/>
      <c r="CZ174" s="30"/>
      <c r="DA174" s="85"/>
      <c r="DB174" s="85"/>
      <c r="DC174" s="85"/>
      <c r="DE174" s="81"/>
      <c r="DF174" s="30"/>
      <c r="DG174" s="30"/>
      <c r="DI174" s="30"/>
      <c r="DJ174" s="30"/>
      <c r="DK174" s="30"/>
      <c r="DL174" s="30"/>
      <c r="DM174" s="30"/>
      <c r="DN174" s="30"/>
      <c r="DO174" s="30"/>
      <c r="DP174" s="85"/>
      <c r="DQ174" s="85"/>
      <c r="DR174" s="85"/>
      <c r="DT174" s="81"/>
      <c r="DU174" s="30"/>
      <c r="DV174" s="30"/>
      <c r="DX174" s="30"/>
      <c r="DY174" s="30"/>
      <c r="DZ174" s="30"/>
      <c r="EA174" s="30"/>
      <c r="EB174" s="30"/>
      <c r="EC174" s="30"/>
      <c r="ED174" s="30"/>
      <c r="EE174" s="85"/>
      <c r="EF174" s="85"/>
      <c r="EG174" s="85"/>
      <c r="EI174" s="81"/>
      <c r="EJ174" s="30"/>
      <c r="EK174" s="30"/>
      <c r="EM174" s="30"/>
      <c r="EN174" s="30"/>
      <c r="EO174" s="30"/>
      <c r="EP174" s="30"/>
      <c r="EQ174" s="30"/>
      <c r="ER174" s="30"/>
      <c r="ES174" s="30"/>
      <c r="ET174" s="85"/>
      <c r="EU174" s="85"/>
      <c r="EV174" s="85"/>
    </row>
    <row r="175" spans="2:152">
      <c r="B175" s="11">
        <v>0.5</v>
      </c>
      <c r="C175" s="16"/>
      <c r="D175" s="16"/>
      <c r="E175" s="8"/>
      <c r="F175" s="27">
        <f t="shared" si="30"/>
        <v>2.5625012207040792</v>
      </c>
      <c r="G175" s="27">
        <f t="shared" si="31"/>
        <v>-0.82565031391156174</v>
      </c>
      <c r="H175" s="27">
        <f t="shared" si="32"/>
        <v>-8.3935830648781407E-3</v>
      </c>
      <c r="I175" s="27">
        <f t="shared" si="33"/>
        <v>99.366848523414077</v>
      </c>
      <c r="J175" s="27">
        <f t="shared" si="34"/>
        <v>0.24242419077132046</v>
      </c>
      <c r="K175" s="27">
        <f t="shared" si="35"/>
        <v>3.0491560993321345</v>
      </c>
      <c r="L175" s="27">
        <f t="shared" si="36"/>
        <v>5.2509650059518043</v>
      </c>
      <c r="M175" s="17">
        <f t="shared" si="37"/>
        <v>0.34427604440554394</v>
      </c>
      <c r="N175" s="17">
        <f t="shared" si="38"/>
        <v>0.34427604440554394</v>
      </c>
      <c r="O175" s="17">
        <f t="shared" si="39"/>
        <v>0.34427604440554394</v>
      </c>
      <c r="P175" s="17">
        <f>IF(ISERROR(O175),0,IF('R-AFC ISOTOPE'!$G$7='R-AFC ISOTOPE_CONTROL'!B175,'R-AFC ISOTOPE_CONTROL'!O175,0))</f>
        <v>0</v>
      </c>
      <c r="S175" s="81"/>
      <c r="T175" s="30"/>
      <c r="U175" s="30"/>
      <c r="W175" s="30"/>
      <c r="X175" s="30"/>
      <c r="Y175" s="30"/>
      <c r="Z175" s="30"/>
      <c r="AA175" s="30"/>
      <c r="AB175" s="30"/>
      <c r="AC175" s="30"/>
      <c r="AD175" s="85"/>
      <c r="AE175" s="85"/>
      <c r="AF175" s="85"/>
      <c r="AH175" s="81"/>
      <c r="AI175" s="30"/>
      <c r="AJ175" s="30"/>
      <c r="AL175" s="30"/>
      <c r="AM175" s="30"/>
      <c r="AN175" s="30"/>
      <c r="AO175" s="30"/>
      <c r="AP175" s="30"/>
      <c r="AQ175" s="30"/>
      <c r="AR175" s="30"/>
      <c r="AS175" s="85"/>
      <c r="AT175" s="85"/>
      <c r="AU175" s="85"/>
      <c r="AW175" s="81"/>
      <c r="AX175" s="30"/>
      <c r="AY175" s="30"/>
      <c r="BA175" s="30"/>
      <c r="BB175" s="30"/>
      <c r="BC175" s="30"/>
      <c r="BD175" s="30"/>
      <c r="BE175" s="30"/>
      <c r="BF175" s="30"/>
      <c r="BG175" s="30"/>
      <c r="BH175" s="85"/>
      <c r="BI175" s="85"/>
      <c r="BJ175" s="85"/>
      <c r="BL175" s="81"/>
      <c r="BM175" s="30"/>
      <c r="BN175" s="30"/>
      <c r="BP175" s="30"/>
      <c r="BQ175" s="30"/>
      <c r="BR175" s="30"/>
      <c r="BS175" s="30"/>
      <c r="BT175" s="30"/>
      <c r="BU175" s="30"/>
      <c r="BV175" s="30"/>
      <c r="BW175" s="85"/>
      <c r="BX175" s="85"/>
      <c r="BY175" s="85"/>
      <c r="CA175" s="81"/>
      <c r="CB175" s="30"/>
      <c r="CC175" s="30"/>
      <c r="CE175" s="30"/>
      <c r="CF175" s="30"/>
      <c r="CG175" s="30"/>
      <c r="CH175" s="30"/>
      <c r="CI175" s="30"/>
      <c r="CJ175" s="30"/>
      <c r="CK175" s="30"/>
      <c r="CL175" s="85"/>
      <c r="CM175" s="85"/>
      <c r="CN175" s="85"/>
      <c r="CP175" s="81"/>
      <c r="CQ175" s="30"/>
      <c r="CR175" s="30"/>
      <c r="CT175" s="30"/>
      <c r="CU175" s="30"/>
      <c r="CV175" s="30"/>
      <c r="CW175" s="30"/>
      <c r="CX175" s="30"/>
      <c r="CY175" s="30"/>
      <c r="CZ175" s="30"/>
      <c r="DA175" s="85"/>
      <c r="DB175" s="85"/>
      <c r="DC175" s="85"/>
      <c r="DE175" s="81"/>
      <c r="DF175" s="30"/>
      <c r="DG175" s="30"/>
      <c r="DI175" s="30"/>
      <c r="DJ175" s="30"/>
      <c r="DK175" s="30"/>
      <c r="DL175" s="30"/>
      <c r="DM175" s="30"/>
      <c r="DN175" s="30"/>
      <c r="DO175" s="30"/>
      <c r="DP175" s="85"/>
      <c r="DQ175" s="85"/>
      <c r="DR175" s="85"/>
      <c r="DT175" s="81"/>
      <c r="DU175" s="30"/>
      <c r="DV175" s="30"/>
      <c r="DX175" s="30"/>
      <c r="DY175" s="30"/>
      <c r="DZ175" s="30"/>
      <c r="EA175" s="30"/>
      <c r="EB175" s="30"/>
      <c r="EC175" s="30"/>
      <c r="ED175" s="30"/>
      <c r="EE175" s="85"/>
      <c r="EF175" s="85"/>
      <c r="EG175" s="85"/>
      <c r="EI175" s="81"/>
      <c r="EJ175" s="30"/>
      <c r="EK175" s="30"/>
      <c r="EM175" s="30"/>
      <c r="EN175" s="30"/>
      <c r="EO175" s="30"/>
      <c r="EP175" s="30"/>
      <c r="EQ175" s="30"/>
      <c r="ER175" s="30"/>
      <c r="ES175" s="30"/>
      <c r="ET175" s="85"/>
      <c r="EU175" s="85"/>
      <c r="EV175" s="85"/>
    </row>
    <row r="176" spans="2:152">
      <c r="B176" s="11">
        <v>0.51</v>
      </c>
      <c r="C176" s="16"/>
      <c r="D176" s="16"/>
      <c r="E176" s="8"/>
      <c r="F176" s="27">
        <f t="shared" si="30"/>
        <v>2.4863269292906276</v>
      </c>
      <c r="G176" s="27">
        <f t="shared" si="31"/>
        <v>-0.83590839627024338</v>
      </c>
      <c r="H176" s="27">
        <f t="shared" si="32"/>
        <v>-8.5614547261757042E-3</v>
      </c>
      <c r="I176" s="27">
        <f t="shared" si="33"/>
        <v>98.636257272323775</v>
      </c>
      <c r="J176" s="27">
        <f t="shared" si="34"/>
        <v>0.25172099300310508</v>
      </c>
      <c r="K176" s="27">
        <f t="shared" si="35"/>
        <v>3.1764415568440474</v>
      </c>
      <c r="L176" s="27">
        <f t="shared" si="36"/>
        <v>5.411345252808573</v>
      </c>
      <c r="M176" s="17">
        <f t="shared" si="37"/>
        <v>0.3464844087299927</v>
      </c>
      <c r="N176" s="17">
        <f t="shared" si="38"/>
        <v>0.3464844087299927</v>
      </c>
      <c r="O176" s="17">
        <f t="shared" si="39"/>
        <v>0.3464844087299927</v>
      </c>
      <c r="P176" s="17">
        <f>IF(ISERROR(O176),0,IF('R-AFC ISOTOPE'!$G$7='R-AFC ISOTOPE_CONTROL'!B176,'R-AFC ISOTOPE_CONTROL'!O176,0))</f>
        <v>0</v>
      </c>
      <c r="S176" s="81"/>
      <c r="T176" s="30"/>
      <c r="U176" s="30"/>
      <c r="W176" s="30"/>
      <c r="X176" s="30"/>
      <c r="Y176" s="30"/>
      <c r="Z176" s="30"/>
      <c r="AA176" s="30"/>
      <c r="AB176" s="30"/>
      <c r="AC176" s="30"/>
      <c r="AD176" s="85"/>
      <c r="AE176" s="85"/>
      <c r="AF176" s="85"/>
      <c r="AH176" s="81"/>
      <c r="AI176" s="30"/>
      <c r="AJ176" s="30"/>
      <c r="AL176" s="30"/>
      <c r="AM176" s="30"/>
      <c r="AN176" s="30"/>
      <c r="AO176" s="30"/>
      <c r="AP176" s="30"/>
      <c r="AQ176" s="30"/>
      <c r="AR176" s="30"/>
      <c r="AS176" s="85"/>
      <c r="AT176" s="85"/>
      <c r="AU176" s="85"/>
      <c r="AW176" s="81"/>
      <c r="AX176" s="30"/>
      <c r="AY176" s="30"/>
      <c r="BA176" s="30"/>
      <c r="BB176" s="30"/>
      <c r="BC176" s="30"/>
      <c r="BD176" s="30"/>
      <c r="BE176" s="30"/>
      <c r="BF176" s="30"/>
      <c r="BG176" s="30"/>
      <c r="BH176" s="85"/>
      <c r="BI176" s="85"/>
      <c r="BJ176" s="85"/>
      <c r="BL176" s="81"/>
      <c r="BM176" s="30"/>
      <c r="BN176" s="30"/>
      <c r="BP176" s="30"/>
      <c r="BQ176" s="30"/>
      <c r="BR176" s="30"/>
      <c r="BS176" s="30"/>
      <c r="BT176" s="30"/>
      <c r="BU176" s="30"/>
      <c r="BV176" s="30"/>
      <c r="BW176" s="85"/>
      <c r="BX176" s="85"/>
      <c r="BY176" s="85"/>
      <c r="CA176" s="81"/>
      <c r="CB176" s="30"/>
      <c r="CC176" s="30"/>
      <c r="CE176" s="30"/>
      <c r="CF176" s="30"/>
      <c r="CG176" s="30"/>
      <c r="CH176" s="30"/>
      <c r="CI176" s="30"/>
      <c r="CJ176" s="30"/>
      <c r="CK176" s="30"/>
      <c r="CL176" s="85"/>
      <c r="CM176" s="85"/>
      <c r="CN176" s="85"/>
      <c r="CP176" s="81"/>
      <c r="CQ176" s="30"/>
      <c r="CR176" s="30"/>
      <c r="CT176" s="30"/>
      <c r="CU176" s="30"/>
      <c r="CV176" s="30"/>
      <c r="CW176" s="30"/>
      <c r="CX176" s="30"/>
      <c r="CY176" s="30"/>
      <c r="CZ176" s="30"/>
      <c r="DA176" s="85"/>
      <c r="DB176" s="85"/>
      <c r="DC176" s="85"/>
      <c r="DE176" s="81"/>
      <c r="DF176" s="30"/>
      <c r="DG176" s="30"/>
      <c r="DI176" s="30"/>
      <c r="DJ176" s="30"/>
      <c r="DK176" s="30"/>
      <c r="DL176" s="30"/>
      <c r="DM176" s="30"/>
      <c r="DN176" s="30"/>
      <c r="DO176" s="30"/>
      <c r="DP176" s="85"/>
      <c r="DQ176" s="85"/>
      <c r="DR176" s="85"/>
      <c r="DT176" s="81"/>
      <c r="DU176" s="30"/>
      <c r="DV176" s="30"/>
      <c r="DX176" s="30"/>
      <c r="DY176" s="30"/>
      <c r="DZ176" s="30"/>
      <c r="EA176" s="30"/>
      <c r="EB176" s="30"/>
      <c r="EC176" s="30"/>
      <c r="ED176" s="30"/>
      <c r="EE176" s="85"/>
      <c r="EF176" s="85"/>
      <c r="EG176" s="85"/>
      <c r="EI176" s="81"/>
      <c r="EJ176" s="30"/>
      <c r="EK176" s="30"/>
      <c r="EM176" s="30"/>
      <c r="EN176" s="30"/>
      <c r="EO176" s="30"/>
      <c r="EP176" s="30"/>
      <c r="EQ176" s="30"/>
      <c r="ER176" s="30"/>
      <c r="ES176" s="30"/>
      <c r="ET176" s="85"/>
      <c r="EU176" s="85"/>
      <c r="EV176" s="85"/>
    </row>
    <row r="177" spans="2:152">
      <c r="B177" s="11">
        <v>0.52</v>
      </c>
      <c r="C177" s="16"/>
      <c r="D177" s="16"/>
      <c r="E177" s="8"/>
      <c r="F177" s="27">
        <f t="shared" si="30"/>
        <v>2.417234604537974</v>
      </c>
      <c r="G177" s="27">
        <f t="shared" si="31"/>
        <v>-0.84616647862892513</v>
      </c>
      <c r="H177" s="27">
        <f t="shared" si="32"/>
        <v>-8.7293263874732661E-3</v>
      </c>
      <c r="I177" s="27">
        <f t="shared" si="33"/>
        <v>97.933765684736983</v>
      </c>
      <c r="J177" s="27">
        <f t="shared" si="34"/>
        <v>0.26079238483309608</v>
      </c>
      <c r="K177" s="27">
        <f t="shared" si="35"/>
        <v>3.3053695560671086</v>
      </c>
      <c r="L177" s="27">
        <f t="shared" si="36"/>
        <v>5.5726190671737621</v>
      </c>
      <c r="M177" s="17">
        <f t="shared" si="37"/>
        <v>0.34860319931430916</v>
      </c>
      <c r="N177" s="17">
        <f t="shared" si="38"/>
        <v>0.34860319931430916</v>
      </c>
      <c r="O177" s="17">
        <f t="shared" si="39"/>
        <v>0.34860319931430916</v>
      </c>
      <c r="P177" s="17">
        <f>IF(ISERROR(O177),0,IF('R-AFC ISOTOPE'!$G$7='R-AFC ISOTOPE_CONTROL'!B177,'R-AFC ISOTOPE_CONTROL'!O177,0))</f>
        <v>0</v>
      </c>
      <c r="S177" s="81"/>
      <c r="T177" s="30"/>
      <c r="U177" s="30"/>
      <c r="W177" s="30"/>
      <c r="X177" s="30"/>
      <c r="Y177" s="30"/>
      <c r="Z177" s="30"/>
      <c r="AA177" s="30"/>
      <c r="AB177" s="30"/>
      <c r="AC177" s="30"/>
      <c r="AD177" s="85"/>
      <c r="AE177" s="85"/>
      <c r="AF177" s="85"/>
      <c r="AH177" s="81"/>
      <c r="AI177" s="30"/>
      <c r="AJ177" s="30"/>
      <c r="AL177" s="30"/>
      <c r="AM177" s="30"/>
      <c r="AN177" s="30"/>
      <c r="AO177" s="30"/>
      <c r="AP177" s="30"/>
      <c r="AQ177" s="30"/>
      <c r="AR177" s="30"/>
      <c r="AS177" s="85"/>
      <c r="AT177" s="85"/>
      <c r="AU177" s="85"/>
      <c r="AW177" s="81"/>
      <c r="AX177" s="30"/>
      <c r="AY177" s="30"/>
      <c r="BA177" s="30"/>
      <c r="BB177" s="30"/>
      <c r="BC177" s="30"/>
      <c r="BD177" s="30"/>
      <c r="BE177" s="30"/>
      <c r="BF177" s="30"/>
      <c r="BG177" s="30"/>
      <c r="BH177" s="85"/>
      <c r="BI177" s="85"/>
      <c r="BJ177" s="85"/>
      <c r="BL177" s="81"/>
      <c r="BM177" s="30"/>
      <c r="BN177" s="30"/>
      <c r="BP177" s="30"/>
      <c r="BQ177" s="30"/>
      <c r="BR177" s="30"/>
      <c r="BS177" s="30"/>
      <c r="BT177" s="30"/>
      <c r="BU177" s="30"/>
      <c r="BV177" s="30"/>
      <c r="BW177" s="85"/>
      <c r="BX177" s="85"/>
      <c r="BY177" s="85"/>
      <c r="CA177" s="81"/>
      <c r="CB177" s="30"/>
      <c r="CC177" s="30"/>
      <c r="CE177" s="30"/>
      <c r="CF177" s="30"/>
      <c r="CG177" s="30"/>
      <c r="CH177" s="30"/>
      <c r="CI177" s="30"/>
      <c r="CJ177" s="30"/>
      <c r="CK177" s="30"/>
      <c r="CL177" s="85"/>
      <c r="CM177" s="85"/>
      <c r="CN177" s="85"/>
      <c r="CP177" s="81"/>
      <c r="CQ177" s="30"/>
      <c r="CR177" s="30"/>
      <c r="CT177" s="30"/>
      <c r="CU177" s="30"/>
      <c r="CV177" s="30"/>
      <c r="CW177" s="30"/>
      <c r="CX177" s="30"/>
      <c r="CY177" s="30"/>
      <c r="CZ177" s="30"/>
      <c r="DA177" s="85"/>
      <c r="DB177" s="85"/>
      <c r="DC177" s="85"/>
      <c r="DE177" s="81"/>
      <c r="DF177" s="30"/>
      <c r="DG177" s="30"/>
      <c r="DI177" s="30"/>
      <c r="DJ177" s="30"/>
      <c r="DK177" s="30"/>
      <c r="DL177" s="30"/>
      <c r="DM177" s="30"/>
      <c r="DN177" s="30"/>
      <c r="DO177" s="30"/>
      <c r="DP177" s="85"/>
      <c r="DQ177" s="85"/>
      <c r="DR177" s="85"/>
      <c r="DT177" s="81"/>
      <c r="DU177" s="30"/>
      <c r="DV177" s="30"/>
      <c r="DX177" s="30"/>
      <c r="DY177" s="30"/>
      <c r="DZ177" s="30"/>
      <c r="EA177" s="30"/>
      <c r="EB177" s="30"/>
      <c r="EC177" s="30"/>
      <c r="ED177" s="30"/>
      <c r="EE177" s="85"/>
      <c r="EF177" s="85"/>
      <c r="EG177" s="85"/>
      <c r="EI177" s="81"/>
      <c r="EJ177" s="30"/>
      <c r="EK177" s="30"/>
      <c r="EM177" s="30"/>
      <c r="EN177" s="30"/>
      <c r="EO177" s="30"/>
      <c r="EP177" s="30"/>
      <c r="EQ177" s="30"/>
      <c r="ER177" s="30"/>
      <c r="ES177" s="30"/>
      <c r="ET177" s="85"/>
      <c r="EU177" s="85"/>
      <c r="EV177" s="85"/>
    </row>
    <row r="178" spans="2:152">
      <c r="B178" s="11">
        <v>0.53</v>
      </c>
      <c r="C178" s="16"/>
      <c r="D178" s="16"/>
      <c r="E178" s="8"/>
      <c r="F178" s="27">
        <f t="shared" si="30"/>
        <v>2.3542804953530103</v>
      </c>
      <c r="G178" s="27">
        <f t="shared" si="31"/>
        <v>-0.85642456098760678</v>
      </c>
      <c r="H178" s="27">
        <f t="shared" si="32"/>
        <v>-8.8971980487708296E-3</v>
      </c>
      <c r="I178" s="27">
        <f t="shared" si="33"/>
        <v>97.257783213662861</v>
      </c>
      <c r="J178" s="27">
        <f t="shared" si="34"/>
        <v>0.26964646602362435</v>
      </c>
      <c r="K178" s="27">
        <f t="shared" si="35"/>
        <v>3.4358704485985578</v>
      </c>
      <c r="L178" s="27">
        <f t="shared" si="36"/>
        <v>5.7347222863423726</v>
      </c>
      <c r="M178" s="17">
        <f t="shared" si="37"/>
        <v>0.35063687906105451</v>
      </c>
      <c r="N178" s="17">
        <f t="shared" si="38"/>
        <v>0.35063687906105451</v>
      </c>
      <c r="O178" s="17">
        <f t="shared" si="39"/>
        <v>0.35063687906105451</v>
      </c>
      <c r="P178" s="17">
        <f>IF(ISERROR(O178),0,IF('R-AFC ISOTOPE'!$G$7='R-AFC ISOTOPE_CONTROL'!B178,'R-AFC ISOTOPE_CONTROL'!O178,0))</f>
        <v>0</v>
      </c>
      <c r="S178" s="81"/>
      <c r="T178" s="30"/>
      <c r="U178" s="30"/>
      <c r="W178" s="30"/>
      <c r="X178" s="30"/>
      <c r="Y178" s="30"/>
      <c r="Z178" s="30"/>
      <c r="AA178" s="30"/>
      <c r="AB178" s="30"/>
      <c r="AC178" s="30"/>
      <c r="AD178" s="85"/>
      <c r="AE178" s="85"/>
      <c r="AF178" s="85"/>
      <c r="AH178" s="81"/>
      <c r="AI178" s="30"/>
      <c r="AJ178" s="30"/>
      <c r="AL178" s="30"/>
      <c r="AM178" s="30"/>
      <c r="AN178" s="30"/>
      <c r="AO178" s="30"/>
      <c r="AP178" s="30"/>
      <c r="AQ178" s="30"/>
      <c r="AR178" s="30"/>
      <c r="AS178" s="85"/>
      <c r="AT178" s="85"/>
      <c r="AU178" s="85"/>
      <c r="AW178" s="81"/>
      <c r="AX178" s="30"/>
      <c r="AY178" s="30"/>
      <c r="BA178" s="30"/>
      <c r="BB178" s="30"/>
      <c r="BC178" s="30"/>
      <c r="BD178" s="30"/>
      <c r="BE178" s="30"/>
      <c r="BF178" s="30"/>
      <c r="BG178" s="30"/>
      <c r="BH178" s="85"/>
      <c r="BI178" s="85"/>
      <c r="BJ178" s="85"/>
      <c r="BL178" s="81"/>
      <c r="BM178" s="30"/>
      <c r="BN178" s="30"/>
      <c r="BP178" s="30"/>
      <c r="BQ178" s="30"/>
      <c r="BR178" s="30"/>
      <c r="BS178" s="30"/>
      <c r="BT178" s="30"/>
      <c r="BU178" s="30"/>
      <c r="BV178" s="30"/>
      <c r="BW178" s="85"/>
      <c r="BX178" s="85"/>
      <c r="BY178" s="85"/>
      <c r="CA178" s="81"/>
      <c r="CB178" s="30"/>
      <c r="CC178" s="30"/>
      <c r="CE178" s="30"/>
      <c r="CF178" s="30"/>
      <c r="CG178" s="30"/>
      <c r="CH178" s="30"/>
      <c r="CI178" s="30"/>
      <c r="CJ178" s="30"/>
      <c r="CK178" s="30"/>
      <c r="CL178" s="85"/>
      <c r="CM178" s="85"/>
      <c r="CN178" s="85"/>
      <c r="CP178" s="81"/>
      <c r="CQ178" s="30"/>
      <c r="CR178" s="30"/>
      <c r="CT178" s="30"/>
      <c r="CU178" s="30"/>
      <c r="CV178" s="30"/>
      <c r="CW178" s="30"/>
      <c r="CX178" s="30"/>
      <c r="CY178" s="30"/>
      <c r="CZ178" s="30"/>
      <c r="DA178" s="85"/>
      <c r="DB178" s="85"/>
      <c r="DC178" s="85"/>
      <c r="DE178" s="81"/>
      <c r="DF178" s="30"/>
      <c r="DG178" s="30"/>
      <c r="DI178" s="30"/>
      <c r="DJ178" s="30"/>
      <c r="DK178" s="30"/>
      <c r="DL178" s="30"/>
      <c r="DM178" s="30"/>
      <c r="DN178" s="30"/>
      <c r="DO178" s="30"/>
      <c r="DP178" s="85"/>
      <c r="DQ178" s="85"/>
      <c r="DR178" s="85"/>
      <c r="DT178" s="81"/>
      <c r="DU178" s="30"/>
      <c r="DV178" s="30"/>
      <c r="DX178" s="30"/>
      <c r="DY178" s="30"/>
      <c r="DZ178" s="30"/>
      <c r="EA178" s="30"/>
      <c r="EB178" s="30"/>
      <c r="EC178" s="30"/>
      <c r="ED178" s="30"/>
      <c r="EE178" s="85"/>
      <c r="EF178" s="85"/>
      <c r="EG178" s="85"/>
      <c r="EI178" s="81"/>
      <c r="EJ178" s="30"/>
      <c r="EK178" s="30"/>
      <c r="EM178" s="30"/>
      <c r="EN178" s="30"/>
      <c r="EO178" s="30"/>
      <c r="EP178" s="30"/>
      <c r="EQ178" s="30"/>
      <c r="ER178" s="30"/>
      <c r="ES178" s="30"/>
      <c r="ET178" s="85"/>
      <c r="EU178" s="85"/>
      <c r="EV178" s="85"/>
    </row>
    <row r="179" spans="2:152">
      <c r="B179" s="11">
        <v>0.54</v>
      </c>
      <c r="C179" s="16"/>
      <c r="D179" s="16"/>
      <c r="E179" s="8"/>
      <c r="F179" s="27">
        <f t="shared" si="30"/>
        <v>2.2966814058713165</v>
      </c>
      <c r="G179" s="27">
        <f t="shared" si="31"/>
        <v>-0.86668264334628842</v>
      </c>
      <c r="H179" s="27">
        <f t="shared" si="32"/>
        <v>-9.0650697100683932E-3</v>
      </c>
      <c r="I179" s="27">
        <f t="shared" si="33"/>
        <v>96.606837130406305</v>
      </c>
      <c r="J179" s="27">
        <f t="shared" si="34"/>
        <v>0.27829095286087879</v>
      </c>
      <c r="K179" s="27">
        <f t="shared" si="35"/>
        <v>3.5678758158209449</v>
      </c>
      <c r="L179" s="27">
        <f t="shared" si="36"/>
        <v>5.8975926387826014</v>
      </c>
      <c r="M179" s="17">
        <f t="shared" si="37"/>
        <v>0.35258967004496822</v>
      </c>
      <c r="N179" s="17">
        <f t="shared" si="38"/>
        <v>0.35258967004496822</v>
      </c>
      <c r="O179" s="17">
        <f t="shared" si="39"/>
        <v>0.35258967004496822</v>
      </c>
      <c r="P179" s="17">
        <f>IF(ISERROR(O179),0,IF('R-AFC ISOTOPE'!$G$7='R-AFC ISOTOPE_CONTROL'!B179,'R-AFC ISOTOPE_CONTROL'!O179,0))</f>
        <v>0</v>
      </c>
      <c r="S179" s="81"/>
      <c r="T179" s="30"/>
      <c r="U179" s="30"/>
      <c r="W179" s="30"/>
      <c r="X179" s="30"/>
      <c r="Y179" s="30"/>
      <c r="Z179" s="30"/>
      <c r="AA179" s="30"/>
      <c r="AB179" s="30"/>
      <c r="AC179" s="30"/>
      <c r="AD179" s="85"/>
      <c r="AE179" s="85"/>
      <c r="AF179" s="85"/>
      <c r="AH179" s="81"/>
      <c r="AI179" s="30"/>
      <c r="AJ179" s="30"/>
      <c r="AL179" s="30"/>
      <c r="AM179" s="30"/>
      <c r="AN179" s="30"/>
      <c r="AO179" s="30"/>
      <c r="AP179" s="30"/>
      <c r="AQ179" s="30"/>
      <c r="AR179" s="30"/>
      <c r="AS179" s="85"/>
      <c r="AT179" s="85"/>
      <c r="AU179" s="85"/>
      <c r="AW179" s="81"/>
      <c r="AX179" s="30"/>
      <c r="AY179" s="30"/>
      <c r="BA179" s="30"/>
      <c r="BB179" s="30"/>
      <c r="BC179" s="30"/>
      <c r="BD179" s="30"/>
      <c r="BE179" s="30"/>
      <c r="BF179" s="30"/>
      <c r="BG179" s="30"/>
      <c r="BH179" s="85"/>
      <c r="BI179" s="85"/>
      <c r="BJ179" s="85"/>
      <c r="BL179" s="81"/>
      <c r="BM179" s="30"/>
      <c r="BN179" s="30"/>
      <c r="BP179" s="30"/>
      <c r="BQ179" s="30"/>
      <c r="BR179" s="30"/>
      <c r="BS179" s="30"/>
      <c r="BT179" s="30"/>
      <c r="BU179" s="30"/>
      <c r="BV179" s="30"/>
      <c r="BW179" s="85"/>
      <c r="BX179" s="85"/>
      <c r="BY179" s="85"/>
      <c r="CA179" s="81"/>
      <c r="CB179" s="30"/>
      <c r="CC179" s="30"/>
      <c r="CE179" s="30"/>
      <c r="CF179" s="30"/>
      <c r="CG179" s="30"/>
      <c r="CH179" s="30"/>
      <c r="CI179" s="30"/>
      <c r="CJ179" s="30"/>
      <c r="CK179" s="30"/>
      <c r="CL179" s="85"/>
      <c r="CM179" s="85"/>
      <c r="CN179" s="85"/>
      <c r="CP179" s="81"/>
      <c r="CQ179" s="30"/>
      <c r="CR179" s="30"/>
      <c r="CT179" s="30"/>
      <c r="CU179" s="30"/>
      <c r="CV179" s="30"/>
      <c r="CW179" s="30"/>
      <c r="CX179" s="30"/>
      <c r="CY179" s="30"/>
      <c r="CZ179" s="30"/>
      <c r="DA179" s="85"/>
      <c r="DB179" s="85"/>
      <c r="DC179" s="85"/>
      <c r="DE179" s="81"/>
      <c r="DF179" s="30"/>
      <c r="DG179" s="30"/>
      <c r="DI179" s="30"/>
      <c r="DJ179" s="30"/>
      <c r="DK179" s="30"/>
      <c r="DL179" s="30"/>
      <c r="DM179" s="30"/>
      <c r="DN179" s="30"/>
      <c r="DO179" s="30"/>
      <c r="DP179" s="85"/>
      <c r="DQ179" s="85"/>
      <c r="DR179" s="85"/>
      <c r="DT179" s="81"/>
      <c r="DU179" s="30"/>
      <c r="DV179" s="30"/>
      <c r="DX179" s="30"/>
      <c r="DY179" s="30"/>
      <c r="DZ179" s="30"/>
      <c r="EA179" s="30"/>
      <c r="EB179" s="30"/>
      <c r="EC179" s="30"/>
      <c r="ED179" s="30"/>
      <c r="EE179" s="85"/>
      <c r="EF179" s="85"/>
      <c r="EG179" s="85"/>
      <c r="EI179" s="81"/>
      <c r="EJ179" s="30"/>
      <c r="EK179" s="30"/>
      <c r="EM179" s="30"/>
      <c r="EN179" s="30"/>
      <c r="EO179" s="30"/>
      <c r="EP179" s="30"/>
      <c r="EQ179" s="30"/>
      <c r="ER179" s="30"/>
      <c r="ES179" s="30"/>
      <c r="ET179" s="85"/>
      <c r="EU179" s="85"/>
      <c r="EV179" s="85"/>
    </row>
    <row r="180" spans="2:152">
      <c r="B180" s="11">
        <v>0.55000000000000004</v>
      </c>
      <c r="C180" s="16"/>
      <c r="D180" s="16"/>
      <c r="E180" s="8"/>
      <c r="F180" s="27">
        <f t="shared" si="30"/>
        <v>2.2437819453732213</v>
      </c>
      <c r="G180" s="27">
        <f t="shared" si="31"/>
        <v>-0.87694072570497006</v>
      </c>
      <c r="H180" s="27">
        <f t="shared" si="32"/>
        <v>-9.2329413713659551E-3</v>
      </c>
      <c r="I180" s="27">
        <f t="shared" si="33"/>
        <v>95.979561813813646</v>
      </c>
      <c r="J180" s="27">
        <f t="shared" si="34"/>
        <v>0.28673320058361662</v>
      </c>
      <c r="K180" s="27">
        <f t="shared" si="35"/>
        <v>3.7013185245592966</v>
      </c>
      <c r="L180" s="27">
        <f t="shared" si="36"/>
        <v>6.0611697341083781</v>
      </c>
      <c r="M180" s="17">
        <f t="shared" si="37"/>
        <v>0.35446556546231817</v>
      </c>
      <c r="N180" s="17">
        <f t="shared" si="38"/>
        <v>0.35446556546231817</v>
      </c>
      <c r="O180" s="17">
        <f t="shared" si="39"/>
        <v>0.35446556546231817</v>
      </c>
      <c r="P180" s="17">
        <f>IF(ISERROR(O180),0,IF('R-AFC ISOTOPE'!$G$7='R-AFC ISOTOPE_CONTROL'!B180,'R-AFC ISOTOPE_CONTROL'!O180,0))</f>
        <v>0</v>
      </c>
      <c r="S180" s="81"/>
      <c r="T180" s="30"/>
      <c r="U180" s="30"/>
      <c r="W180" s="30"/>
      <c r="X180" s="30"/>
      <c r="Y180" s="30"/>
      <c r="Z180" s="30"/>
      <c r="AA180" s="30"/>
      <c r="AB180" s="30"/>
      <c r="AC180" s="30"/>
      <c r="AD180" s="85"/>
      <c r="AE180" s="85"/>
      <c r="AF180" s="85"/>
      <c r="AH180" s="81"/>
      <c r="AI180" s="30"/>
      <c r="AJ180" s="30"/>
      <c r="AL180" s="30"/>
      <c r="AM180" s="30"/>
      <c r="AN180" s="30"/>
      <c r="AO180" s="30"/>
      <c r="AP180" s="30"/>
      <c r="AQ180" s="30"/>
      <c r="AR180" s="30"/>
      <c r="AS180" s="85"/>
      <c r="AT180" s="85"/>
      <c r="AU180" s="85"/>
      <c r="AW180" s="81"/>
      <c r="AX180" s="30"/>
      <c r="AY180" s="30"/>
      <c r="BA180" s="30"/>
      <c r="BB180" s="30"/>
      <c r="BC180" s="30"/>
      <c r="BD180" s="30"/>
      <c r="BE180" s="30"/>
      <c r="BF180" s="30"/>
      <c r="BG180" s="30"/>
      <c r="BH180" s="85"/>
      <c r="BI180" s="85"/>
      <c r="BJ180" s="85"/>
      <c r="BL180" s="81"/>
      <c r="BM180" s="30"/>
      <c r="BN180" s="30"/>
      <c r="BP180" s="30"/>
      <c r="BQ180" s="30"/>
      <c r="BR180" s="30"/>
      <c r="BS180" s="30"/>
      <c r="BT180" s="30"/>
      <c r="BU180" s="30"/>
      <c r="BV180" s="30"/>
      <c r="BW180" s="85"/>
      <c r="BX180" s="85"/>
      <c r="BY180" s="85"/>
      <c r="CA180" s="81"/>
      <c r="CB180" s="30"/>
      <c r="CC180" s="30"/>
      <c r="CE180" s="30"/>
      <c r="CF180" s="30"/>
      <c r="CG180" s="30"/>
      <c r="CH180" s="30"/>
      <c r="CI180" s="30"/>
      <c r="CJ180" s="30"/>
      <c r="CK180" s="30"/>
      <c r="CL180" s="85"/>
      <c r="CM180" s="85"/>
      <c r="CN180" s="85"/>
      <c r="CP180" s="81"/>
      <c r="CQ180" s="30"/>
      <c r="CR180" s="30"/>
      <c r="CT180" s="30"/>
      <c r="CU180" s="30"/>
      <c r="CV180" s="30"/>
      <c r="CW180" s="30"/>
      <c r="CX180" s="30"/>
      <c r="CY180" s="30"/>
      <c r="CZ180" s="30"/>
      <c r="DA180" s="85"/>
      <c r="DB180" s="85"/>
      <c r="DC180" s="85"/>
      <c r="DE180" s="81"/>
      <c r="DF180" s="30"/>
      <c r="DG180" s="30"/>
      <c r="DI180" s="30"/>
      <c r="DJ180" s="30"/>
      <c r="DK180" s="30"/>
      <c r="DL180" s="30"/>
      <c r="DM180" s="30"/>
      <c r="DN180" s="30"/>
      <c r="DO180" s="30"/>
      <c r="DP180" s="85"/>
      <c r="DQ180" s="85"/>
      <c r="DR180" s="85"/>
      <c r="DT180" s="81"/>
      <c r="DU180" s="30"/>
      <c r="DV180" s="30"/>
      <c r="DX180" s="30"/>
      <c r="DY180" s="30"/>
      <c r="DZ180" s="30"/>
      <c r="EA180" s="30"/>
      <c r="EB180" s="30"/>
      <c r="EC180" s="30"/>
      <c r="ED180" s="30"/>
      <c r="EE180" s="85"/>
      <c r="EF180" s="85"/>
      <c r="EG180" s="85"/>
      <c r="EI180" s="81"/>
      <c r="EJ180" s="30"/>
      <c r="EK180" s="30"/>
      <c r="EM180" s="30"/>
      <c r="EN180" s="30"/>
      <c r="EO180" s="30"/>
      <c r="EP180" s="30"/>
      <c r="EQ180" s="30"/>
      <c r="ER180" s="30"/>
      <c r="ES180" s="30"/>
      <c r="ET180" s="85"/>
      <c r="EU180" s="85"/>
      <c r="EV180" s="85"/>
    </row>
    <row r="181" spans="2:152">
      <c r="B181" s="11">
        <v>0.56000000000000005</v>
      </c>
      <c r="C181" s="16"/>
      <c r="D181" s="16"/>
      <c r="E181" s="8"/>
      <c r="F181" s="27">
        <f t="shared" si="30"/>
        <v>2.1950294804212582</v>
      </c>
      <c r="G181" s="27">
        <f t="shared" si="31"/>
        <v>-0.88719880806365181</v>
      </c>
      <c r="H181" s="27">
        <f t="shared" si="32"/>
        <v>-9.4008130326635186E-3</v>
      </c>
      <c r="I181" s="27">
        <f t="shared" si="33"/>
        <v>95.374689187099278</v>
      </c>
      <c r="J181" s="27">
        <f t="shared" si="34"/>
        <v>0.29498022425590453</v>
      </c>
      <c r="K181" s="27">
        <f t="shared" si="35"/>
        <v>3.8361327735519724</v>
      </c>
      <c r="L181" s="27">
        <f t="shared" si="36"/>
        <v>6.2253950483354883</v>
      </c>
      <c r="M181" s="17">
        <f t="shared" si="37"/>
        <v>0.35626834132571844</v>
      </c>
      <c r="N181" s="17">
        <f t="shared" si="38"/>
        <v>0.35626834132571844</v>
      </c>
      <c r="O181" s="17">
        <f t="shared" si="39"/>
        <v>0.35626834132571844</v>
      </c>
      <c r="P181" s="17">
        <f>IF(ISERROR(O181),0,IF('R-AFC ISOTOPE'!$G$7='R-AFC ISOTOPE_CONTROL'!B181,'R-AFC ISOTOPE_CONTROL'!O181,0))</f>
        <v>0</v>
      </c>
      <c r="S181" s="81"/>
      <c r="T181" s="30"/>
      <c r="U181" s="30"/>
      <c r="W181" s="30"/>
      <c r="X181" s="30"/>
      <c r="Y181" s="30"/>
      <c r="Z181" s="30"/>
      <c r="AA181" s="30"/>
      <c r="AB181" s="30"/>
      <c r="AC181" s="30"/>
      <c r="AD181" s="85"/>
      <c r="AE181" s="85"/>
      <c r="AF181" s="85"/>
      <c r="AH181" s="81"/>
      <c r="AI181" s="30"/>
      <c r="AJ181" s="30"/>
      <c r="AL181" s="30"/>
      <c r="AM181" s="30"/>
      <c r="AN181" s="30"/>
      <c r="AO181" s="30"/>
      <c r="AP181" s="30"/>
      <c r="AQ181" s="30"/>
      <c r="AR181" s="30"/>
      <c r="AS181" s="85"/>
      <c r="AT181" s="85"/>
      <c r="AU181" s="85"/>
      <c r="AW181" s="81"/>
      <c r="AX181" s="30"/>
      <c r="AY181" s="30"/>
      <c r="BA181" s="30"/>
      <c r="BB181" s="30"/>
      <c r="BC181" s="30"/>
      <c r="BD181" s="30"/>
      <c r="BE181" s="30"/>
      <c r="BF181" s="30"/>
      <c r="BG181" s="30"/>
      <c r="BH181" s="85"/>
      <c r="BI181" s="85"/>
      <c r="BJ181" s="85"/>
      <c r="BL181" s="81"/>
      <c r="BM181" s="30"/>
      <c r="BN181" s="30"/>
      <c r="BP181" s="30"/>
      <c r="BQ181" s="30"/>
      <c r="BR181" s="30"/>
      <c r="BS181" s="30"/>
      <c r="BT181" s="30"/>
      <c r="BU181" s="30"/>
      <c r="BV181" s="30"/>
      <c r="BW181" s="85"/>
      <c r="BX181" s="85"/>
      <c r="BY181" s="85"/>
      <c r="CA181" s="81"/>
      <c r="CB181" s="30"/>
      <c r="CC181" s="30"/>
      <c r="CE181" s="30"/>
      <c r="CF181" s="30"/>
      <c r="CG181" s="30"/>
      <c r="CH181" s="30"/>
      <c r="CI181" s="30"/>
      <c r="CJ181" s="30"/>
      <c r="CK181" s="30"/>
      <c r="CL181" s="85"/>
      <c r="CM181" s="85"/>
      <c r="CN181" s="85"/>
      <c r="CP181" s="81"/>
      <c r="CQ181" s="30"/>
      <c r="CR181" s="30"/>
      <c r="CT181" s="30"/>
      <c r="CU181" s="30"/>
      <c r="CV181" s="30"/>
      <c r="CW181" s="30"/>
      <c r="CX181" s="30"/>
      <c r="CY181" s="30"/>
      <c r="CZ181" s="30"/>
      <c r="DA181" s="85"/>
      <c r="DB181" s="85"/>
      <c r="DC181" s="85"/>
      <c r="DE181" s="81"/>
      <c r="DF181" s="30"/>
      <c r="DG181" s="30"/>
      <c r="DI181" s="30"/>
      <c r="DJ181" s="30"/>
      <c r="DK181" s="30"/>
      <c r="DL181" s="30"/>
      <c r="DM181" s="30"/>
      <c r="DN181" s="30"/>
      <c r="DO181" s="30"/>
      <c r="DP181" s="85"/>
      <c r="DQ181" s="85"/>
      <c r="DR181" s="85"/>
      <c r="DT181" s="81"/>
      <c r="DU181" s="30"/>
      <c r="DV181" s="30"/>
      <c r="DX181" s="30"/>
      <c r="DY181" s="30"/>
      <c r="DZ181" s="30"/>
      <c r="EA181" s="30"/>
      <c r="EB181" s="30"/>
      <c r="EC181" s="30"/>
      <c r="ED181" s="30"/>
      <c r="EE181" s="85"/>
      <c r="EF181" s="85"/>
      <c r="EG181" s="85"/>
      <c r="EI181" s="81"/>
      <c r="EJ181" s="30"/>
      <c r="EK181" s="30"/>
      <c r="EM181" s="30"/>
      <c r="EN181" s="30"/>
      <c r="EO181" s="30"/>
      <c r="EP181" s="30"/>
      <c r="EQ181" s="30"/>
      <c r="ER181" s="30"/>
      <c r="ES181" s="30"/>
      <c r="ET181" s="85"/>
      <c r="EU181" s="85"/>
      <c r="EV181" s="85"/>
    </row>
    <row r="182" spans="2:152">
      <c r="B182" s="11">
        <v>0.56999999999999995</v>
      </c>
      <c r="C182" s="16"/>
      <c r="D182" s="16"/>
      <c r="E182" s="8"/>
      <c r="F182" s="27">
        <f t="shared" si="30"/>
        <v>2.1499547556051186</v>
      </c>
      <c r="G182" s="27">
        <f t="shared" si="31"/>
        <v>-0.89745689042233345</v>
      </c>
      <c r="H182" s="27">
        <f t="shared" si="32"/>
        <v>-9.5686846939610787E-3</v>
      </c>
      <c r="I182" s="27">
        <f t="shared" si="33"/>
        <v>94.7910401613223</v>
      </c>
      <c r="J182" s="27">
        <f t="shared" si="34"/>
        <v>0.30303871820838696</v>
      </c>
      <c r="K182" s="27">
        <f t="shared" si="35"/>
        <v>3.9722541315562441</v>
      </c>
      <c r="L182" s="27">
        <f t="shared" si="36"/>
        <v>6.3902119050063089</v>
      </c>
      <c r="M182" s="17">
        <f t="shared" si="37"/>
        <v>0.35800156783575282</v>
      </c>
      <c r="N182" s="17">
        <f t="shared" si="38"/>
        <v>0.35800156783575282</v>
      </c>
      <c r="O182" s="17">
        <f t="shared" si="39"/>
        <v>0.35800156783575282</v>
      </c>
      <c r="P182" s="17">
        <f>IF(ISERROR(O182),0,IF('R-AFC ISOTOPE'!$G$7='R-AFC ISOTOPE_CONTROL'!B182,'R-AFC ISOTOPE_CONTROL'!O182,0))</f>
        <v>0</v>
      </c>
      <c r="S182" s="81"/>
      <c r="T182" s="30"/>
      <c r="U182" s="30"/>
      <c r="W182" s="30"/>
      <c r="X182" s="30"/>
      <c r="Y182" s="30"/>
      <c r="Z182" s="30"/>
      <c r="AA182" s="30"/>
      <c r="AB182" s="30"/>
      <c r="AC182" s="30"/>
      <c r="AD182" s="85"/>
      <c r="AE182" s="85"/>
      <c r="AF182" s="85"/>
      <c r="AH182" s="81"/>
      <c r="AI182" s="30"/>
      <c r="AJ182" s="30"/>
      <c r="AL182" s="30"/>
      <c r="AM182" s="30"/>
      <c r="AN182" s="30"/>
      <c r="AO182" s="30"/>
      <c r="AP182" s="30"/>
      <c r="AQ182" s="30"/>
      <c r="AR182" s="30"/>
      <c r="AS182" s="85"/>
      <c r="AT182" s="85"/>
      <c r="AU182" s="85"/>
      <c r="AW182" s="81"/>
      <c r="AX182" s="30"/>
      <c r="AY182" s="30"/>
      <c r="BA182" s="30"/>
      <c r="BB182" s="30"/>
      <c r="BC182" s="30"/>
      <c r="BD182" s="30"/>
      <c r="BE182" s="30"/>
      <c r="BF182" s="30"/>
      <c r="BG182" s="30"/>
      <c r="BH182" s="85"/>
      <c r="BI182" s="85"/>
      <c r="BJ182" s="85"/>
      <c r="BL182" s="81"/>
      <c r="BM182" s="30"/>
      <c r="BN182" s="30"/>
      <c r="BP182" s="30"/>
      <c r="BQ182" s="30"/>
      <c r="BR182" s="30"/>
      <c r="BS182" s="30"/>
      <c r="BT182" s="30"/>
      <c r="BU182" s="30"/>
      <c r="BV182" s="30"/>
      <c r="BW182" s="85"/>
      <c r="BX182" s="85"/>
      <c r="BY182" s="85"/>
      <c r="CA182" s="81"/>
      <c r="CB182" s="30"/>
      <c r="CC182" s="30"/>
      <c r="CE182" s="30"/>
      <c r="CF182" s="30"/>
      <c r="CG182" s="30"/>
      <c r="CH182" s="30"/>
      <c r="CI182" s="30"/>
      <c r="CJ182" s="30"/>
      <c r="CK182" s="30"/>
      <c r="CL182" s="85"/>
      <c r="CM182" s="85"/>
      <c r="CN182" s="85"/>
      <c r="CP182" s="81"/>
      <c r="CQ182" s="30"/>
      <c r="CR182" s="30"/>
      <c r="CT182" s="30"/>
      <c r="CU182" s="30"/>
      <c r="CV182" s="30"/>
      <c r="CW182" s="30"/>
      <c r="CX182" s="30"/>
      <c r="CY182" s="30"/>
      <c r="CZ182" s="30"/>
      <c r="DA182" s="85"/>
      <c r="DB182" s="85"/>
      <c r="DC182" s="85"/>
      <c r="DE182" s="81"/>
      <c r="DF182" s="30"/>
      <c r="DG182" s="30"/>
      <c r="DI182" s="30"/>
      <c r="DJ182" s="30"/>
      <c r="DK182" s="30"/>
      <c r="DL182" s="30"/>
      <c r="DM182" s="30"/>
      <c r="DN182" s="30"/>
      <c r="DO182" s="30"/>
      <c r="DP182" s="85"/>
      <c r="DQ182" s="85"/>
      <c r="DR182" s="85"/>
      <c r="DT182" s="81"/>
      <c r="DU182" s="30"/>
      <c r="DV182" s="30"/>
      <c r="DX182" s="30"/>
      <c r="DY182" s="30"/>
      <c r="DZ182" s="30"/>
      <c r="EA182" s="30"/>
      <c r="EB182" s="30"/>
      <c r="EC182" s="30"/>
      <c r="ED182" s="30"/>
      <c r="EE182" s="85"/>
      <c r="EF182" s="85"/>
      <c r="EG182" s="85"/>
      <c r="EI182" s="81"/>
      <c r="EJ182" s="30"/>
      <c r="EK182" s="30"/>
      <c r="EM182" s="30"/>
      <c r="EN182" s="30"/>
      <c r="EO182" s="30"/>
      <c r="EP182" s="30"/>
      <c r="EQ182" s="30"/>
      <c r="ER182" s="30"/>
      <c r="ES182" s="30"/>
      <c r="ET182" s="85"/>
      <c r="EU182" s="85"/>
      <c r="EV182" s="85"/>
    </row>
    <row r="183" spans="2:152">
      <c r="B183" s="11">
        <v>0.57999999999999996</v>
      </c>
      <c r="C183" s="16"/>
      <c r="D183" s="16"/>
      <c r="E183" s="8"/>
      <c r="F183" s="27">
        <f t="shared" si="30"/>
        <v>2.1081567406149269</v>
      </c>
      <c r="G183" s="27">
        <f t="shared" si="31"/>
        <v>-0.90771497278101509</v>
      </c>
      <c r="H183" s="27">
        <f t="shared" si="32"/>
        <v>-9.7365563552586423E-3</v>
      </c>
      <c r="I183" s="27">
        <f t="shared" si="33"/>
        <v>94.227516964020339</v>
      </c>
      <c r="J183" s="27">
        <f t="shared" si="34"/>
        <v>0.31091507416132058</v>
      </c>
      <c r="K183" s="27">
        <f t="shared" si="35"/>
        <v>4.1096195678522252</v>
      </c>
      <c r="L183" s="27">
        <f t="shared" si="36"/>
        <v>6.5555654527157445</v>
      </c>
      <c r="M183" s="17">
        <f t="shared" si="37"/>
        <v>0.35966862037879777</v>
      </c>
      <c r="N183" s="17">
        <f t="shared" si="38"/>
        <v>0.35966862037879777</v>
      </c>
      <c r="O183" s="17">
        <f t="shared" si="39"/>
        <v>0.35966862037879777</v>
      </c>
      <c r="P183" s="17">
        <f>IF(ISERROR(O183),0,IF('R-AFC ISOTOPE'!$G$7='R-AFC ISOTOPE_CONTROL'!B183,'R-AFC ISOTOPE_CONTROL'!O183,0))</f>
        <v>0</v>
      </c>
      <c r="S183" s="81"/>
      <c r="T183" s="30"/>
      <c r="U183" s="30"/>
      <c r="W183" s="30"/>
      <c r="X183" s="30"/>
      <c r="Y183" s="30"/>
      <c r="Z183" s="30"/>
      <c r="AA183" s="30"/>
      <c r="AB183" s="30"/>
      <c r="AC183" s="30"/>
      <c r="AD183" s="85"/>
      <c r="AE183" s="85"/>
      <c r="AF183" s="85"/>
      <c r="AH183" s="81"/>
      <c r="AI183" s="30"/>
      <c r="AJ183" s="30"/>
      <c r="AL183" s="30"/>
      <c r="AM183" s="30"/>
      <c r="AN183" s="30"/>
      <c r="AO183" s="30"/>
      <c r="AP183" s="30"/>
      <c r="AQ183" s="30"/>
      <c r="AR183" s="30"/>
      <c r="AS183" s="85"/>
      <c r="AT183" s="85"/>
      <c r="AU183" s="85"/>
      <c r="AW183" s="81"/>
      <c r="AX183" s="30"/>
      <c r="AY183" s="30"/>
      <c r="BA183" s="30"/>
      <c r="BB183" s="30"/>
      <c r="BC183" s="30"/>
      <c r="BD183" s="30"/>
      <c r="BE183" s="30"/>
      <c r="BF183" s="30"/>
      <c r="BG183" s="30"/>
      <c r="BH183" s="85"/>
      <c r="BI183" s="85"/>
      <c r="BJ183" s="85"/>
      <c r="BL183" s="81"/>
      <c r="BM183" s="30"/>
      <c r="BN183" s="30"/>
      <c r="BP183" s="30"/>
      <c r="BQ183" s="30"/>
      <c r="BR183" s="30"/>
      <c r="BS183" s="30"/>
      <c r="BT183" s="30"/>
      <c r="BU183" s="30"/>
      <c r="BV183" s="30"/>
      <c r="BW183" s="85"/>
      <c r="BX183" s="85"/>
      <c r="BY183" s="85"/>
      <c r="CA183" s="81"/>
      <c r="CB183" s="30"/>
      <c r="CC183" s="30"/>
      <c r="CE183" s="30"/>
      <c r="CF183" s="30"/>
      <c r="CG183" s="30"/>
      <c r="CH183" s="30"/>
      <c r="CI183" s="30"/>
      <c r="CJ183" s="30"/>
      <c r="CK183" s="30"/>
      <c r="CL183" s="85"/>
      <c r="CM183" s="85"/>
      <c r="CN183" s="85"/>
      <c r="CP183" s="81"/>
      <c r="CQ183" s="30"/>
      <c r="CR183" s="30"/>
      <c r="CT183" s="30"/>
      <c r="CU183" s="30"/>
      <c r="CV183" s="30"/>
      <c r="CW183" s="30"/>
      <c r="CX183" s="30"/>
      <c r="CY183" s="30"/>
      <c r="CZ183" s="30"/>
      <c r="DA183" s="85"/>
      <c r="DB183" s="85"/>
      <c r="DC183" s="85"/>
      <c r="DE183" s="81"/>
      <c r="DF183" s="30"/>
      <c r="DG183" s="30"/>
      <c r="DI183" s="30"/>
      <c r="DJ183" s="30"/>
      <c r="DK183" s="30"/>
      <c r="DL183" s="30"/>
      <c r="DM183" s="30"/>
      <c r="DN183" s="30"/>
      <c r="DO183" s="30"/>
      <c r="DP183" s="85"/>
      <c r="DQ183" s="85"/>
      <c r="DR183" s="85"/>
      <c r="DT183" s="81"/>
      <c r="DU183" s="30"/>
      <c r="DV183" s="30"/>
      <c r="DX183" s="30"/>
      <c r="DY183" s="30"/>
      <c r="DZ183" s="30"/>
      <c r="EA183" s="30"/>
      <c r="EB183" s="30"/>
      <c r="EC183" s="30"/>
      <c r="ED183" s="30"/>
      <c r="EE183" s="85"/>
      <c r="EF183" s="85"/>
      <c r="EG183" s="85"/>
      <c r="EI183" s="81"/>
      <c r="EJ183" s="30"/>
      <c r="EK183" s="30"/>
      <c r="EM183" s="30"/>
      <c r="EN183" s="30"/>
      <c r="EO183" s="30"/>
      <c r="EP183" s="30"/>
      <c r="EQ183" s="30"/>
      <c r="ER183" s="30"/>
      <c r="ES183" s="30"/>
      <c r="ET183" s="85"/>
      <c r="EU183" s="85"/>
      <c r="EV183" s="85"/>
    </row>
    <row r="184" spans="2:152">
      <c r="B184" s="11">
        <v>0.59</v>
      </c>
      <c r="C184" s="16"/>
      <c r="D184" s="16"/>
      <c r="E184" s="8"/>
      <c r="F184" s="27">
        <f t="shared" si="30"/>
        <v>2.0692906660409469</v>
      </c>
      <c r="G184" s="27">
        <f t="shared" si="31"/>
        <v>-0.91797305513969685</v>
      </c>
      <c r="H184" s="27">
        <f t="shared" si="32"/>
        <v>-9.9044280165562059E-3</v>
      </c>
      <c r="I184" s="27">
        <f t="shared" si="33"/>
        <v>93.68309624798286</v>
      </c>
      <c r="J184" s="27">
        <f t="shared" si="34"/>
        <v>0.31861539813248935</v>
      </c>
      <c r="K184" s="27">
        <f t="shared" si="35"/>
        <v>4.2481674758540411</v>
      </c>
      <c r="L184" s="27">
        <f t="shared" si="36"/>
        <v>6.7214026395225499</v>
      </c>
      <c r="M184" s="17">
        <f t="shared" si="37"/>
        <v>0.36127269011527535</v>
      </c>
      <c r="N184" s="17">
        <f t="shared" si="38"/>
        <v>0.36127269011527535</v>
      </c>
      <c r="O184" s="17">
        <f t="shared" si="39"/>
        <v>0.36127269011527535</v>
      </c>
      <c r="P184" s="17">
        <f>IF(ISERROR(O184),0,IF('R-AFC ISOTOPE'!$G$7='R-AFC ISOTOPE_CONTROL'!B184,'R-AFC ISOTOPE_CONTROL'!O184,0))</f>
        <v>0</v>
      </c>
      <c r="S184" s="81"/>
      <c r="T184" s="30"/>
      <c r="U184" s="30"/>
      <c r="W184" s="30"/>
      <c r="X184" s="30"/>
      <c r="Y184" s="30"/>
      <c r="Z184" s="30"/>
      <c r="AA184" s="30"/>
      <c r="AB184" s="30"/>
      <c r="AC184" s="30"/>
      <c r="AD184" s="85"/>
      <c r="AE184" s="85"/>
      <c r="AF184" s="85"/>
      <c r="AH184" s="81"/>
      <c r="AI184" s="30"/>
      <c r="AJ184" s="30"/>
      <c r="AL184" s="30"/>
      <c r="AM184" s="30"/>
      <c r="AN184" s="30"/>
      <c r="AO184" s="30"/>
      <c r="AP184" s="30"/>
      <c r="AQ184" s="30"/>
      <c r="AR184" s="30"/>
      <c r="AS184" s="85"/>
      <c r="AT184" s="85"/>
      <c r="AU184" s="85"/>
      <c r="AW184" s="81"/>
      <c r="AX184" s="30"/>
      <c r="AY184" s="30"/>
      <c r="BA184" s="30"/>
      <c r="BB184" s="30"/>
      <c r="BC184" s="30"/>
      <c r="BD184" s="30"/>
      <c r="BE184" s="30"/>
      <c r="BF184" s="30"/>
      <c r="BG184" s="30"/>
      <c r="BH184" s="85"/>
      <c r="BI184" s="85"/>
      <c r="BJ184" s="85"/>
      <c r="BL184" s="81"/>
      <c r="BM184" s="30"/>
      <c r="BN184" s="30"/>
      <c r="BP184" s="30"/>
      <c r="BQ184" s="30"/>
      <c r="BR184" s="30"/>
      <c r="BS184" s="30"/>
      <c r="BT184" s="30"/>
      <c r="BU184" s="30"/>
      <c r="BV184" s="30"/>
      <c r="BW184" s="85"/>
      <c r="BX184" s="85"/>
      <c r="BY184" s="85"/>
      <c r="CA184" s="81"/>
      <c r="CB184" s="30"/>
      <c r="CC184" s="30"/>
      <c r="CE184" s="30"/>
      <c r="CF184" s="30"/>
      <c r="CG184" s="30"/>
      <c r="CH184" s="30"/>
      <c r="CI184" s="30"/>
      <c r="CJ184" s="30"/>
      <c r="CK184" s="30"/>
      <c r="CL184" s="85"/>
      <c r="CM184" s="85"/>
      <c r="CN184" s="85"/>
      <c r="CP184" s="81"/>
      <c r="CQ184" s="30"/>
      <c r="CR184" s="30"/>
      <c r="CT184" s="30"/>
      <c r="CU184" s="30"/>
      <c r="CV184" s="30"/>
      <c r="CW184" s="30"/>
      <c r="CX184" s="30"/>
      <c r="CY184" s="30"/>
      <c r="CZ184" s="30"/>
      <c r="DA184" s="85"/>
      <c r="DB184" s="85"/>
      <c r="DC184" s="85"/>
      <c r="DE184" s="81"/>
      <c r="DF184" s="30"/>
      <c r="DG184" s="30"/>
      <c r="DI184" s="30"/>
      <c r="DJ184" s="30"/>
      <c r="DK184" s="30"/>
      <c r="DL184" s="30"/>
      <c r="DM184" s="30"/>
      <c r="DN184" s="30"/>
      <c r="DO184" s="30"/>
      <c r="DP184" s="85"/>
      <c r="DQ184" s="85"/>
      <c r="DR184" s="85"/>
      <c r="DT184" s="81"/>
      <c r="DU184" s="30"/>
      <c r="DV184" s="30"/>
      <c r="DX184" s="30"/>
      <c r="DY184" s="30"/>
      <c r="DZ184" s="30"/>
      <c r="EA184" s="30"/>
      <c r="EB184" s="30"/>
      <c r="EC184" s="30"/>
      <c r="ED184" s="30"/>
      <c r="EE184" s="85"/>
      <c r="EF184" s="85"/>
      <c r="EG184" s="85"/>
      <c r="EI184" s="81"/>
      <c r="EJ184" s="30"/>
      <c r="EK184" s="30"/>
      <c r="EM184" s="30"/>
      <c r="EN184" s="30"/>
      <c r="EO184" s="30"/>
      <c r="EP184" s="30"/>
      <c r="EQ184" s="30"/>
      <c r="ER184" s="30"/>
      <c r="ES184" s="30"/>
      <c r="ET184" s="85"/>
      <c r="EU184" s="85"/>
      <c r="EV184" s="85"/>
    </row>
    <row r="185" spans="2:152">
      <c r="B185" s="11">
        <v>0.6</v>
      </c>
      <c r="C185" s="16"/>
      <c r="D185" s="16"/>
      <c r="E185" s="8"/>
      <c r="F185" s="27">
        <f t="shared" si="30"/>
        <v>2.033058491565181</v>
      </c>
      <c r="G185" s="27">
        <f t="shared" si="31"/>
        <v>-0.92823113749837849</v>
      </c>
      <c r="H185" s="27">
        <f t="shared" si="32"/>
        <v>-1.0072299677853768E-2</v>
      </c>
      <c r="I185" s="27">
        <f t="shared" si="33"/>
        <v>93.156822889146639</v>
      </c>
      <c r="J185" s="27">
        <f t="shared" si="34"/>
        <v>0.32614552622400322</v>
      </c>
      <c r="K185" s="27">
        <f t="shared" si="35"/>
        <v>4.387837690485191</v>
      </c>
      <c r="L185" s="27">
        <f t="shared" si="36"/>
        <v>6.8876721846854894</v>
      </c>
      <c r="M185" s="17">
        <f t="shared" si="37"/>
        <v>0.36281679413466872</v>
      </c>
      <c r="N185" s="17">
        <f t="shared" si="38"/>
        <v>0.36281679413466872</v>
      </c>
      <c r="O185" s="17">
        <f t="shared" si="39"/>
        <v>0.36281679413466872</v>
      </c>
      <c r="P185" s="17">
        <f>IF(ISERROR(O185),0,IF('R-AFC ISOTOPE'!$G$7='R-AFC ISOTOPE_CONTROL'!B185,'R-AFC ISOTOPE_CONTROL'!O185,0))</f>
        <v>0</v>
      </c>
      <c r="S185" s="81"/>
      <c r="T185" s="30"/>
      <c r="U185" s="30"/>
      <c r="W185" s="30"/>
      <c r="X185" s="30"/>
      <c r="Y185" s="30"/>
      <c r="Z185" s="30"/>
      <c r="AA185" s="30"/>
      <c r="AB185" s="30"/>
      <c r="AC185" s="30"/>
      <c r="AD185" s="85"/>
      <c r="AE185" s="85"/>
      <c r="AF185" s="85"/>
      <c r="AH185" s="81"/>
      <c r="AI185" s="30"/>
      <c r="AJ185" s="30"/>
      <c r="AL185" s="30"/>
      <c r="AM185" s="30"/>
      <c r="AN185" s="30"/>
      <c r="AO185" s="30"/>
      <c r="AP185" s="30"/>
      <c r="AQ185" s="30"/>
      <c r="AR185" s="30"/>
      <c r="AS185" s="85"/>
      <c r="AT185" s="85"/>
      <c r="AU185" s="85"/>
      <c r="AW185" s="81"/>
      <c r="AX185" s="30"/>
      <c r="AY185" s="30"/>
      <c r="BA185" s="30"/>
      <c r="BB185" s="30"/>
      <c r="BC185" s="30"/>
      <c r="BD185" s="30"/>
      <c r="BE185" s="30"/>
      <c r="BF185" s="30"/>
      <c r="BG185" s="30"/>
      <c r="BH185" s="85"/>
      <c r="BI185" s="85"/>
      <c r="BJ185" s="85"/>
      <c r="BL185" s="81"/>
      <c r="BM185" s="30"/>
      <c r="BN185" s="30"/>
      <c r="BP185" s="30"/>
      <c r="BQ185" s="30"/>
      <c r="BR185" s="30"/>
      <c r="BS185" s="30"/>
      <c r="BT185" s="30"/>
      <c r="BU185" s="30"/>
      <c r="BV185" s="30"/>
      <c r="BW185" s="85"/>
      <c r="BX185" s="85"/>
      <c r="BY185" s="85"/>
      <c r="CA185" s="81"/>
      <c r="CB185" s="30"/>
      <c r="CC185" s="30"/>
      <c r="CE185" s="30"/>
      <c r="CF185" s="30"/>
      <c r="CG185" s="30"/>
      <c r="CH185" s="30"/>
      <c r="CI185" s="30"/>
      <c r="CJ185" s="30"/>
      <c r="CK185" s="30"/>
      <c r="CL185" s="85"/>
      <c r="CM185" s="85"/>
      <c r="CN185" s="85"/>
      <c r="CP185" s="81"/>
      <c r="CQ185" s="30"/>
      <c r="CR185" s="30"/>
      <c r="CT185" s="30"/>
      <c r="CU185" s="30"/>
      <c r="CV185" s="30"/>
      <c r="CW185" s="30"/>
      <c r="CX185" s="30"/>
      <c r="CY185" s="30"/>
      <c r="CZ185" s="30"/>
      <c r="DA185" s="85"/>
      <c r="DB185" s="85"/>
      <c r="DC185" s="85"/>
      <c r="DE185" s="81"/>
      <c r="DF185" s="30"/>
      <c r="DG185" s="30"/>
      <c r="DI185" s="30"/>
      <c r="DJ185" s="30"/>
      <c r="DK185" s="30"/>
      <c r="DL185" s="30"/>
      <c r="DM185" s="30"/>
      <c r="DN185" s="30"/>
      <c r="DO185" s="30"/>
      <c r="DP185" s="85"/>
      <c r="DQ185" s="85"/>
      <c r="DR185" s="85"/>
      <c r="DT185" s="81"/>
      <c r="DU185" s="30"/>
      <c r="DV185" s="30"/>
      <c r="DX185" s="30"/>
      <c r="DY185" s="30"/>
      <c r="DZ185" s="30"/>
      <c r="EA185" s="30"/>
      <c r="EB185" s="30"/>
      <c r="EC185" s="30"/>
      <c r="ED185" s="30"/>
      <c r="EE185" s="85"/>
      <c r="EF185" s="85"/>
      <c r="EG185" s="85"/>
      <c r="EI185" s="81"/>
      <c r="EJ185" s="30"/>
      <c r="EK185" s="30"/>
      <c r="EM185" s="30"/>
      <c r="EN185" s="30"/>
      <c r="EO185" s="30"/>
      <c r="EP185" s="30"/>
      <c r="EQ185" s="30"/>
      <c r="ER185" s="30"/>
      <c r="ES185" s="30"/>
      <c r="ET185" s="85"/>
      <c r="EU185" s="85"/>
      <c r="EV185" s="85"/>
    </row>
    <row r="186" spans="2:152">
      <c r="B186" s="11">
        <v>0.61</v>
      </c>
      <c r="C186" s="16"/>
      <c r="D186" s="16"/>
      <c r="E186" s="8"/>
      <c r="F186" s="27">
        <f t="shared" si="30"/>
        <v>1.9992012485139508</v>
      </c>
      <c r="G186" s="27">
        <f t="shared" si="31"/>
        <v>-0.93848921985706013</v>
      </c>
      <c r="H186" s="27">
        <f t="shared" si="32"/>
        <v>-1.0240171339151331E-2</v>
      </c>
      <c r="I186" s="27">
        <f t="shared" si="33"/>
        <v>92.647804394534546</v>
      </c>
      <c r="J186" s="27">
        <f t="shared" si="34"/>
        <v>0.33351103937375803</v>
      </c>
      <c r="K186" s="27">
        <f t="shared" si="35"/>
        <v>4.5285714999257056</v>
      </c>
      <c r="L186" s="27">
        <f t="shared" si="36"/>
        <v>7.0543245481222145</v>
      </c>
      <c r="M186" s="17">
        <f t="shared" si="37"/>
        <v>0.36430378516343059</v>
      </c>
      <c r="N186" s="17">
        <f t="shared" si="38"/>
        <v>0.36430378516343059</v>
      </c>
      <c r="O186" s="17">
        <f t="shared" si="39"/>
        <v>0.36430378516343059</v>
      </c>
      <c r="P186" s="17">
        <f>IF(ISERROR(O186),0,IF('R-AFC ISOTOPE'!$G$7='R-AFC ISOTOPE_CONTROL'!B186,'R-AFC ISOTOPE_CONTROL'!O186,0))</f>
        <v>0</v>
      </c>
      <c r="S186" s="81"/>
      <c r="T186" s="30"/>
      <c r="U186" s="30"/>
      <c r="W186" s="30"/>
      <c r="X186" s="30"/>
      <c r="Y186" s="30"/>
      <c r="Z186" s="30"/>
      <c r="AA186" s="30"/>
      <c r="AB186" s="30"/>
      <c r="AC186" s="30"/>
      <c r="AD186" s="85"/>
      <c r="AE186" s="85"/>
      <c r="AF186" s="85"/>
      <c r="AH186" s="81"/>
      <c r="AI186" s="30"/>
      <c r="AJ186" s="30"/>
      <c r="AL186" s="30"/>
      <c r="AM186" s="30"/>
      <c r="AN186" s="30"/>
      <c r="AO186" s="30"/>
      <c r="AP186" s="30"/>
      <c r="AQ186" s="30"/>
      <c r="AR186" s="30"/>
      <c r="AS186" s="85"/>
      <c r="AT186" s="85"/>
      <c r="AU186" s="85"/>
      <c r="AW186" s="81"/>
      <c r="AX186" s="30"/>
      <c r="AY186" s="30"/>
      <c r="BA186" s="30"/>
      <c r="BB186" s="30"/>
      <c r="BC186" s="30"/>
      <c r="BD186" s="30"/>
      <c r="BE186" s="30"/>
      <c r="BF186" s="30"/>
      <c r="BG186" s="30"/>
      <c r="BH186" s="85"/>
      <c r="BI186" s="85"/>
      <c r="BJ186" s="85"/>
      <c r="BL186" s="81"/>
      <c r="BM186" s="30"/>
      <c r="BN186" s="30"/>
      <c r="BP186" s="30"/>
      <c r="BQ186" s="30"/>
      <c r="BR186" s="30"/>
      <c r="BS186" s="30"/>
      <c r="BT186" s="30"/>
      <c r="BU186" s="30"/>
      <c r="BV186" s="30"/>
      <c r="BW186" s="85"/>
      <c r="BX186" s="85"/>
      <c r="BY186" s="85"/>
      <c r="CA186" s="81"/>
      <c r="CB186" s="30"/>
      <c r="CC186" s="30"/>
      <c r="CE186" s="30"/>
      <c r="CF186" s="30"/>
      <c r="CG186" s="30"/>
      <c r="CH186" s="30"/>
      <c r="CI186" s="30"/>
      <c r="CJ186" s="30"/>
      <c r="CK186" s="30"/>
      <c r="CL186" s="85"/>
      <c r="CM186" s="85"/>
      <c r="CN186" s="85"/>
      <c r="CP186" s="81"/>
      <c r="CQ186" s="30"/>
      <c r="CR186" s="30"/>
      <c r="CT186" s="30"/>
      <c r="CU186" s="30"/>
      <c r="CV186" s="30"/>
      <c r="CW186" s="30"/>
      <c r="CX186" s="30"/>
      <c r="CY186" s="30"/>
      <c r="CZ186" s="30"/>
      <c r="DA186" s="85"/>
      <c r="DB186" s="85"/>
      <c r="DC186" s="85"/>
      <c r="DE186" s="81"/>
      <c r="DF186" s="30"/>
      <c r="DG186" s="30"/>
      <c r="DI186" s="30"/>
      <c r="DJ186" s="30"/>
      <c r="DK186" s="30"/>
      <c r="DL186" s="30"/>
      <c r="DM186" s="30"/>
      <c r="DN186" s="30"/>
      <c r="DO186" s="30"/>
      <c r="DP186" s="85"/>
      <c r="DQ186" s="85"/>
      <c r="DR186" s="85"/>
      <c r="DT186" s="81"/>
      <c r="DU186" s="30"/>
      <c r="DV186" s="30"/>
      <c r="DX186" s="30"/>
      <c r="DY186" s="30"/>
      <c r="DZ186" s="30"/>
      <c r="EA186" s="30"/>
      <c r="EB186" s="30"/>
      <c r="EC186" s="30"/>
      <c r="ED186" s="30"/>
      <c r="EE186" s="85"/>
      <c r="EF186" s="85"/>
      <c r="EG186" s="85"/>
      <c r="EI186" s="81"/>
      <c r="EJ186" s="30"/>
      <c r="EK186" s="30"/>
      <c r="EM186" s="30"/>
      <c r="EN186" s="30"/>
      <c r="EO186" s="30"/>
      <c r="EP186" s="30"/>
      <c r="EQ186" s="30"/>
      <c r="ER186" s="30"/>
      <c r="ES186" s="30"/>
      <c r="ET186" s="85"/>
      <c r="EU186" s="85"/>
      <c r="EV186" s="85"/>
    </row>
    <row r="187" spans="2:152">
      <c r="B187" s="11">
        <v>0.62</v>
      </c>
      <c r="C187" s="16"/>
      <c r="D187" s="16"/>
      <c r="E187" s="8"/>
      <c r="F187" s="27">
        <f t="shared" si="30"/>
        <v>1.9674928404078573</v>
      </c>
      <c r="G187" s="27">
        <f t="shared" si="31"/>
        <v>-0.94874730221574188</v>
      </c>
      <c r="H187" s="27">
        <f t="shared" si="32"/>
        <v>-1.0408043000448895E-2</v>
      </c>
      <c r="I187" s="27">
        <f t="shared" si="33"/>
        <v>92.155205851361572</v>
      </c>
      <c r="J187" s="27">
        <f t="shared" si="34"/>
        <v>0.34071727714991712</v>
      </c>
      <c r="K187" s="27">
        <f t="shared" si="35"/>
        <v>4.6703116522923045</v>
      </c>
      <c r="L187" s="27">
        <f t="shared" si="36"/>
        <v>7.2213118979506419</v>
      </c>
      <c r="M187" s="17">
        <f t="shared" si="37"/>
        <v>0.36573636081978372</v>
      </c>
      <c r="N187" s="17">
        <f t="shared" si="38"/>
        <v>0.36573636081978372</v>
      </c>
      <c r="O187" s="17">
        <f t="shared" si="39"/>
        <v>0.36573636081978372</v>
      </c>
      <c r="P187" s="17">
        <f>IF(ISERROR(O187),0,IF('R-AFC ISOTOPE'!$G$7='R-AFC ISOTOPE_CONTROL'!B187,'R-AFC ISOTOPE_CONTROL'!O187,0))</f>
        <v>0</v>
      </c>
      <c r="S187" s="81"/>
      <c r="T187" s="30"/>
      <c r="U187" s="30"/>
      <c r="W187" s="30"/>
      <c r="X187" s="30"/>
      <c r="Y187" s="30"/>
      <c r="Z187" s="30"/>
      <c r="AA187" s="30"/>
      <c r="AB187" s="30"/>
      <c r="AC187" s="30"/>
      <c r="AD187" s="85"/>
      <c r="AE187" s="85"/>
      <c r="AF187" s="85"/>
      <c r="AH187" s="81"/>
      <c r="AI187" s="30"/>
      <c r="AJ187" s="30"/>
      <c r="AL187" s="30"/>
      <c r="AM187" s="30"/>
      <c r="AN187" s="30"/>
      <c r="AO187" s="30"/>
      <c r="AP187" s="30"/>
      <c r="AQ187" s="30"/>
      <c r="AR187" s="30"/>
      <c r="AS187" s="85"/>
      <c r="AT187" s="85"/>
      <c r="AU187" s="85"/>
      <c r="AW187" s="81"/>
      <c r="AX187" s="30"/>
      <c r="AY187" s="30"/>
      <c r="BA187" s="30"/>
      <c r="BB187" s="30"/>
      <c r="BC187" s="30"/>
      <c r="BD187" s="30"/>
      <c r="BE187" s="30"/>
      <c r="BF187" s="30"/>
      <c r="BG187" s="30"/>
      <c r="BH187" s="85"/>
      <c r="BI187" s="85"/>
      <c r="BJ187" s="85"/>
      <c r="BL187" s="81"/>
      <c r="BM187" s="30"/>
      <c r="BN187" s="30"/>
      <c r="BP187" s="30"/>
      <c r="BQ187" s="30"/>
      <c r="BR187" s="30"/>
      <c r="BS187" s="30"/>
      <c r="BT187" s="30"/>
      <c r="BU187" s="30"/>
      <c r="BV187" s="30"/>
      <c r="BW187" s="85"/>
      <c r="BX187" s="85"/>
      <c r="BY187" s="85"/>
      <c r="CA187" s="81"/>
      <c r="CB187" s="30"/>
      <c r="CC187" s="30"/>
      <c r="CE187" s="30"/>
      <c r="CF187" s="30"/>
      <c r="CG187" s="30"/>
      <c r="CH187" s="30"/>
      <c r="CI187" s="30"/>
      <c r="CJ187" s="30"/>
      <c r="CK187" s="30"/>
      <c r="CL187" s="85"/>
      <c r="CM187" s="85"/>
      <c r="CN187" s="85"/>
      <c r="CP187" s="81"/>
      <c r="CQ187" s="30"/>
      <c r="CR187" s="30"/>
      <c r="CT187" s="30"/>
      <c r="CU187" s="30"/>
      <c r="CV187" s="30"/>
      <c r="CW187" s="30"/>
      <c r="CX187" s="30"/>
      <c r="CY187" s="30"/>
      <c r="CZ187" s="30"/>
      <c r="DA187" s="85"/>
      <c r="DB187" s="85"/>
      <c r="DC187" s="85"/>
      <c r="DE187" s="81"/>
      <c r="DF187" s="30"/>
      <c r="DG187" s="30"/>
      <c r="DI187" s="30"/>
      <c r="DJ187" s="30"/>
      <c r="DK187" s="30"/>
      <c r="DL187" s="30"/>
      <c r="DM187" s="30"/>
      <c r="DN187" s="30"/>
      <c r="DO187" s="30"/>
      <c r="DP187" s="85"/>
      <c r="DQ187" s="85"/>
      <c r="DR187" s="85"/>
      <c r="DT187" s="81"/>
      <c r="DU187" s="30"/>
      <c r="DV187" s="30"/>
      <c r="DX187" s="30"/>
      <c r="DY187" s="30"/>
      <c r="DZ187" s="30"/>
      <c r="EA187" s="30"/>
      <c r="EB187" s="30"/>
      <c r="EC187" s="30"/>
      <c r="ED187" s="30"/>
      <c r="EE187" s="85"/>
      <c r="EF187" s="85"/>
      <c r="EG187" s="85"/>
      <c r="EI187" s="81"/>
      <c r="EJ187" s="30"/>
      <c r="EK187" s="30"/>
      <c r="EM187" s="30"/>
      <c r="EN187" s="30"/>
      <c r="EO187" s="30"/>
      <c r="EP187" s="30"/>
      <c r="EQ187" s="30"/>
      <c r="ER187" s="30"/>
      <c r="ES187" s="30"/>
      <c r="ET187" s="85"/>
      <c r="EU187" s="85"/>
      <c r="EV187" s="85"/>
    </row>
    <row r="188" spans="2:152">
      <c r="B188" s="11">
        <v>0.63</v>
      </c>
      <c r="C188" s="16"/>
      <c r="D188" s="16"/>
      <c r="E188" s="8"/>
      <c r="F188" s="27">
        <f t="shared" si="30"/>
        <v>1.9377349875966265</v>
      </c>
      <c r="G188" s="27">
        <f t="shared" si="31"/>
        <v>-0.95900538457442353</v>
      </c>
      <c r="H188" s="27">
        <f t="shared" si="32"/>
        <v>-1.0575914661746457E-2</v>
      </c>
      <c r="I188" s="27">
        <f t="shared" si="33"/>
        <v>91.678245357178199</v>
      </c>
      <c r="J188" s="27">
        <f t="shared" si="34"/>
        <v>0.34776935066007086</v>
      </c>
      <c r="K188" s="27">
        <f t="shared" si="35"/>
        <v>4.8130023577690393</v>
      </c>
      <c r="L188" s="27">
        <f t="shared" si="36"/>
        <v>7.3885880764374967</v>
      </c>
      <c r="M188" s="17">
        <f t="shared" si="37"/>
        <v>0.36711707241566499</v>
      </c>
      <c r="N188" s="17">
        <f t="shared" si="38"/>
        <v>0.36711707241566499</v>
      </c>
      <c r="O188" s="17">
        <f t="shared" si="39"/>
        <v>0.36711707241566499</v>
      </c>
      <c r="P188" s="17">
        <f>IF(ISERROR(O188),0,IF('R-AFC ISOTOPE'!$G$7='R-AFC ISOTOPE_CONTROL'!B188,'R-AFC ISOTOPE_CONTROL'!O188,0))</f>
        <v>0</v>
      </c>
      <c r="S188" s="81"/>
      <c r="T188" s="30"/>
      <c r="U188" s="30"/>
      <c r="W188" s="30"/>
      <c r="X188" s="30"/>
      <c r="Y188" s="30"/>
      <c r="Z188" s="30"/>
      <c r="AA188" s="30"/>
      <c r="AB188" s="30"/>
      <c r="AC188" s="30"/>
      <c r="AD188" s="85"/>
      <c r="AE188" s="85"/>
      <c r="AF188" s="85"/>
      <c r="AH188" s="81"/>
      <c r="AI188" s="30"/>
      <c r="AJ188" s="30"/>
      <c r="AL188" s="30"/>
      <c r="AM188" s="30"/>
      <c r="AN188" s="30"/>
      <c r="AO188" s="30"/>
      <c r="AP188" s="30"/>
      <c r="AQ188" s="30"/>
      <c r="AR188" s="30"/>
      <c r="AS188" s="85"/>
      <c r="AT188" s="85"/>
      <c r="AU188" s="85"/>
      <c r="AW188" s="81"/>
      <c r="AX188" s="30"/>
      <c r="AY188" s="30"/>
      <c r="BA188" s="30"/>
      <c r="BB188" s="30"/>
      <c r="BC188" s="30"/>
      <c r="BD188" s="30"/>
      <c r="BE188" s="30"/>
      <c r="BF188" s="30"/>
      <c r="BG188" s="30"/>
      <c r="BH188" s="85"/>
      <c r="BI188" s="85"/>
      <c r="BJ188" s="85"/>
      <c r="BL188" s="81"/>
      <c r="BM188" s="30"/>
      <c r="BN188" s="30"/>
      <c r="BP188" s="30"/>
      <c r="BQ188" s="30"/>
      <c r="BR188" s="30"/>
      <c r="BS188" s="30"/>
      <c r="BT188" s="30"/>
      <c r="BU188" s="30"/>
      <c r="BV188" s="30"/>
      <c r="BW188" s="85"/>
      <c r="BX188" s="85"/>
      <c r="BY188" s="85"/>
      <c r="CA188" s="81"/>
      <c r="CB188" s="30"/>
      <c r="CC188" s="30"/>
      <c r="CE188" s="30"/>
      <c r="CF188" s="30"/>
      <c r="CG188" s="30"/>
      <c r="CH188" s="30"/>
      <c r="CI188" s="30"/>
      <c r="CJ188" s="30"/>
      <c r="CK188" s="30"/>
      <c r="CL188" s="85"/>
      <c r="CM188" s="85"/>
      <c r="CN188" s="85"/>
      <c r="CP188" s="81"/>
      <c r="CQ188" s="30"/>
      <c r="CR188" s="30"/>
      <c r="CT188" s="30"/>
      <c r="CU188" s="30"/>
      <c r="CV188" s="30"/>
      <c r="CW188" s="30"/>
      <c r="CX188" s="30"/>
      <c r="CY188" s="30"/>
      <c r="CZ188" s="30"/>
      <c r="DA188" s="85"/>
      <c r="DB188" s="85"/>
      <c r="DC188" s="85"/>
      <c r="DE188" s="81"/>
      <c r="DF188" s="30"/>
      <c r="DG188" s="30"/>
      <c r="DI188" s="30"/>
      <c r="DJ188" s="30"/>
      <c r="DK188" s="30"/>
      <c r="DL188" s="30"/>
      <c r="DM188" s="30"/>
      <c r="DN188" s="30"/>
      <c r="DO188" s="30"/>
      <c r="DP188" s="85"/>
      <c r="DQ188" s="85"/>
      <c r="DR188" s="85"/>
      <c r="DT188" s="81"/>
      <c r="DU188" s="30"/>
      <c r="DV188" s="30"/>
      <c r="DX188" s="30"/>
      <c r="DY188" s="30"/>
      <c r="DZ188" s="30"/>
      <c r="EA188" s="30"/>
      <c r="EB188" s="30"/>
      <c r="EC188" s="30"/>
      <c r="ED188" s="30"/>
      <c r="EE188" s="85"/>
      <c r="EF188" s="85"/>
      <c r="EG188" s="85"/>
      <c r="EI188" s="81"/>
      <c r="EJ188" s="30"/>
      <c r="EK188" s="30"/>
      <c r="EM188" s="30"/>
      <c r="EN188" s="30"/>
      <c r="EO188" s="30"/>
      <c r="EP188" s="30"/>
      <c r="EQ188" s="30"/>
      <c r="ER188" s="30"/>
      <c r="ES188" s="30"/>
      <c r="ET188" s="85"/>
      <c r="EU188" s="85"/>
      <c r="EV188" s="85"/>
    </row>
    <row r="189" spans="2:152">
      <c r="B189" s="11">
        <v>0.64</v>
      </c>
      <c r="C189" s="16"/>
      <c r="D189" s="16"/>
      <c r="E189" s="8"/>
      <c r="F189" s="27">
        <f t="shared" si="30"/>
        <v>1.9097530770032474</v>
      </c>
      <c r="G189" s="27">
        <f t="shared" si="31"/>
        <v>-0.96926346693310517</v>
      </c>
      <c r="H189" s="27">
        <f t="shared" si="32"/>
        <v>-1.074378632304402E-2</v>
      </c>
      <c r="I189" s="27">
        <f t="shared" si="33"/>
        <v>91.216189878438058</v>
      </c>
      <c r="J189" s="27">
        <f t="shared" si="34"/>
        <v>0.35467215464065993</v>
      </c>
      <c r="K189" s="27">
        <f t="shared" si="35"/>
        <v>4.9565892866648529</v>
      </c>
      <c r="L189" s="27">
        <f t="shared" si="36"/>
        <v>7.5561085646462862</v>
      </c>
      <c r="M189" s="17">
        <f t="shared" si="37"/>
        <v>0.36844833331096599</v>
      </c>
      <c r="N189" s="17">
        <f t="shared" si="38"/>
        <v>0.36844833331096599</v>
      </c>
      <c r="O189" s="17">
        <f t="shared" si="39"/>
        <v>0.36844833331096599</v>
      </c>
      <c r="P189" s="17">
        <f>IF(ISERROR(O189),0,IF('R-AFC ISOTOPE'!$G$7='R-AFC ISOTOPE_CONTROL'!B189,'R-AFC ISOTOPE_CONTROL'!O189,0))</f>
        <v>0</v>
      </c>
      <c r="S189" s="81"/>
      <c r="T189" s="30"/>
      <c r="U189" s="30"/>
      <c r="W189" s="30"/>
      <c r="X189" s="30"/>
      <c r="Y189" s="30"/>
      <c r="Z189" s="30"/>
      <c r="AA189" s="30"/>
      <c r="AB189" s="30"/>
      <c r="AC189" s="30"/>
      <c r="AD189" s="85"/>
      <c r="AE189" s="85"/>
      <c r="AF189" s="85"/>
      <c r="AH189" s="81"/>
      <c r="AI189" s="30"/>
      <c r="AJ189" s="30"/>
      <c r="AL189" s="30"/>
      <c r="AM189" s="30"/>
      <c r="AN189" s="30"/>
      <c r="AO189" s="30"/>
      <c r="AP189" s="30"/>
      <c r="AQ189" s="30"/>
      <c r="AR189" s="30"/>
      <c r="AS189" s="85"/>
      <c r="AT189" s="85"/>
      <c r="AU189" s="85"/>
      <c r="AW189" s="81"/>
      <c r="AX189" s="30"/>
      <c r="AY189" s="30"/>
      <c r="BA189" s="30"/>
      <c r="BB189" s="30"/>
      <c r="BC189" s="30"/>
      <c r="BD189" s="30"/>
      <c r="BE189" s="30"/>
      <c r="BF189" s="30"/>
      <c r="BG189" s="30"/>
      <c r="BH189" s="85"/>
      <c r="BI189" s="85"/>
      <c r="BJ189" s="85"/>
      <c r="BL189" s="81"/>
      <c r="BM189" s="30"/>
      <c r="BN189" s="30"/>
      <c r="BP189" s="30"/>
      <c r="BQ189" s="30"/>
      <c r="BR189" s="30"/>
      <c r="BS189" s="30"/>
      <c r="BT189" s="30"/>
      <c r="BU189" s="30"/>
      <c r="BV189" s="30"/>
      <c r="BW189" s="85"/>
      <c r="BX189" s="85"/>
      <c r="BY189" s="85"/>
      <c r="CA189" s="81"/>
      <c r="CB189" s="30"/>
      <c r="CC189" s="30"/>
      <c r="CE189" s="30"/>
      <c r="CF189" s="30"/>
      <c r="CG189" s="30"/>
      <c r="CH189" s="30"/>
      <c r="CI189" s="30"/>
      <c r="CJ189" s="30"/>
      <c r="CK189" s="30"/>
      <c r="CL189" s="85"/>
      <c r="CM189" s="85"/>
      <c r="CN189" s="85"/>
      <c r="CP189" s="81"/>
      <c r="CQ189" s="30"/>
      <c r="CR189" s="30"/>
      <c r="CT189" s="30"/>
      <c r="CU189" s="30"/>
      <c r="CV189" s="30"/>
      <c r="CW189" s="30"/>
      <c r="CX189" s="30"/>
      <c r="CY189" s="30"/>
      <c r="CZ189" s="30"/>
      <c r="DA189" s="85"/>
      <c r="DB189" s="85"/>
      <c r="DC189" s="85"/>
      <c r="DE189" s="81"/>
      <c r="DF189" s="30"/>
      <c r="DG189" s="30"/>
      <c r="DI189" s="30"/>
      <c r="DJ189" s="30"/>
      <c r="DK189" s="30"/>
      <c r="DL189" s="30"/>
      <c r="DM189" s="30"/>
      <c r="DN189" s="30"/>
      <c r="DO189" s="30"/>
      <c r="DP189" s="85"/>
      <c r="DQ189" s="85"/>
      <c r="DR189" s="85"/>
      <c r="DT189" s="81"/>
      <c r="DU189" s="30"/>
      <c r="DV189" s="30"/>
      <c r="DX189" s="30"/>
      <c r="DY189" s="30"/>
      <c r="DZ189" s="30"/>
      <c r="EA189" s="30"/>
      <c r="EB189" s="30"/>
      <c r="EC189" s="30"/>
      <c r="ED189" s="30"/>
      <c r="EE189" s="85"/>
      <c r="EF189" s="85"/>
      <c r="EG189" s="85"/>
      <c r="EI189" s="81"/>
      <c r="EJ189" s="30"/>
      <c r="EK189" s="30"/>
      <c r="EM189" s="30"/>
      <c r="EN189" s="30"/>
      <c r="EO189" s="30"/>
      <c r="EP189" s="30"/>
      <c r="EQ189" s="30"/>
      <c r="ER189" s="30"/>
      <c r="ES189" s="30"/>
      <c r="ET189" s="85"/>
      <c r="EU189" s="85"/>
      <c r="EV189" s="85"/>
    </row>
    <row r="190" spans="2:152">
      <c r="B190" s="11">
        <v>0.65</v>
      </c>
      <c r="C190" s="16"/>
      <c r="D190" s="16"/>
      <c r="E190" s="8"/>
      <c r="F190" s="27">
        <f t="shared" si="30"/>
        <v>1.8833927333968874</v>
      </c>
      <c r="G190" s="27">
        <f t="shared" si="31"/>
        <v>-0.97952154929178692</v>
      </c>
      <c r="H190" s="27">
        <f t="shared" si="32"/>
        <v>-1.0911657984341584E-2</v>
      </c>
      <c r="I190" s="27">
        <f t="shared" si="33"/>
        <v>90.768351491351467</v>
      </c>
      <c r="J190" s="27">
        <f t="shared" si="34"/>
        <v>0.36143037878675771</v>
      </c>
      <c r="K190" s="27">
        <f t="shared" si="35"/>
        <v>5.1010195638361724</v>
      </c>
      <c r="L190" s="27">
        <f t="shared" si="36"/>
        <v>7.7238304460475193</v>
      </c>
      <c r="M190" s="17">
        <f t="shared" si="37"/>
        <v>0.36973242682902235</v>
      </c>
      <c r="N190" s="17">
        <f t="shared" si="38"/>
        <v>0.36973242682902235</v>
      </c>
      <c r="O190" s="17">
        <f t="shared" si="39"/>
        <v>0.36973242682902235</v>
      </c>
      <c r="P190" s="17">
        <f>IF(ISERROR(O190),0,IF('R-AFC ISOTOPE'!$G$7='R-AFC ISOTOPE_CONTROL'!B190,'R-AFC ISOTOPE_CONTROL'!O190,0))</f>
        <v>0</v>
      </c>
      <c r="S190" s="81"/>
      <c r="T190" s="30"/>
      <c r="U190" s="30"/>
      <c r="W190" s="30"/>
      <c r="X190" s="30"/>
      <c r="Y190" s="30"/>
      <c r="Z190" s="30"/>
      <c r="AA190" s="30"/>
      <c r="AB190" s="30"/>
      <c r="AC190" s="30"/>
      <c r="AD190" s="85"/>
      <c r="AE190" s="85"/>
      <c r="AF190" s="85"/>
      <c r="AH190" s="81"/>
      <c r="AI190" s="30"/>
      <c r="AJ190" s="30"/>
      <c r="AL190" s="30"/>
      <c r="AM190" s="30"/>
      <c r="AN190" s="30"/>
      <c r="AO190" s="30"/>
      <c r="AP190" s="30"/>
      <c r="AQ190" s="30"/>
      <c r="AR190" s="30"/>
      <c r="AS190" s="85"/>
      <c r="AT190" s="85"/>
      <c r="AU190" s="85"/>
      <c r="AW190" s="81"/>
      <c r="AX190" s="30"/>
      <c r="AY190" s="30"/>
      <c r="BA190" s="30"/>
      <c r="BB190" s="30"/>
      <c r="BC190" s="30"/>
      <c r="BD190" s="30"/>
      <c r="BE190" s="30"/>
      <c r="BF190" s="30"/>
      <c r="BG190" s="30"/>
      <c r="BH190" s="85"/>
      <c r="BI190" s="85"/>
      <c r="BJ190" s="85"/>
      <c r="BL190" s="81"/>
      <c r="BM190" s="30"/>
      <c r="BN190" s="30"/>
      <c r="BP190" s="30"/>
      <c r="BQ190" s="30"/>
      <c r="BR190" s="30"/>
      <c r="BS190" s="30"/>
      <c r="BT190" s="30"/>
      <c r="BU190" s="30"/>
      <c r="BV190" s="30"/>
      <c r="BW190" s="85"/>
      <c r="BX190" s="85"/>
      <c r="BY190" s="85"/>
      <c r="CA190" s="81"/>
      <c r="CB190" s="30"/>
      <c r="CC190" s="30"/>
      <c r="CE190" s="30"/>
      <c r="CF190" s="30"/>
      <c r="CG190" s="30"/>
      <c r="CH190" s="30"/>
      <c r="CI190" s="30"/>
      <c r="CJ190" s="30"/>
      <c r="CK190" s="30"/>
      <c r="CL190" s="85"/>
      <c r="CM190" s="85"/>
      <c r="CN190" s="85"/>
      <c r="CP190" s="81"/>
      <c r="CQ190" s="30"/>
      <c r="CR190" s="30"/>
      <c r="CT190" s="30"/>
      <c r="CU190" s="30"/>
      <c r="CV190" s="30"/>
      <c r="CW190" s="30"/>
      <c r="CX190" s="30"/>
      <c r="CY190" s="30"/>
      <c r="CZ190" s="30"/>
      <c r="DA190" s="85"/>
      <c r="DB190" s="85"/>
      <c r="DC190" s="85"/>
      <c r="DE190" s="81"/>
      <c r="DF190" s="30"/>
      <c r="DG190" s="30"/>
      <c r="DI190" s="30"/>
      <c r="DJ190" s="30"/>
      <c r="DK190" s="30"/>
      <c r="DL190" s="30"/>
      <c r="DM190" s="30"/>
      <c r="DN190" s="30"/>
      <c r="DO190" s="30"/>
      <c r="DP190" s="85"/>
      <c r="DQ190" s="85"/>
      <c r="DR190" s="85"/>
      <c r="DT190" s="81"/>
      <c r="DU190" s="30"/>
      <c r="DV190" s="30"/>
      <c r="DX190" s="30"/>
      <c r="DY190" s="30"/>
      <c r="DZ190" s="30"/>
      <c r="EA190" s="30"/>
      <c r="EB190" s="30"/>
      <c r="EC190" s="30"/>
      <c r="ED190" s="30"/>
      <c r="EE190" s="85"/>
      <c r="EF190" s="85"/>
      <c r="EG190" s="85"/>
      <c r="EI190" s="81"/>
      <c r="EJ190" s="30"/>
      <c r="EK190" s="30"/>
      <c r="EM190" s="30"/>
      <c r="EN190" s="30"/>
      <c r="EO190" s="30"/>
      <c r="EP190" s="30"/>
      <c r="EQ190" s="30"/>
      <c r="ER190" s="30"/>
      <c r="ES190" s="30"/>
      <c r="ET190" s="85"/>
      <c r="EU190" s="85"/>
      <c r="EV190" s="85"/>
    </row>
    <row r="191" spans="2:152">
      <c r="B191" s="11">
        <v>0.66</v>
      </c>
      <c r="C191" s="16"/>
      <c r="D191" s="16"/>
      <c r="E191" s="8"/>
      <c r="F191" s="27">
        <f t="shared" ref="F191:F225" si="40">(((1+$C$122)*B191)/(((1+$C$122)*B191)-1))</f>
        <v>1.8585169699701238</v>
      </c>
      <c r="G191" s="27">
        <f t="shared" ref="G191:G225" si="41">(($C$115*($C$116-$C$126)*((1+$C$122)*B191+$C$120-1)))</f>
        <v>-0.98977963165046856</v>
      </c>
      <c r="H191" s="27">
        <f t="shared" ref="H191:H225" si="42">B191*(($C$118*($C$126-$C$119)-(($C$122*$E$126*($D$126-$C$126)))))</f>
        <v>-1.1079529645639146E-2</v>
      </c>
      <c r="I191" s="27">
        <f t="shared" ref="I191:I225" si="43">(G191/H191)+1</f>
        <v>90.334083964479618</v>
      </c>
      <c r="J191" s="27">
        <f t="shared" ref="J191:J225" si="44">(($C$122+1)*B191-1)/(($C$122+1)*B191+$C$120-1)</f>
        <v>0.36804851837731944</v>
      </c>
      <c r="K191" s="27">
        <f t="shared" ref="K191:K225" si="45">I191^J191</f>
        <v>5.2462417598767299</v>
      </c>
      <c r="L191" s="27">
        <f t="shared" ref="L191:L225" si="46">(K191-1)*F191</f>
        <v>7.8917123693267062</v>
      </c>
      <c r="M191" s="17">
        <f t="shared" ref="M191:M225" si="47">L191/($C$122*(1+L191)+1)</f>
        <v>0.37097151374516796</v>
      </c>
      <c r="N191" s="17">
        <f t="shared" ref="N191:N225" si="48">IFERROR(M191,NA())</f>
        <v>0.37097151374516796</v>
      </c>
      <c r="O191" s="17">
        <f t="shared" ref="O191:O225" si="49">IF($C$2=0,NA(),IF(N191&lt;0,NA(),IF(ISERROR(N191),NA(),N191)))</f>
        <v>0.37097151374516796</v>
      </c>
      <c r="P191" s="17">
        <f>IF(ISERROR(O191),0,IF('R-AFC ISOTOPE'!$G$7='R-AFC ISOTOPE_CONTROL'!B191,'R-AFC ISOTOPE_CONTROL'!O191,0))</f>
        <v>0</v>
      </c>
      <c r="S191" s="81"/>
      <c r="T191" s="30"/>
      <c r="U191" s="30"/>
      <c r="W191" s="30"/>
      <c r="X191" s="30"/>
      <c r="Y191" s="30"/>
      <c r="Z191" s="30"/>
      <c r="AA191" s="30"/>
      <c r="AB191" s="30"/>
      <c r="AC191" s="30"/>
      <c r="AD191" s="85"/>
      <c r="AE191" s="85"/>
      <c r="AF191" s="85"/>
      <c r="AH191" s="81"/>
      <c r="AI191" s="30"/>
      <c r="AJ191" s="30"/>
      <c r="AL191" s="30"/>
      <c r="AM191" s="30"/>
      <c r="AN191" s="30"/>
      <c r="AO191" s="30"/>
      <c r="AP191" s="30"/>
      <c r="AQ191" s="30"/>
      <c r="AR191" s="30"/>
      <c r="AS191" s="85"/>
      <c r="AT191" s="85"/>
      <c r="AU191" s="85"/>
      <c r="AW191" s="81"/>
      <c r="AX191" s="30"/>
      <c r="AY191" s="30"/>
      <c r="BA191" s="30"/>
      <c r="BB191" s="30"/>
      <c r="BC191" s="30"/>
      <c r="BD191" s="30"/>
      <c r="BE191" s="30"/>
      <c r="BF191" s="30"/>
      <c r="BG191" s="30"/>
      <c r="BH191" s="85"/>
      <c r="BI191" s="85"/>
      <c r="BJ191" s="85"/>
      <c r="BL191" s="81"/>
      <c r="BM191" s="30"/>
      <c r="BN191" s="30"/>
      <c r="BP191" s="30"/>
      <c r="BQ191" s="30"/>
      <c r="BR191" s="30"/>
      <c r="BS191" s="30"/>
      <c r="BT191" s="30"/>
      <c r="BU191" s="30"/>
      <c r="BV191" s="30"/>
      <c r="BW191" s="85"/>
      <c r="BX191" s="85"/>
      <c r="BY191" s="85"/>
      <c r="CA191" s="81"/>
      <c r="CB191" s="30"/>
      <c r="CC191" s="30"/>
      <c r="CE191" s="30"/>
      <c r="CF191" s="30"/>
      <c r="CG191" s="30"/>
      <c r="CH191" s="30"/>
      <c r="CI191" s="30"/>
      <c r="CJ191" s="30"/>
      <c r="CK191" s="30"/>
      <c r="CL191" s="85"/>
      <c r="CM191" s="85"/>
      <c r="CN191" s="85"/>
      <c r="CP191" s="81"/>
      <c r="CQ191" s="30"/>
      <c r="CR191" s="30"/>
      <c r="CT191" s="30"/>
      <c r="CU191" s="30"/>
      <c r="CV191" s="30"/>
      <c r="CW191" s="30"/>
      <c r="CX191" s="30"/>
      <c r="CY191" s="30"/>
      <c r="CZ191" s="30"/>
      <c r="DA191" s="85"/>
      <c r="DB191" s="85"/>
      <c r="DC191" s="85"/>
      <c r="DE191" s="81"/>
      <c r="DF191" s="30"/>
      <c r="DG191" s="30"/>
      <c r="DI191" s="30"/>
      <c r="DJ191" s="30"/>
      <c r="DK191" s="30"/>
      <c r="DL191" s="30"/>
      <c r="DM191" s="30"/>
      <c r="DN191" s="30"/>
      <c r="DO191" s="30"/>
      <c r="DP191" s="85"/>
      <c r="DQ191" s="85"/>
      <c r="DR191" s="85"/>
      <c r="DT191" s="81"/>
      <c r="DU191" s="30"/>
      <c r="DV191" s="30"/>
      <c r="DX191" s="30"/>
      <c r="DY191" s="30"/>
      <c r="DZ191" s="30"/>
      <c r="EA191" s="30"/>
      <c r="EB191" s="30"/>
      <c r="EC191" s="30"/>
      <c r="ED191" s="30"/>
      <c r="EE191" s="85"/>
      <c r="EF191" s="85"/>
      <c r="EG191" s="85"/>
      <c r="EI191" s="81"/>
      <c r="EJ191" s="30"/>
      <c r="EK191" s="30"/>
      <c r="EM191" s="30"/>
      <c r="EN191" s="30"/>
      <c r="EO191" s="30"/>
      <c r="EP191" s="30"/>
      <c r="EQ191" s="30"/>
      <c r="ER191" s="30"/>
      <c r="ES191" s="30"/>
      <c r="ET191" s="85"/>
      <c r="EU191" s="85"/>
      <c r="EV191" s="85"/>
    </row>
    <row r="192" spans="2:152">
      <c r="B192" s="11">
        <v>0.67</v>
      </c>
      <c r="C192" s="16"/>
      <c r="D192" s="16"/>
      <c r="E192" s="8"/>
      <c r="F192" s="27">
        <f t="shared" si="40"/>
        <v>1.8350038071581085</v>
      </c>
      <c r="G192" s="27">
        <f t="shared" si="41"/>
        <v>-1.0000377140091503</v>
      </c>
      <c r="H192" s="27">
        <f t="shared" si="42"/>
        <v>-1.1247401306936709E-2</v>
      </c>
      <c r="I192" s="27">
        <f t="shared" si="43"/>
        <v>89.912779647365141</v>
      </c>
      <c r="J192" s="27">
        <f t="shared" si="44"/>
        <v>0.37453088424649011</v>
      </c>
      <c r="K192" s="27">
        <f t="shared" si="45"/>
        <v>5.3922058794434546</v>
      </c>
      <c r="L192" s="27">
        <f t="shared" si="46"/>
        <v>8.0597145106009673</v>
      </c>
      <c r="M192" s="17">
        <f t="shared" si="47"/>
        <v>0.37216763936229402</v>
      </c>
      <c r="N192" s="17">
        <f t="shared" si="48"/>
        <v>0.37216763936229402</v>
      </c>
      <c r="O192" s="17">
        <f t="shared" si="49"/>
        <v>0.37216763936229402</v>
      </c>
      <c r="P192" s="17">
        <f>IF(ISERROR(O192),0,IF('R-AFC ISOTOPE'!$G$7='R-AFC ISOTOPE_CONTROL'!B192,'R-AFC ISOTOPE_CONTROL'!O192,0))</f>
        <v>0</v>
      </c>
      <c r="S192" s="81"/>
      <c r="T192" s="30"/>
      <c r="U192" s="30"/>
      <c r="W192" s="30"/>
      <c r="X192" s="30"/>
      <c r="Y192" s="30"/>
      <c r="Z192" s="30"/>
      <c r="AA192" s="30"/>
      <c r="AB192" s="30"/>
      <c r="AC192" s="30"/>
      <c r="AD192" s="85"/>
      <c r="AE192" s="85"/>
      <c r="AF192" s="85"/>
      <c r="AH192" s="81"/>
      <c r="AI192" s="30"/>
      <c r="AJ192" s="30"/>
      <c r="AL192" s="30"/>
      <c r="AM192" s="30"/>
      <c r="AN192" s="30"/>
      <c r="AO192" s="30"/>
      <c r="AP192" s="30"/>
      <c r="AQ192" s="30"/>
      <c r="AR192" s="30"/>
      <c r="AS192" s="85"/>
      <c r="AT192" s="85"/>
      <c r="AU192" s="85"/>
      <c r="AW192" s="81"/>
      <c r="AX192" s="30"/>
      <c r="AY192" s="30"/>
      <c r="BA192" s="30"/>
      <c r="BB192" s="30"/>
      <c r="BC192" s="30"/>
      <c r="BD192" s="30"/>
      <c r="BE192" s="30"/>
      <c r="BF192" s="30"/>
      <c r="BG192" s="30"/>
      <c r="BH192" s="85"/>
      <c r="BI192" s="85"/>
      <c r="BJ192" s="85"/>
      <c r="BL192" s="81"/>
      <c r="BM192" s="30"/>
      <c r="BN192" s="30"/>
      <c r="BP192" s="30"/>
      <c r="BQ192" s="30"/>
      <c r="BR192" s="30"/>
      <c r="BS192" s="30"/>
      <c r="BT192" s="30"/>
      <c r="BU192" s="30"/>
      <c r="BV192" s="30"/>
      <c r="BW192" s="85"/>
      <c r="BX192" s="85"/>
      <c r="BY192" s="85"/>
      <c r="CA192" s="81"/>
      <c r="CB192" s="30"/>
      <c r="CC192" s="30"/>
      <c r="CE192" s="30"/>
      <c r="CF192" s="30"/>
      <c r="CG192" s="30"/>
      <c r="CH192" s="30"/>
      <c r="CI192" s="30"/>
      <c r="CJ192" s="30"/>
      <c r="CK192" s="30"/>
      <c r="CL192" s="85"/>
      <c r="CM192" s="85"/>
      <c r="CN192" s="85"/>
      <c r="CP192" s="81"/>
      <c r="CQ192" s="30"/>
      <c r="CR192" s="30"/>
      <c r="CT192" s="30"/>
      <c r="CU192" s="30"/>
      <c r="CV192" s="30"/>
      <c r="CW192" s="30"/>
      <c r="CX192" s="30"/>
      <c r="CY192" s="30"/>
      <c r="CZ192" s="30"/>
      <c r="DA192" s="85"/>
      <c r="DB192" s="85"/>
      <c r="DC192" s="85"/>
      <c r="DE192" s="81"/>
      <c r="DF192" s="30"/>
      <c r="DG192" s="30"/>
      <c r="DI192" s="30"/>
      <c r="DJ192" s="30"/>
      <c r="DK192" s="30"/>
      <c r="DL192" s="30"/>
      <c r="DM192" s="30"/>
      <c r="DN192" s="30"/>
      <c r="DO192" s="30"/>
      <c r="DP192" s="85"/>
      <c r="DQ192" s="85"/>
      <c r="DR192" s="85"/>
      <c r="DT192" s="81"/>
      <c r="DU192" s="30"/>
      <c r="DV192" s="30"/>
      <c r="DX192" s="30"/>
      <c r="DY192" s="30"/>
      <c r="DZ192" s="30"/>
      <c r="EA192" s="30"/>
      <c r="EB192" s="30"/>
      <c r="EC192" s="30"/>
      <c r="ED192" s="30"/>
      <c r="EE192" s="85"/>
      <c r="EF192" s="85"/>
      <c r="EG192" s="85"/>
      <c r="EI192" s="81"/>
      <c r="EJ192" s="30"/>
      <c r="EK192" s="30"/>
      <c r="EM192" s="30"/>
      <c r="EN192" s="30"/>
      <c r="EO192" s="30"/>
      <c r="EP192" s="30"/>
      <c r="EQ192" s="30"/>
      <c r="ER192" s="30"/>
      <c r="ES192" s="30"/>
      <c r="ET192" s="85"/>
      <c r="EU192" s="85"/>
      <c r="EV192" s="85"/>
    </row>
    <row r="193" spans="2:152">
      <c r="B193" s="11">
        <v>0.68</v>
      </c>
      <c r="C193" s="16"/>
      <c r="D193" s="16"/>
      <c r="E193" s="8"/>
      <c r="F193" s="27">
        <f t="shared" si="40"/>
        <v>1.8127442723229072</v>
      </c>
      <c r="G193" s="27">
        <f t="shared" si="41"/>
        <v>-1.0102957963678318</v>
      </c>
      <c r="H193" s="27">
        <f t="shared" si="42"/>
        <v>-1.1415272968234273E-2</v>
      </c>
      <c r="I193" s="27">
        <f t="shared" si="43"/>
        <v>89.503866633695182</v>
      </c>
      <c r="J193" s="27">
        <f t="shared" si="44"/>
        <v>0.38088161214744565</v>
      </c>
      <c r="K193" s="27">
        <f t="shared" si="45"/>
        <v>5.5388633470561226</v>
      </c>
      <c r="L193" s="27">
        <f t="shared" si="46"/>
        <v>8.2277985352323668</v>
      </c>
      <c r="M193" s="17">
        <f t="shared" si="47"/>
        <v>0.37332274018884715</v>
      </c>
      <c r="N193" s="17">
        <f t="shared" si="48"/>
        <v>0.37332274018884715</v>
      </c>
      <c r="O193" s="17">
        <f t="shared" si="49"/>
        <v>0.37332274018884715</v>
      </c>
      <c r="P193" s="17">
        <f>IF(ISERROR(O193),0,IF('R-AFC ISOTOPE'!$G$7='R-AFC ISOTOPE_CONTROL'!B193,'R-AFC ISOTOPE_CONTROL'!O193,0))</f>
        <v>0</v>
      </c>
      <c r="S193" s="81"/>
      <c r="T193" s="30"/>
      <c r="U193" s="30"/>
      <c r="W193" s="30"/>
      <c r="X193" s="30"/>
      <c r="Y193" s="30"/>
      <c r="Z193" s="30"/>
      <c r="AA193" s="30"/>
      <c r="AB193" s="30"/>
      <c r="AC193" s="30"/>
      <c r="AD193" s="85"/>
      <c r="AE193" s="85"/>
      <c r="AF193" s="85"/>
      <c r="AH193" s="81"/>
      <c r="AI193" s="30"/>
      <c r="AJ193" s="30"/>
      <c r="AL193" s="30"/>
      <c r="AM193" s="30"/>
      <c r="AN193" s="30"/>
      <c r="AO193" s="30"/>
      <c r="AP193" s="30"/>
      <c r="AQ193" s="30"/>
      <c r="AR193" s="30"/>
      <c r="AS193" s="85"/>
      <c r="AT193" s="85"/>
      <c r="AU193" s="85"/>
      <c r="AW193" s="81"/>
      <c r="AX193" s="30"/>
      <c r="AY193" s="30"/>
      <c r="BA193" s="30"/>
      <c r="BB193" s="30"/>
      <c r="BC193" s="30"/>
      <c r="BD193" s="30"/>
      <c r="BE193" s="30"/>
      <c r="BF193" s="30"/>
      <c r="BG193" s="30"/>
      <c r="BH193" s="85"/>
      <c r="BI193" s="85"/>
      <c r="BJ193" s="85"/>
      <c r="BL193" s="81"/>
      <c r="BM193" s="30"/>
      <c r="BN193" s="30"/>
      <c r="BP193" s="30"/>
      <c r="BQ193" s="30"/>
      <c r="BR193" s="30"/>
      <c r="BS193" s="30"/>
      <c r="BT193" s="30"/>
      <c r="BU193" s="30"/>
      <c r="BV193" s="30"/>
      <c r="BW193" s="85"/>
      <c r="BX193" s="85"/>
      <c r="BY193" s="85"/>
      <c r="CA193" s="81"/>
      <c r="CB193" s="30"/>
      <c r="CC193" s="30"/>
      <c r="CE193" s="30"/>
      <c r="CF193" s="30"/>
      <c r="CG193" s="30"/>
      <c r="CH193" s="30"/>
      <c r="CI193" s="30"/>
      <c r="CJ193" s="30"/>
      <c r="CK193" s="30"/>
      <c r="CL193" s="85"/>
      <c r="CM193" s="85"/>
      <c r="CN193" s="85"/>
      <c r="CP193" s="81"/>
      <c r="CQ193" s="30"/>
      <c r="CR193" s="30"/>
      <c r="CT193" s="30"/>
      <c r="CU193" s="30"/>
      <c r="CV193" s="30"/>
      <c r="CW193" s="30"/>
      <c r="CX193" s="30"/>
      <c r="CY193" s="30"/>
      <c r="CZ193" s="30"/>
      <c r="DA193" s="85"/>
      <c r="DB193" s="85"/>
      <c r="DC193" s="85"/>
      <c r="DE193" s="81"/>
      <c r="DF193" s="30"/>
      <c r="DG193" s="30"/>
      <c r="DI193" s="30"/>
      <c r="DJ193" s="30"/>
      <c r="DK193" s="30"/>
      <c r="DL193" s="30"/>
      <c r="DM193" s="30"/>
      <c r="DN193" s="30"/>
      <c r="DO193" s="30"/>
      <c r="DP193" s="85"/>
      <c r="DQ193" s="85"/>
      <c r="DR193" s="85"/>
      <c r="DT193" s="81"/>
      <c r="DU193" s="30"/>
      <c r="DV193" s="30"/>
      <c r="DX193" s="30"/>
      <c r="DY193" s="30"/>
      <c r="DZ193" s="30"/>
      <c r="EA193" s="30"/>
      <c r="EB193" s="30"/>
      <c r="EC193" s="30"/>
      <c r="ED193" s="30"/>
      <c r="EE193" s="85"/>
      <c r="EF193" s="85"/>
      <c r="EG193" s="85"/>
      <c r="EI193" s="81"/>
      <c r="EJ193" s="30"/>
      <c r="EK193" s="30"/>
      <c r="EM193" s="30"/>
      <c r="EN193" s="30"/>
      <c r="EO193" s="30"/>
      <c r="EP193" s="30"/>
      <c r="EQ193" s="30"/>
      <c r="ER193" s="30"/>
      <c r="ES193" s="30"/>
      <c r="ET193" s="85"/>
      <c r="EU193" s="85"/>
      <c r="EV193" s="85"/>
    </row>
    <row r="194" spans="2:152">
      <c r="B194" s="11">
        <v>0.69</v>
      </c>
      <c r="C194" s="16"/>
      <c r="D194" s="16"/>
      <c r="E194" s="8"/>
      <c r="F194" s="27">
        <f t="shared" si="40"/>
        <v>1.7916407110767028</v>
      </c>
      <c r="G194" s="27">
        <f t="shared" si="41"/>
        <v>-1.0205538787265136</v>
      </c>
      <c r="H194" s="27">
        <f t="shared" si="42"/>
        <v>-1.1583144629531833E-2</v>
      </c>
      <c r="I194" s="27">
        <f t="shared" si="43"/>
        <v>89.106806171146147</v>
      </c>
      <c r="J194" s="27">
        <f t="shared" si="44"/>
        <v>0.38710467155151218</v>
      </c>
      <c r="K194" s="27">
        <f t="shared" si="45"/>
        <v>5.6861669906796228</v>
      </c>
      <c r="L194" s="27">
        <f t="shared" si="46"/>
        <v>8.3959275594054112</v>
      </c>
      <c r="M194" s="17">
        <f t="shared" si="47"/>
        <v>0.37443865023570272</v>
      </c>
      <c r="N194" s="17">
        <f t="shared" si="48"/>
        <v>0.37443865023570272</v>
      </c>
      <c r="O194" s="17">
        <f t="shared" si="49"/>
        <v>0.37443865023570272</v>
      </c>
      <c r="P194" s="17">
        <f>IF(ISERROR(O194),0,IF('R-AFC ISOTOPE'!$G$7='R-AFC ISOTOPE_CONTROL'!B194,'R-AFC ISOTOPE_CONTROL'!O194,0))</f>
        <v>0</v>
      </c>
      <c r="S194" s="81"/>
      <c r="T194" s="30"/>
      <c r="U194" s="30"/>
      <c r="W194" s="30"/>
      <c r="X194" s="30"/>
      <c r="Y194" s="30"/>
      <c r="Z194" s="30"/>
      <c r="AA194" s="30"/>
      <c r="AB194" s="30"/>
      <c r="AC194" s="30"/>
      <c r="AD194" s="85"/>
      <c r="AE194" s="85"/>
      <c r="AF194" s="85"/>
      <c r="AH194" s="81"/>
      <c r="AI194" s="30"/>
      <c r="AJ194" s="30"/>
      <c r="AL194" s="30"/>
      <c r="AM194" s="30"/>
      <c r="AN194" s="30"/>
      <c r="AO194" s="30"/>
      <c r="AP194" s="30"/>
      <c r="AQ194" s="30"/>
      <c r="AR194" s="30"/>
      <c r="AS194" s="85"/>
      <c r="AT194" s="85"/>
      <c r="AU194" s="85"/>
      <c r="AW194" s="81"/>
      <c r="AX194" s="30"/>
      <c r="AY194" s="30"/>
      <c r="BA194" s="30"/>
      <c r="BB194" s="30"/>
      <c r="BC194" s="30"/>
      <c r="BD194" s="30"/>
      <c r="BE194" s="30"/>
      <c r="BF194" s="30"/>
      <c r="BG194" s="30"/>
      <c r="BH194" s="85"/>
      <c r="BI194" s="85"/>
      <c r="BJ194" s="85"/>
      <c r="BL194" s="81"/>
      <c r="BM194" s="30"/>
      <c r="BN194" s="30"/>
      <c r="BP194" s="30"/>
      <c r="BQ194" s="30"/>
      <c r="BR194" s="30"/>
      <c r="BS194" s="30"/>
      <c r="BT194" s="30"/>
      <c r="BU194" s="30"/>
      <c r="BV194" s="30"/>
      <c r="BW194" s="85"/>
      <c r="BX194" s="85"/>
      <c r="BY194" s="85"/>
      <c r="CA194" s="81"/>
      <c r="CB194" s="30"/>
      <c r="CC194" s="30"/>
      <c r="CE194" s="30"/>
      <c r="CF194" s="30"/>
      <c r="CG194" s="30"/>
      <c r="CH194" s="30"/>
      <c r="CI194" s="30"/>
      <c r="CJ194" s="30"/>
      <c r="CK194" s="30"/>
      <c r="CL194" s="85"/>
      <c r="CM194" s="85"/>
      <c r="CN194" s="85"/>
      <c r="CP194" s="81"/>
      <c r="CQ194" s="30"/>
      <c r="CR194" s="30"/>
      <c r="CT194" s="30"/>
      <c r="CU194" s="30"/>
      <c r="CV194" s="30"/>
      <c r="CW194" s="30"/>
      <c r="CX194" s="30"/>
      <c r="CY194" s="30"/>
      <c r="CZ194" s="30"/>
      <c r="DA194" s="85"/>
      <c r="DB194" s="85"/>
      <c r="DC194" s="85"/>
      <c r="DE194" s="81"/>
      <c r="DF194" s="30"/>
      <c r="DG194" s="30"/>
      <c r="DI194" s="30"/>
      <c r="DJ194" s="30"/>
      <c r="DK194" s="30"/>
      <c r="DL194" s="30"/>
      <c r="DM194" s="30"/>
      <c r="DN194" s="30"/>
      <c r="DO194" s="30"/>
      <c r="DP194" s="85"/>
      <c r="DQ194" s="85"/>
      <c r="DR194" s="85"/>
      <c r="DT194" s="81"/>
      <c r="DU194" s="30"/>
      <c r="DV194" s="30"/>
      <c r="DX194" s="30"/>
      <c r="DY194" s="30"/>
      <c r="DZ194" s="30"/>
      <c r="EA194" s="30"/>
      <c r="EB194" s="30"/>
      <c r="EC194" s="30"/>
      <c r="ED194" s="30"/>
      <c r="EE194" s="85"/>
      <c r="EF194" s="85"/>
      <c r="EG194" s="85"/>
      <c r="EI194" s="81"/>
      <c r="EJ194" s="30"/>
      <c r="EK194" s="30"/>
      <c r="EM194" s="30"/>
      <c r="EN194" s="30"/>
      <c r="EO194" s="30"/>
      <c r="EP194" s="30"/>
      <c r="EQ194" s="30"/>
      <c r="ER194" s="30"/>
      <c r="ES194" s="30"/>
      <c r="ET194" s="85"/>
      <c r="EU194" s="85"/>
      <c r="EV194" s="85"/>
    </row>
    <row r="195" spans="2:152">
      <c r="B195" s="11">
        <v>0.7</v>
      </c>
      <c r="C195" s="16"/>
      <c r="D195" s="16"/>
      <c r="E195" s="8"/>
      <c r="F195" s="27">
        <f t="shared" si="40"/>
        <v>1.7716053550337567</v>
      </c>
      <c r="G195" s="27">
        <f t="shared" si="41"/>
        <v>-1.0308119610851953</v>
      </c>
      <c r="H195" s="27">
        <f t="shared" si="42"/>
        <v>-1.1751016290829397E-2</v>
      </c>
      <c r="I195" s="27">
        <f t="shared" si="43"/>
        <v>88.721090293241332</v>
      </c>
      <c r="J195" s="27">
        <f t="shared" si="44"/>
        <v>0.39320387392190087</v>
      </c>
      <c r="K195" s="27">
        <f t="shared" si="45"/>
        <v>5.8340710233708526</v>
      </c>
      <c r="L195" s="27">
        <f t="shared" si="46"/>
        <v>8.5640661116173149</v>
      </c>
      <c r="M195" s="17">
        <f t="shared" si="47"/>
        <v>0.37551710694894563</v>
      </c>
      <c r="N195" s="17">
        <f t="shared" si="48"/>
        <v>0.37551710694894563</v>
      </c>
      <c r="O195" s="17">
        <f t="shared" si="49"/>
        <v>0.37551710694894563</v>
      </c>
      <c r="P195" s="17">
        <f>IF(ISERROR(O195),0,IF('R-AFC ISOTOPE'!$G$7='R-AFC ISOTOPE_CONTROL'!B195,'R-AFC ISOTOPE_CONTROL'!O195,0))</f>
        <v>0</v>
      </c>
      <c r="S195" s="81"/>
      <c r="T195" s="30"/>
      <c r="U195" s="30"/>
      <c r="W195" s="30"/>
      <c r="X195" s="30"/>
      <c r="Y195" s="30"/>
      <c r="Z195" s="30"/>
      <c r="AA195" s="30"/>
      <c r="AB195" s="30"/>
      <c r="AC195" s="30"/>
      <c r="AD195" s="85"/>
      <c r="AE195" s="85"/>
      <c r="AF195" s="85"/>
      <c r="AH195" s="81"/>
      <c r="AI195" s="30"/>
      <c r="AJ195" s="30"/>
      <c r="AL195" s="30"/>
      <c r="AM195" s="30"/>
      <c r="AN195" s="30"/>
      <c r="AO195" s="30"/>
      <c r="AP195" s="30"/>
      <c r="AQ195" s="30"/>
      <c r="AR195" s="30"/>
      <c r="AS195" s="85"/>
      <c r="AT195" s="85"/>
      <c r="AU195" s="85"/>
      <c r="AW195" s="81"/>
      <c r="AX195" s="30"/>
      <c r="AY195" s="30"/>
      <c r="BA195" s="30"/>
      <c r="BB195" s="30"/>
      <c r="BC195" s="30"/>
      <c r="BD195" s="30"/>
      <c r="BE195" s="30"/>
      <c r="BF195" s="30"/>
      <c r="BG195" s="30"/>
      <c r="BH195" s="85"/>
      <c r="BI195" s="85"/>
      <c r="BJ195" s="85"/>
      <c r="BL195" s="81"/>
      <c r="BM195" s="30"/>
      <c r="BN195" s="30"/>
      <c r="BP195" s="30"/>
      <c r="BQ195" s="30"/>
      <c r="BR195" s="30"/>
      <c r="BS195" s="30"/>
      <c r="BT195" s="30"/>
      <c r="BU195" s="30"/>
      <c r="BV195" s="30"/>
      <c r="BW195" s="85"/>
      <c r="BX195" s="85"/>
      <c r="BY195" s="85"/>
      <c r="CA195" s="81"/>
      <c r="CB195" s="30"/>
      <c r="CC195" s="30"/>
      <c r="CE195" s="30"/>
      <c r="CF195" s="30"/>
      <c r="CG195" s="30"/>
      <c r="CH195" s="30"/>
      <c r="CI195" s="30"/>
      <c r="CJ195" s="30"/>
      <c r="CK195" s="30"/>
      <c r="CL195" s="85"/>
      <c r="CM195" s="85"/>
      <c r="CN195" s="85"/>
      <c r="CP195" s="81"/>
      <c r="CQ195" s="30"/>
      <c r="CR195" s="30"/>
      <c r="CT195" s="30"/>
      <c r="CU195" s="30"/>
      <c r="CV195" s="30"/>
      <c r="CW195" s="30"/>
      <c r="CX195" s="30"/>
      <c r="CY195" s="30"/>
      <c r="CZ195" s="30"/>
      <c r="DA195" s="85"/>
      <c r="DB195" s="85"/>
      <c r="DC195" s="85"/>
      <c r="DE195" s="81"/>
      <c r="DF195" s="30"/>
      <c r="DG195" s="30"/>
      <c r="DI195" s="30"/>
      <c r="DJ195" s="30"/>
      <c r="DK195" s="30"/>
      <c r="DL195" s="30"/>
      <c r="DM195" s="30"/>
      <c r="DN195" s="30"/>
      <c r="DO195" s="30"/>
      <c r="DP195" s="85"/>
      <c r="DQ195" s="85"/>
      <c r="DR195" s="85"/>
      <c r="DT195" s="81"/>
      <c r="DU195" s="30"/>
      <c r="DV195" s="30"/>
      <c r="DX195" s="30"/>
      <c r="DY195" s="30"/>
      <c r="DZ195" s="30"/>
      <c r="EA195" s="30"/>
      <c r="EB195" s="30"/>
      <c r="EC195" s="30"/>
      <c r="ED195" s="30"/>
      <c r="EE195" s="85"/>
      <c r="EF195" s="85"/>
      <c r="EG195" s="85"/>
      <c r="EI195" s="81"/>
      <c r="EJ195" s="30"/>
      <c r="EK195" s="30"/>
      <c r="EM195" s="30"/>
      <c r="EN195" s="30"/>
      <c r="EO195" s="30"/>
      <c r="EP195" s="30"/>
      <c r="EQ195" s="30"/>
      <c r="ER195" s="30"/>
      <c r="ES195" s="30"/>
      <c r="ET195" s="85"/>
      <c r="EU195" s="85"/>
      <c r="EV195" s="85"/>
    </row>
    <row r="196" spans="2:152">
      <c r="B196" s="11">
        <v>0.71</v>
      </c>
      <c r="C196" s="16"/>
      <c r="D196" s="16"/>
      <c r="E196" s="8"/>
      <c r="F196" s="27">
        <f t="shared" si="40"/>
        <v>1.7525591016834456</v>
      </c>
      <c r="G196" s="27">
        <f t="shared" si="41"/>
        <v>-1.0410700434438769</v>
      </c>
      <c r="H196" s="27">
        <f t="shared" si="42"/>
        <v>-1.1918887952126958E-2</v>
      </c>
      <c r="I196" s="27">
        <f t="shared" si="43"/>
        <v>88.346239651333832</v>
      </c>
      <c r="J196" s="27">
        <f t="shared" si="44"/>
        <v>0.39918288049829526</v>
      </c>
      <c r="K196" s="27">
        <f t="shared" si="45"/>
        <v>5.9825310232474811</v>
      </c>
      <c r="L196" s="27">
        <f t="shared" si="46"/>
        <v>8.7321800942125041</v>
      </c>
      <c r="M196" s="17">
        <f t="shared" si="47"/>
        <v>0.37655975679586112</v>
      </c>
      <c r="N196" s="17">
        <f t="shared" si="48"/>
        <v>0.37655975679586112</v>
      </c>
      <c r="O196" s="17">
        <f t="shared" si="49"/>
        <v>0.37655975679586112</v>
      </c>
      <c r="P196" s="17">
        <f>IF(ISERROR(O196),0,IF('R-AFC ISOTOPE'!$G$7='R-AFC ISOTOPE_CONTROL'!B196,'R-AFC ISOTOPE_CONTROL'!O196,0))</f>
        <v>0</v>
      </c>
      <c r="S196" s="81"/>
      <c r="T196" s="30"/>
      <c r="U196" s="30"/>
      <c r="W196" s="30"/>
      <c r="X196" s="30"/>
      <c r="Y196" s="30"/>
      <c r="Z196" s="30"/>
      <c r="AA196" s="30"/>
      <c r="AB196" s="30"/>
      <c r="AC196" s="30"/>
      <c r="AD196" s="85"/>
      <c r="AE196" s="85"/>
      <c r="AF196" s="85"/>
      <c r="AH196" s="81"/>
      <c r="AI196" s="30"/>
      <c r="AJ196" s="30"/>
      <c r="AL196" s="30"/>
      <c r="AM196" s="30"/>
      <c r="AN196" s="30"/>
      <c r="AO196" s="30"/>
      <c r="AP196" s="30"/>
      <c r="AQ196" s="30"/>
      <c r="AR196" s="30"/>
      <c r="AS196" s="85"/>
      <c r="AT196" s="85"/>
      <c r="AU196" s="85"/>
      <c r="AW196" s="81"/>
      <c r="AX196" s="30"/>
      <c r="AY196" s="30"/>
      <c r="BA196" s="30"/>
      <c r="BB196" s="30"/>
      <c r="BC196" s="30"/>
      <c r="BD196" s="30"/>
      <c r="BE196" s="30"/>
      <c r="BF196" s="30"/>
      <c r="BG196" s="30"/>
      <c r="BH196" s="85"/>
      <c r="BI196" s="85"/>
      <c r="BJ196" s="85"/>
      <c r="BL196" s="81"/>
      <c r="BM196" s="30"/>
      <c r="BN196" s="30"/>
      <c r="BP196" s="30"/>
      <c r="BQ196" s="30"/>
      <c r="BR196" s="30"/>
      <c r="BS196" s="30"/>
      <c r="BT196" s="30"/>
      <c r="BU196" s="30"/>
      <c r="BV196" s="30"/>
      <c r="BW196" s="85"/>
      <c r="BX196" s="85"/>
      <c r="BY196" s="85"/>
      <c r="CA196" s="81"/>
      <c r="CB196" s="30"/>
      <c r="CC196" s="30"/>
      <c r="CE196" s="30"/>
      <c r="CF196" s="30"/>
      <c r="CG196" s="30"/>
      <c r="CH196" s="30"/>
      <c r="CI196" s="30"/>
      <c r="CJ196" s="30"/>
      <c r="CK196" s="30"/>
      <c r="CL196" s="85"/>
      <c r="CM196" s="85"/>
      <c r="CN196" s="85"/>
      <c r="CP196" s="81"/>
      <c r="CQ196" s="30"/>
      <c r="CR196" s="30"/>
      <c r="CT196" s="30"/>
      <c r="CU196" s="30"/>
      <c r="CV196" s="30"/>
      <c r="CW196" s="30"/>
      <c r="CX196" s="30"/>
      <c r="CY196" s="30"/>
      <c r="CZ196" s="30"/>
      <c r="DA196" s="85"/>
      <c r="DB196" s="85"/>
      <c r="DC196" s="85"/>
      <c r="DE196" s="81"/>
      <c r="DF196" s="30"/>
      <c r="DG196" s="30"/>
      <c r="DI196" s="30"/>
      <c r="DJ196" s="30"/>
      <c r="DK196" s="30"/>
      <c r="DL196" s="30"/>
      <c r="DM196" s="30"/>
      <c r="DN196" s="30"/>
      <c r="DO196" s="30"/>
      <c r="DP196" s="85"/>
      <c r="DQ196" s="85"/>
      <c r="DR196" s="85"/>
      <c r="DT196" s="81"/>
      <c r="DU196" s="30"/>
      <c r="DV196" s="30"/>
      <c r="DX196" s="30"/>
      <c r="DY196" s="30"/>
      <c r="DZ196" s="30"/>
      <c r="EA196" s="30"/>
      <c r="EB196" s="30"/>
      <c r="EC196" s="30"/>
      <c r="ED196" s="30"/>
      <c r="EE196" s="85"/>
      <c r="EF196" s="85"/>
      <c r="EG196" s="85"/>
      <c r="EI196" s="81"/>
      <c r="EJ196" s="30"/>
      <c r="EK196" s="30"/>
      <c r="EM196" s="30"/>
      <c r="EN196" s="30"/>
      <c r="EO196" s="30"/>
      <c r="EP196" s="30"/>
      <c r="EQ196" s="30"/>
      <c r="ER196" s="30"/>
      <c r="ES196" s="30"/>
      <c r="ET196" s="85"/>
      <c r="EU196" s="85"/>
      <c r="EV196" s="85"/>
    </row>
    <row r="197" spans="2:152">
      <c r="B197" s="11">
        <v>0.72</v>
      </c>
      <c r="C197" s="16"/>
      <c r="D197" s="16"/>
      <c r="E197" s="8"/>
      <c r="F197" s="27">
        <f t="shared" si="40"/>
        <v>1.7344304706154077</v>
      </c>
      <c r="G197" s="27">
        <f t="shared" si="41"/>
        <v>-1.0513281258025586</v>
      </c>
      <c r="H197" s="27">
        <f t="shared" si="42"/>
        <v>-1.2086759613424522E-2</v>
      </c>
      <c r="I197" s="27">
        <f t="shared" si="43"/>
        <v>87.981801527257105</v>
      </c>
      <c r="J197" s="27">
        <f t="shared" si="44"/>
        <v>0.40504520962570212</v>
      </c>
      <c r="K197" s="27">
        <f t="shared" si="45"/>
        <v>6.1315039120128487</v>
      </c>
      <c r="L197" s="27">
        <f t="shared" si="46"/>
        <v>8.900236745077251</v>
      </c>
      <c r="M197" s="17">
        <f t="shared" si="47"/>
        <v>0.3775681605214592</v>
      </c>
      <c r="N197" s="17">
        <f t="shared" si="48"/>
        <v>0.3775681605214592</v>
      </c>
      <c r="O197" s="17">
        <f t="shared" si="49"/>
        <v>0.3775681605214592</v>
      </c>
      <c r="P197" s="17">
        <f>IF(ISERROR(O197),0,IF('R-AFC ISOTOPE'!$G$7='R-AFC ISOTOPE_CONTROL'!B197,'R-AFC ISOTOPE_CONTROL'!O197,0))</f>
        <v>0</v>
      </c>
      <c r="S197" s="81"/>
      <c r="T197" s="30"/>
      <c r="U197" s="30"/>
      <c r="W197" s="30"/>
      <c r="X197" s="30"/>
      <c r="Y197" s="30"/>
      <c r="Z197" s="30"/>
      <c r="AA197" s="30"/>
      <c r="AB197" s="30"/>
      <c r="AC197" s="30"/>
      <c r="AD197" s="85"/>
      <c r="AE197" s="85"/>
      <c r="AF197" s="85"/>
      <c r="AH197" s="81"/>
      <c r="AI197" s="30"/>
      <c r="AJ197" s="30"/>
      <c r="AL197" s="30"/>
      <c r="AM197" s="30"/>
      <c r="AN197" s="30"/>
      <c r="AO197" s="30"/>
      <c r="AP197" s="30"/>
      <c r="AQ197" s="30"/>
      <c r="AR197" s="30"/>
      <c r="AS197" s="85"/>
      <c r="AT197" s="85"/>
      <c r="AU197" s="85"/>
      <c r="AW197" s="81"/>
      <c r="AX197" s="30"/>
      <c r="AY197" s="30"/>
      <c r="BA197" s="30"/>
      <c r="BB197" s="30"/>
      <c r="BC197" s="30"/>
      <c r="BD197" s="30"/>
      <c r="BE197" s="30"/>
      <c r="BF197" s="30"/>
      <c r="BG197" s="30"/>
      <c r="BH197" s="85"/>
      <c r="BI197" s="85"/>
      <c r="BJ197" s="85"/>
      <c r="BL197" s="81"/>
      <c r="BM197" s="30"/>
      <c r="BN197" s="30"/>
      <c r="BP197" s="30"/>
      <c r="BQ197" s="30"/>
      <c r="BR197" s="30"/>
      <c r="BS197" s="30"/>
      <c r="BT197" s="30"/>
      <c r="BU197" s="30"/>
      <c r="BV197" s="30"/>
      <c r="BW197" s="85"/>
      <c r="BX197" s="85"/>
      <c r="BY197" s="85"/>
      <c r="CA197" s="81"/>
      <c r="CB197" s="30"/>
      <c r="CC197" s="30"/>
      <c r="CE197" s="30"/>
      <c r="CF197" s="30"/>
      <c r="CG197" s="30"/>
      <c r="CH197" s="30"/>
      <c r="CI197" s="30"/>
      <c r="CJ197" s="30"/>
      <c r="CK197" s="30"/>
      <c r="CL197" s="85"/>
      <c r="CM197" s="85"/>
      <c r="CN197" s="85"/>
      <c r="CP197" s="81"/>
      <c r="CQ197" s="30"/>
      <c r="CR197" s="30"/>
      <c r="CT197" s="30"/>
      <c r="CU197" s="30"/>
      <c r="CV197" s="30"/>
      <c r="CW197" s="30"/>
      <c r="CX197" s="30"/>
      <c r="CY197" s="30"/>
      <c r="CZ197" s="30"/>
      <c r="DA197" s="85"/>
      <c r="DB197" s="85"/>
      <c r="DC197" s="85"/>
      <c r="DE197" s="81"/>
      <c r="DF197" s="30"/>
      <c r="DG197" s="30"/>
      <c r="DI197" s="30"/>
      <c r="DJ197" s="30"/>
      <c r="DK197" s="30"/>
      <c r="DL197" s="30"/>
      <c r="DM197" s="30"/>
      <c r="DN197" s="30"/>
      <c r="DO197" s="30"/>
      <c r="DP197" s="85"/>
      <c r="DQ197" s="85"/>
      <c r="DR197" s="85"/>
      <c r="DT197" s="81"/>
      <c r="DU197" s="30"/>
      <c r="DV197" s="30"/>
      <c r="DX197" s="30"/>
      <c r="DY197" s="30"/>
      <c r="DZ197" s="30"/>
      <c r="EA197" s="30"/>
      <c r="EB197" s="30"/>
      <c r="EC197" s="30"/>
      <c r="ED197" s="30"/>
      <c r="EE197" s="85"/>
      <c r="EF197" s="85"/>
      <c r="EG197" s="85"/>
      <c r="EI197" s="81"/>
      <c r="EJ197" s="30"/>
      <c r="EK197" s="30"/>
      <c r="EM197" s="30"/>
      <c r="EN197" s="30"/>
      <c r="EO197" s="30"/>
      <c r="EP197" s="30"/>
      <c r="EQ197" s="30"/>
      <c r="ER197" s="30"/>
      <c r="ES197" s="30"/>
      <c r="ET197" s="85"/>
      <c r="EU197" s="85"/>
      <c r="EV197" s="85"/>
    </row>
    <row r="198" spans="2:152">
      <c r="B198" s="11">
        <v>0.73</v>
      </c>
      <c r="C198" s="16"/>
      <c r="D198" s="16"/>
      <c r="E198" s="8"/>
      <c r="F198" s="27">
        <f t="shared" si="40"/>
        <v>1.7171547070589044</v>
      </c>
      <c r="G198" s="27">
        <f t="shared" si="41"/>
        <v>-1.0615862081612404</v>
      </c>
      <c r="H198" s="27">
        <f t="shared" si="42"/>
        <v>-1.2254631274722086E-2</v>
      </c>
      <c r="I198" s="27">
        <f t="shared" si="43"/>
        <v>87.627348009319476</v>
      </c>
      <c r="J198" s="27">
        <f t="shared" si="44"/>
        <v>0.41079424365839062</v>
      </c>
      <c r="K198" s="27">
        <f t="shared" si="45"/>
        <v>6.2809479322500437</v>
      </c>
      <c r="L198" s="27">
        <f t="shared" si="46"/>
        <v>9.0682045995961502</v>
      </c>
      <c r="M198" s="17">
        <f t="shared" si="47"/>
        <v>0.37854379809266986</v>
      </c>
      <c r="N198" s="17">
        <f t="shared" si="48"/>
        <v>0.37854379809266986</v>
      </c>
      <c r="O198" s="17">
        <f t="shared" si="49"/>
        <v>0.37854379809266986</v>
      </c>
      <c r="P198" s="17">
        <f>IF(ISERROR(O198),0,IF('R-AFC ISOTOPE'!$G$7='R-AFC ISOTOPE_CONTROL'!B198,'R-AFC ISOTOPE_CONTROL'!O198,0))</f>
        <v>0</v>
      </c>
      <c r="S198" s="81"/>
      <c r="T198" s="30"/>
      <c r="U198" s="30"/>
      <c r="W198" s="30"/>
      <c r="X198" s="30"/>
      <c r="Y198" s="30"/>
      <c r="Z198" s="30"/>
      <c r="AA198" s="30"/>
      <c r="AB198" s="30"/>
      <c r="AC198" s="30"/>
      <c r="AD198" s="85"/>
      <c r="AE198" s="85"/>
      <c r="AF198" s="85"/>
      <c r="AH198" s="81"/>
      <c r="AI198" s="30"/>
      <c r="AJ198" s="30"/>
      <c r="AL198" s="30"/>
      <c r="AM198" s="30"/>
      <c r="AN198" s="30"/>
      <c r="AO198" s="30"/>
      <c r="AP198" s="30"/>
      <c r="AQ198" s="30"/>
      <c r="AR198" s="30"/>
      <c r="AS198" s="85"/>
      <c r="AT198" s="85"/>
      <c r="AU198" s="85"/>
      <c r="AW198" s="81"/>
      <c r="AX198" s="30"/>
      <c r="AY198" s="30"/>
      <c r="BA198" s="30"/>
      <c r="BB198" s="30"/>
      <c r="BC198" s="30"/>
      <c r="BD198" s="30"/>
      <c r="BE198" s="30"/>
      <c r="BF198" s="30"/>
      <c r="BG198" s="30"/>
      <c r="BH198" s="85"/>
      <c r="BI198" s="85"/>
      <c r="BJ198" s="85"/>
      <c r="BL198" s="81"/>
      <c r="BM198" s="30"/>
      <c r="BN198" s="30"/>
      <c r="BP198" s="30"/>
      <c r="BQ198" s="30"/>
      <c r="BR198" s="30"/>
      <c r="BS198" s="30"/>
      <c r="BT198" s="30"/>
      <c r="BU198" s="30"/>
      <c r="BV198" s="30"/>
      <c r="BW198" s="85"/>
      <c r="BX198" s="85"/>
      <c r="BY198" s="85"/>
      <c r="CA198" s="81"/>
      <c r="CB198" s="30"/>
      <c r="CC198" s="30"/>
      <c r="CE198" s="30"/>
      <c r="CF198" s="30"/>
      <c r="CG198" s="30"/>
      <c r="CH198" s="30"/>
      <c r="CI198" s="30"/>
      <c r="CJ198" s="30"/>
      <c r="CK198" s="30"/>
      <c r="CL198" s="85"/>
      <c r="CM198" s="85"/>
      <c r="CN198" s="85"/>
      <c r="CP198" s="81"/>
      <c r="CQ198" s="30"/>
      <c r="CR198" s="30"/>
      <c r="CT198" s="30"/>
      <c r="CU198" s="30"/>
      <c r="CV198" s="30"/>
      <c r="CW198" s="30"/>
      <c r="CX198" s="30"/>
      <c r="CY198" s="30"/>
      <c r="CZ198" s="30"/>
      <c r="DA198" s="85"/>
      <c r="DB198" s="85"/>
      <c r="DC198" s="85"/>
      <c r="DE198" s="81"/>
      <c r="DF198" s="30"/>
      <c r="DG198" s="30"/>
      <c r="DI198" s="30"/>
      <c r="DJ198" s="30"/>
      <c r="DK198" s="30"/>
      <c r="DL198" s="30"/>
      <c r="DM198" s="30"/>
      <c r="DN198" s="30"/>
      <c r="DO198" s="30"/>
      <c r="DP198" s="85"/>
      <c r="DQ198" s="85"/>
      <c r="DR198" s="85"/>
      <c r="DT198" s="81"/>
      <c r="DU198" s="30"/>
      <c r="DV198" s="30"/>
      <c r="DX198" s="30"/>
      <c r="DY198" s="30"/>
      <c r="DZ198" s="30"/>
      <c r="EA198" s="30"/>
      <c r="EB198" s="30"/>
      <c r="EC198" s="30"/>
      <c r="ED198" s="30"/>
      <c r="EE198" s="85"/>
      <c r="EF198" s="85"/>
      <c r="EG198" s="85"/>
      <c r="EI198" s="81"/>
      <c r="EJ198" s="30"/>
      <c r="EK198" s="30"/>
      <c r="EM198" s="30"/>
      <c r="EN198" s="30"/>
      <c r="EO198" s="30"/>
      <c r="EP198" s="30"/>
      <c r="EQ198" s="30"/>
      <c r="ER198" s="30"/>
      <c r="ES198" s="30"/>
      <c r="ET198" s="85"/>
      <c r="EU198" s="85"/>
      <c r="EV198" s="85"/>
    </row>
    <row r="199" spans="2:152">
      <c r="B199" s="11">
        <v>0.74</v>
      </c>
      <c r="C199" s="16"/>
      <c r="D199" s="16"/>
      <c r="E199" s="8"/>
      <c r="F199" s="27">
        <f t="shared" si="40"/>
        <v>1.7006730090372946</v>
      </c>
      <c r="G199" s="27">
        <f t="shared" si="41"/>
        <v>-1.0718442905199219</v>
      </c>
      <c r="H199" s="27">
        <f t="shared" si="42"/>
        <v>-1.2422502936019647E-2</v>
      </c>
      <c r="I199" s="27">
        <f t="shared" si="43"/>
        <v>87.282474316190957</v>
      </c>
      <c r="J199" s="27">
        <f t="shared" si="44"/>
        <v>0.4164332354673872</v>
      </c>
      <c r="K199" s="27">
        <f t="shared" si="45"/>
        <v>6.4308226236786528</v>
      </c>
      <c r="L199" s="27">
        <f t="shared" si="46"/>
        <v>9.2360534529593892</v>
      </c>
      <c r="M199" s="17">
        <f t="shared" si="47"/>
        <v>0.37948807334701373</v>
      </c>
      <c r="N199" s="17">
        <f t="shared" si="48"/>
        <v>0.37948807334701373</v>
      </c>
      <c r="O199" s="17">
        <f t="shared" si="49"/>
        <v>0.37948807334701373</v>
      </c>
      <c r="P199" s="17">
        <f>IF(ISERROR(O199),0,IF('R-AFC ISOTOPE'!$G$7='R-AFC ISOTOPE_CONTROL'!B199,'R-AFC ISOTOPE_CONTROL'!O199,0))</f>
        <v>0</v>
      </c>
      <c r="S199" s="81"/>
      <c r="T199" s="30"/>
      <c r="U199" s="30"/>
      <c r="W199" s="30"/>
      <c r="X199" s="30"/>
      <c r="Y199" s="30"/>
      <c r="Z199" s="30"/>
      <c r="AA199" s="30"/>
      <c r="AB199" s="30"/>
      <c r="AC199" s="30"/>
      <c r="AD199" s="85"/>
      <c r="AE199" s="85"/>
      <c r="AF199" s="85"/>
      <c r="AH199" s="81"/>
      <c r="AI199" s="30"/>
      <c r="AJ199" s="30"/>
      <c r="AL199" s="30"/>
      <c r="AM199" s="30"/>
      <c r="AN199" s="30"/>
      <c r="AO199" s="30"/>
      <c r="AP199" s="30"/>
      <c r="AQ199" s="30"/>
      <c r="AR199" s="30"/>
      <c r="AS199" s="85"/>
      <c r="AT199" s="85"/>
      <c r="AU199" s="85"/>
      <c r="AW199" s="81"/>
      <c r="AX199" s="30"/>
      <c r="AY199" s="30"/>
      <c r="BA199" s="30"/>
      <c r="BB199" s="30"/>
      <c r="BC199" s="30"/>
      <c r="BD199" s="30"/>
      <c r="BE199" s="30"/>
      <c r="BF199" s="30"/>
      <c r="BG199" s="30"/>
      <c r="BH199" s="85"/>
      <c r="BI199" s="85"/>
      <c r="BJ199" s="85"/>
      <c r="BL199" s="81"/>
      <c r="BM199" s="30"/>
      <c r="BN199" s="30"/>
      <c r="BP199" s="30"/>
      <c r="BQ199" s="30"/>
      <c r="BR199" s="30"/>
      <c r="BS199" s="30"/>
      <c r="BT199" s="30"/>
      <c r="BU199" s="30"/>
      <c r="BV199" s="30"/>
      <c r="BW199" s="85"/>
      <c r="BX199" s="85"/>
      <c r="BY199" s="85"/>
      <c r="CA199" s="81"/>
      <c r="CB199" s="30"/>
      <c r="CC199" s="30"/>
      <c r="CE199" s="30"/>
      <c r="CF199" s="30"/>
      <c r="CG199" s="30"/>
      <c r="CH199" s="30"/>
      <c r="CI199" s="30"/>
      <c r="CJ199" s="30"/>
      <c r="CK199" s="30"/>
      <c r="CL199" s="85"/>
      <c r="CM199" s="85"/>
      <c r="CN199" s="85"/>
      <c r="CP199" s="81"/>
      <c r="CQ199" s="30"/>
      <c r="CR199" s="30"/>
      <c r="CT199" s="30"/>
      <c r="CU199" s="30"/>
      <c r="CV199" s="30"/>
      <c r="CW199" s="30"/>
      <c r="CX199" s="30"/>
      <c r="CY199" s="30"/>
      <c r="CZ199" s="30"/>
      <c r="DA199" s="85"/>
      <c r="DB199" s="85"/>
      <c r="DC199" s="85"/>
      <c r="DE199" s="81"/>
      <c r="DF199" s="30"/>
      <c r="DG199" s="30"/>
      <c r="DI199" s="30"/>
      <c r="DJ199" s="30"/>
      <c r="DK199" s="30"/>
      <c r="DL199" s="30"/>
      <c r="DM199" s="30"/>
      <c r="DN199" s="30"/>
      <c r="DO199" s="30"/>
      <c r="DP199" s="85"/>
      <c r="DQ199" s="85"/>
      <c r="DR199" s="85"/>
      <c r="DT199" s="81"/>
      <c r="DU199" s="30"/>
      <c r="DV199" s="30"/>
      <c r="DX199" s="30"/>
      <c r="DY199" s="30"/>
      <c r="DZ199" s="30"/>
      <c r="EA199" s="30"/>
      <c r="EB199" s="30"/>
      <c r="EC199" s="30"/>
      <c r="ED199" s="30"/>
      <c r="EE199" s="85"/>
      <c r="EF199" s="85"/>
      <c r="EG199" s="85"/>
      <c r="EI199" s="81"/>
      <c r="EJ199" s="30"/>
      <c r="EK199" s="30"/>
      <c r="EM199" s="30"/>
      <c r="EN199" s="30"/>
      <c r="EO199" s="30"/>
      <c r="EP199" s="30"/>
      <c r="EQ199" s="30"/>
      <c r="ER199" s="30"/>
      <c r="ES199" s="30"/>
      <c r="ET199" s="85"/>
      <c r="EU199" s="85"/>
      <c r="EV199" s="85"/>
    </row>
    <row r="200" spans="2:152">
      <c r="B200" s="11">
        <v>0.75</v>
      </c>
      <c r="C200" s="16"/>
      <c r="D200" s="16"/>
      <c r="E200" s="8"/>
      <c r="F200" s="27">
        <f t="shared" si="40"/>
        <v>1.6849318586978728</v>
      </c>
      <c r="G200" s="27">
        <f t="shared" si="41"/>
        <v>-1.0821023728786037</v>
      </c>
      <c r="H200" s="27">
        <f t="shared" si="42"/>
        <v>-1.2590374597317211E-2</v>
      </c>
      <c r="I200" s="27">
        <f t="shared" si="43"/>
        <v>86.946797254879201</v>
      </c>
      <c r="J200" s="27">
        <f t="shared" si="44"/>
        <v>0.42196531457783243</v>
      </c>
      <c r="K200" s="27">
        <f t="shared" si="45"/>
        <v>6.5810887985496116</v>
      </c>
      <c r="L200" s="27">
        <f t="shared" si="46"/>
        <v>9.4037543228980738</v>
      </c>
      <c r="M200" s="17">
        <f t="shared" si="47"/>
        <v>0.38040231836209615</v>
      </c>
      <c r="N200" s="17">
        <f t="shared" si="48"/>
        <v>0.38040231836209615</v>
      </c>
      <c r="O200" s="17">
        <f t="shared" si="49"/>
        <v>0.38040231836209615</v>
      </c>
      <c r="P200" s="17">
        <f>IF(ISERROR(O200),0,IF('R-AFC ISOTOPE'!$G$7='R-AFC ISOTOPE_CONTROL'!B200,'R-AFC ISOTOPE_CONTROL'!O200,0))</f>
        <v>0</v>
      </c>
      <c r="S200" s="81"/>
      <c r="T200" s="30"/>
      <c r="U200" s="30"/>
      <c r="W200" s="30"/>
      <c r="X200" s="30"/>
      <c r="Y200" s="30"/>
      <c r="Z200" s="30"/>
      <c r="AA200" s="30"/>
      <c r="AB200" s="30"/>
      <c r="AC200" s="30"/>
      <c r="AD200" s="85"/>
      <c r="AE200" s="85"/>
      <c r="AF200" s="85"/>
      <c r="AH200" s="81"/>
      <c r="AI200" s="30"/>
      <c r="AJ200" s="30"/>
      <c r="AL200" s="30"/>
      <c r="AM200" s="30"/>
      <c r="AN200" s="30"/>
      <c r="AO200" s="30"/>
      <c r="AP200" s="30"/>
      <c r="AQ200" s="30"/>
      <c r="AR200" s="30"/>
      <c r="AS200" s="85"/>
      <c r="AT200" s="85"/>
      <c r="AU200" s="85"/>
      <c r="AW200" s="81"/>
      <c r="AX200" s="30"/>
      <c r="AY200" s="30"/>
      <c r="BA200" s="30"/>
      <c r="BB200" s="30"/>
      <c r="BC200" s="30"/>
      <c r="BD200" s="30"/>
      <c r="BE200" s="30"/>
      <c r="BF200" s="30"/>
      <c r="BG200" s="30"/>
      <c r="BH200" s="85"/>
      <c r="BI200" s="85"/>
      <c r="BJ200" s="85"/>
      <c r="BL200" s="81"/>
      <c r="BM200" s="30"/>
      <c r="BN200" s="30"/>
      <c r="BP200" s="30"/>
      <c r="BQ200" s="30"/>
      <c r="BR200" s="30"/>
      <c r="BS200" s="30"/>
      <c r="BT200" s="30"/>
      <c r="BU200" s="30"/>
      <c r="BV200" s="30"/>
      <c r="BW200" s="85"/>
      <c r="BX200" s="85"/>
      <c r="BY200" s="85"/>
      <c r="CA200" s="81"/>
      <c r="CB200" s="30"/>
      <c r="CC200" s="30"/>
      <c r="CE200" s="30"/>
      <c r="CF200" s="30"/>
      <c r="CG200" s="30"/>
      <c r="CH200" s="30"/>
      <c r="CI200" s="30"/>
      <c r="CJ200" s="30"/>
      <c r="CK200" s="30"/>
      <c r="CL200" s="85"/>
      <c r="CM200" s="85"/>
      <c r="CN200" s="85"/>
      <c r="CP200" s="81"/>
      <c r="CQ200" s="30"/>
      <c r="CR200" s="30"/>
      <c r="CT200" s="30"/>
      <c r="CU200" s="30"/>
      <c r="CV200" s="30"/>
      <c r="CW200" s="30"/>
      <c r="CX200" s="30"/>
      <c r="CY200" s="30"/>
      <c r="CZ200" s="30"/>
      <c r="DA200" s="85"/>
      <c r="DB200" s="85"/>
      <c r="DC200" s="85"/>
      <c r="DE200" s="81"/>
      <c r="DF200" s="30"/>
      <c r="DG200" s="30"/>
      <c r="DI200" s="30"/>
      <c r="DJ200" s="30"/>
      <c r="DK200" s="30"/>
      <c r="DL200" s="30"/>
      <c r="DM200" s="30"/>
      <c r="DN200" s="30"/>
      <c r="DO200" s="30"/>
      <c r="DP200" s="85"/>
      <c r="DQ200" s="85"/>
      <c r="DR200" s="85"/>
      <c r="DT200" s="81"/>
      <c r="DU200" s="30"/>
      <c r="DV200" s="30"/>
      <c r="DX200" s="30"/>
      <c r="DY200" s="30"/>
      <c r="DZ200" s="30"/>
      <c r="EA200" s="30"/>
      <c r="EB200" s="30"/>
      <c r="EC200" s="30"/>
      <c r="ED200" s="30"/>
      <c r="EE200" s="85"/>
      <c r="EF200" s="85"/>
      <c r="EG200" s="85"/>
      <c r="EI200" s="81"/>
      <c r="EJ200" s="30"/>
      <c r="EK200" s="30"/>
      <c r="EM200" s="30"/>
      <c r="EN200" s="30"/>
      <c r="EO200" s="30"/>
      <c r="EP200" s="30"/>
      <c r="EQ200" s="30"/>
      <c r="ER200" s="30"/>
      <c r="ES200" s="30"/>
      <c r="ET200" s="85"/>
      <c r="EU200" s="85"/>
      <c r="EV200" s="85"/>
    </row>
    <row r="201" spans="2:152">
      <c r="B201" s="11">
        <v>0.76</v>
      </c>
      <c r="C201" s="16"/>
      <c r="D201" s="16"/>
      <c r="E201" s="8"/>
      <c r="F201" s="27">
        <f t="shared" si="40"/>
        <v>1.6698824417943836</v>
      </c>
      <c r="G201" s="27">
        <f t="shared" si="41"/>
        <v>-1.0923604552372854</v>
      </c>
      <c r="H201" s="27">
        <f t="shared" si="42"/>
        <v>-1.2758246258614775E-2</v>
      </c>
      <c r="I201" s="27">
        <f t="shared" si="43"/>
        <v>86.619953800444065</v>
      </c>
      <c r="J201" s="27">
        <f t="shared" si="44"/>
        <v>0.42739349296053231</v>
      </c>
      <c r="K201" s="27">
        <f t="shared" si="45"/>
        <v>6.7317085163369788</v>
      </c>
      <c r="L201" s="27">
        <f t="shared" si="46"/>
        <v>9.5712794129144569</v>
      </c>
      <c r="M201" s="17">
        <f t="shared" si="47"/>
        <v>0.38128779756173808</v>
      </c>
      <c r="N201" s="17">
        <f t="shared" si="48"/>
        <v>0.38128779756173808</v>
      </c>
      <c r="O201" s="17">
        <f t="shared" si="49"/>
        <v>0.38128779756173808</v>
      </c>
      <c r="P201" s="17">
        <f>IF(ISERROR(O201),0,IF('R-AFC ISOTOPE'!$G$7='R-AFC ISOTOPE_CONTROL'!B201,'R-AFC ISOTOPE_CONTROL'!O201,0))</f>
        <v>0</v>
      </c>
      <c r="S201" s="81"/>
      <c r="T201" s="30"/>
      <c r="U201" s="30"/>
      <c r="W201" s="30"/>
      <c r="X201" s="30"/>
      <c r="Y201" s="30"/>
      <c r="Z201" s="30"/>
      <c r="AA201" s="30"/>
      <c r="AB201" s="30"/>
      <c r="AC201" s="30"/>
      <c r="AD201" s="85"/>
      <c r="AE201" s="85"/>
      <c r="AF201" s="85"/>
      <c r="AH201" s="81"/>
      <c r="AI201" s="30"/>
      <c r="AJ201" s="30"/>
      <c r="AL201" s="30"/>
      <c r="AM201" s="30"/>
      <c r="AN201" s="30"/>
      <c r="AO201" s="30"/>
      <c r="AP201" s="30"/>
      <c r="AQ201" s="30"/>
      <c r="AR201" s="30"/>
      <c r="AS201" s="85"/>
      <c r="AT201" s="85"/>
      <c r="AU201" s="85"/>
      <c r="AW201" s="81"/>
      <c r="AX201" s="30"/>
      <c r="AY201" s="30"/>
      <c r="BA201" s="30"/>
      <c r="BB201" s="30"/>
      <c r="BC201" s="30"/>
      <c r="BD201" s="30"/>
      <c r="BE201" s="30"/>
      <c r="BF201" s="30"/>
      <c r="BG201" s="30"/>
      <c r="BH201" s="85"/>
      <c r="BI201" s="85"/>
      <c r="BJ201" s="85"/>
      <c r="BL201" s="81"/>
      <c r="BM201" s="30"/>
      <c r="BN201" s="30"/>
      <c r="BP201" s="30"/>
      <c r="BQ201" s="30"/>
      <c r="BR201" s="30"/>
      <c r="BS201" s="30"/>
      <c r="BT201" s="30"/>
      <c r="BU201" s="30"/>
      <c r="BV201" s="30"/>
      <c r="BW201" s="85"/>
      <c r="BX201" s="85"/>
      <c r="BY201" s="85"/>
      <c r="CA201" s="81"/>
      <c r="CB201" s="30"/>
      <c r="CC201" s="30"/>
      <c r="CE201" s="30"/>
      <c r="CF201" s="30"/>
      <c r="CG201" s="30"/>
      <c r="CH201" s="30"/>
      <c r="CI201" s="30"/>
      <c r="CJ201" s="30"/>
      <c r="CK201" s="30"/>
      <c r="CL201" s="85"/>
      <c r="CM201" s="85"/>
      <c r="CN201" s="85"/>
      <c r="CP201" s="81"/>
      <c r="CQ201" s="30"/>
      <c r="CR201" s="30"/>
      <c r="CT201" s="30"/>
      <c r="CU201" s="30"/>
      <c r="CV201" s="30"/>
      <c r="CW201" s="30"/>
      <c r="CX201" s="30"/>
      <c r="CY201" s="30"/>
      <c r="CZ201" s="30"/>
      <c r="DA201" s="85"/>
      <c r="DB201" s="85"/>
      <c r="DC201" s="85"/>
      <c r="DE201" s="81"/>
      <c r="DF201" s="30"/>
      <c r="DG201" s="30"/>
      <c r="DI201" s="30"/>
      <c r="DJ201" s="30"/>
      <c r="DK201" s="30"/>
      <c r="DL201" s="30"/>
      <c r="DM201" s="30"/>
      <c r="DN201" s="30"/>
      <c r="DO201" s="30"/>
      <c r="DP201" s="85"/>
      <c r="DQ201" s="85"/>
      <c r="DR201" s="85"/>
      <c r="DT201" s="81"/>
      <c r="DU201" s="30"/>
      <c r="DV201" s="30"/>
      <c r="DX201" s="30"/>
      <c r="DY201" s="30"/>
      <c r="DZ201" s="30"/>
      <c r="EA201" s="30"/>
      <c r="EB201" s="30"/>
      <c r="EC201" s="30"/>
      <c r="ED201" s="30"/>
      <c r="EE201" s="85"/>
      <c r="EF201" s="85"/>
      <c r="EG201" s="85"/>
      <c r="EI201" s="81"/>
      <c r="EJ201" s="30"/>
      <c r="EK201" s="30"/>
      <c r="EM201" s="30"/>
      <c r="EN201" s="30"/>
      <c r="EO201" s="30"/>
      <c r="EP201" s="30"/>
      <c r="EQ201" s="30"/>
      <c r="ER201" s="30"/>
      <c r="ES201" s="30"/>
      <c r="ET201" s="85"/>
      <c r="EU201" s="85"/>
      <c r="EV201" s="85"/>
    </row>
    <row r="202" spans="2:152">
      <c r="B202" s="11">
        <v>0.77</v>
      </c>
      <c r="C202" s="16"/>
      <c r="D202" s="16"/>
      <c r="E202" s="8"/>
      <c r="F202" s="27">
        <f t="shared" si="40"/>
        <v>1.6554801420553944</v>
      </c>
      <c r="G202" s="27">
        <f t="shared" si="41"/>
        <v>-1.102618537595967</v>
      </c>
      <c r="H202" s="27">
        <f t="shared" si="42"/>
        <v>-1.2926117919912336E-2</v>
      </c>
      <c r="I202" s="27">
        <f t="shared" si="43"/>
        <v>86.301599786383875</v>
      </c>
      <c r="J202" s="27">
        <f t="shared" si="44"/>
        <v>0.43272067050022306</v>
      </c>
      <c r="K202" s="27">
        <f t="shared" si="45"/>
        <v>6.8826450578701763</v>
      </c>
      <c r="L202" s="27">
        <f t="shared" si="46"/>
        <v>9.7386020760643834</v>
      </c>
      <c r="M202" s="17">
        <f t="shared" si="47"/>
        <v>0.38214571157395516</v>
      </c>
      <c r="N202" s="17">
        <f t="shared" si="48"/>
        <v>0.38214571157395516</v>
      </c>
      <c r="O202" s="17">
        <f t="shared" si="49"/>
        <v>0.38214571157395516</v>
      </c>
      <c r="P202" s="17">
        <f>IF(ISERROR(O202),0,IF('R-AFC ISOTOPE'!$G$7='R-AFC ISOTOPE_CONTROL'!B202,'R-AFC ISOTOPE_CONTROL'!O202,0))</f>
        <v>0</v>
      </c>
      <c r="S202" s="81"/>
      <c r="T202" s="30"/>
      <c r="U202" s="30"/>
      <c r="W202" s="30"/>
      <c r="X202" s="30"/>
      <c r="Y202" s="30"/>
      <c r="Z202" s="30"/>
      <c r="AA202" s="30"/>
      <c r="AB202" s="30"/>
      <c r="AC202" s="30"/>
      <c r="AD202" s="85"/>
      <c r="AE202" s="85"/>
      <c r="AF202" s="85"/>
      <c r="AH202" s="81"/>
      <c r="AI202" s="30"/>
      <c r="AJ202" s="30"/>
      <c r="AL202" s="30"/>
      <c r="AM202" s="30"/>
      <c r="AN202" s="30"/>
      <c r="AO202" s="30"/>
      <c r="AP202" s="30"/>
      <c r="AQ202" s="30"/>
      <c r="AR202" s="30"/>
      <c r="AS202" s="85"/>
      <c r="AT202" s="85"/>
      <c r="AU202" s="85"/>
      <c r="AW202" s="81"/>
      <c r="AX202" s="30"/>
      <c r="AY202" s="30"/>
      <c r="BA202" s="30"/>
      <c r="BB202" s="30"/>
      <c r="BC202" s="30"/>
      <c r="BD202" s="30"/>
      <c r="BE202" s="30"/>
      <c r="BF202" s="30"/>
      <c r="BG202" s="30"/>
      <c r="BH202" s="85"/>
      <c r="BI202" s="85"/>
      <c r="BJ202" s="85"/>
      <c r="BL202" s="81"/>
      <c r="BM202" s="30"/>
      <c r="BN202" s="30"/>
      <c r="BP202" s="30"/>
      <c r="BQ202" s="30"/>
      <c r="BR202" s="30"/>
      <c r="BS202" s="30"/>
      <c r="BT202" s="30"/>
      <c r="BU202" s="30"/>
      <c r="BV202" s="30"/>
      <c r="BW202" s="85"/>
      <c r="BX202" s="85"/>
      <c r="BY202" s="85"/>
      <c r="CA202" s="81"/>
      <c r="CB202" s="30"/>
      <c r="CC202" s="30"/>
      <c r="CE202" s="30"/>
      <c r="CF202" s="30"/>
      <c r="CG202" s="30"/>
      <c r="CH202" s="30"/>
      <c r="CI202" s="30"/>
      <c r="CJ202" s="30"/>
      <c r="CK202" s="30"/>
      <c r="CL202" s="85"/>
      <c r="CM202" s="85"/>
      <c r="CN202" s="85"/>
      <c r="CP202" s="81"/>
      <c r="CQ202" s="30"/>
      <c r="CR202" s="30"/>
      <c r="CT202" s="30"/>
      <c r="CU202" s="30"/>
      <c r="CV202" s="30"/>
      <c r="CW202" s="30"/>
      <c r="CX202" s="30"/>
      <c r="CY202" s="30"/>
      <c r="CZ202" s="30"/>
      <c r="DA202" s="85"/>
      <c r="DB202" s="85"/>
      <c r="DC202" s="85"/>
      <c r="DE202" s="81"/>
      <c r="DF202" s="30"/>
      <c r="DG202" s="30"/>
      <c r="DI202" s="30"/>
      <c r="DJ202" s="30"/>
      <c r="DK202" s="30"/>
      <c r="DL202" s="30"/>
      <c r="DM202" s="30"/>
      <c r="DN202" s="30"/>
      <c r="DO202" s="30"/>
      <c r="DP202" s="85"/>
      <c r="DQ202" s="85"/>
      <c r="DR202" s="85"/>
      <c r="DT202" s="81"/>
      <c r="DU202" s="30"/>
      <c r="DV202" s="30"/>
      <c r="DX202" s="30"/>
      <c r="DY202" s="30"/>
      <c r="DZ202" s="30"/>
      <c r="EA202" s="30"/>
      <c r="EB202" s="30"/>
      <c r="EC202" s="30"/>
      <c r="ED202" s="30"/>
      <c r="EE202" s="85"/>
      <c r="EF202" s="85"/>
      <c r="EG202" s="85"/>
      <c r="EI202" s="81"/>
      <c r="EJ202" s="30"/>
      <c r="EK202" s="30"/>
      <c r="EM202" s="30"/>
      <c r="EN202" s="30"/>
      <c r="EO202" s="30"/>
      <c r="EP202" s="30"/>
      <c r="EQ202" s="30"/>
      <c r="ER202" s="30"/>
      <c r="ES202" s="30"/>
      <c r="ET202" s="85"/>
      <c r="EU202" s="85"/>
      <c r="EV202" s="85"/>
    </row>
    <row r="203" spans="2:152">
      <c r="B203" s="11">
        <v>0.78</v>
      </c>
      <c r="C203" s="16"/>
      <c r="D203" s="16"/>
      <c r="E203" s="8"/>
      <c r="F203" s="27">
        <f t="shared" si="40"/>
        <v>1.6416840994055426</v>
      </c>
      <c r="G203" s="27">
        <f t="shared" si="41"/>
        <v>-1.1128766199546487</v>
      </c>
      <c r="H203" s="27">
        <f t="shared" si="42"/>
        <v>-1.30939895812099E-2</v>
      </c>
      <c r="I203" s="27">
        <f t="shared" si="43"/>
        <v>85.991408695761123</v>
      </c>
      <c r="J203" s="27">
        <f t="shared" si="44"/>
        <v>0.43794964016140936</v>
      </c>
      <c r="K203" s="27">
        <f t="shared" si="45"/>
        <v>7.0338628990361727</v>
      </c>
      <c r="L203" s="27">
        <f t="shared" si="46"/>
        <v>9.9056967793407154</v>
      </c>
      <c r="M203" s="17">
        <f t="shared" si="47"/>
        <v>0.38297720085535836</v>
      </c>
      <c r="N203" s="17">
        <f t="shared" si="48"/>
        <v>0.38297720085535836</v>
      </c>
      <c r="O203" s="17">
        <f t="shared" si="49"/>
        <v>0.38297720085535836</v>
      </c>
      <c r="P203" s="17">
        <f>IF(ISERROR(O203),0,IF('R-AFC ISOTOPE'!$G$7='R-AFC ISOTOPE_CONTROL'!B203,'R-AFC ISOTOPE_CONTROL'!O203,0))</f>
        <v>0</v>
      </c>
      <c r="S203" s="81"/>
      <c r="T203" s="30"/>
      <c r="U203" s="30"/>
      <c r="W203" s="30"/>
      <c r="X203" s="30"/>
      <c r="Y203" s="30"/>
      <c r="Z203" s="30"/>
      <c r="AA203" s="30"/>
      <c r="AB203" s="30"/>
      <c r="AC203" s="30"/>
      <c r="AD203" s="85"/>
      <c r="AE203" s="85"/>
      <c r="AF203" s="85"/>
      <c r="AH203" s="81"/>
      <c r="AI203" s="30"/>
      <c r="AJ203" s="30"/>
      <c r="AL203" s="30"/>
      <c r="AM203" s="30"/>
      <c r="AN203" s="30"/>
      <c r="AO203" s="30"/>
      <c r="AP203" s="30"/>
      <c r="AQ203" s="30"/>
      <c r="AR203" s="30"/>
      <c r="AS203" s="85"/>
      <c r="AT203" s="85"/>
      <c r="AU203" s="85"/>
      <c r="AW203" s="81"/>
      <c r="AX203" s="30"/>
      <c r="AY203" s="30"/>
      <c r="BA203" s="30"/>
      <c r="BB203" s="30"/>
      <c r="BC203" s="30"/>
      <c r="BD203" s="30"/>
      <c r="BE203" s="30"/>
      <c r="BF203" s="30"/>
      <c r="BG203" s="30"/>
      <c r="BH203" s="85"/>
      <c r="BI203" s="85"/>
      <c r="BJ203" s="85"/>
      <c r="BL203" s="81"/>
      <c r="BM203" s="30"/>
      <c r="BN203" s="30"/>
      <c r="BP203" s="30"/>
      <c r="BQ203" s="30"/>
      <c r="BR203" s="30"/>
      <c r="BS203" s="30"/>
      <c r="BT203" s="30"/>
      <c r="BU203" s="30"/>
      <c r="BV203" s="30"/>
      <c r="BW203" s="85"/>
      <c r="BX203" s="85"/>
      <c r="BY203" s="85"/>
      <c r="CA203" s="81"/>
      <c r="CB203" s="30"/>
      <c r="CC203" s="30"/>
      <c r="CE203" s="30"/>
      <c r="CF203" s="30"/>
      <c r="CG203" s="30"/>
      <c r="CH203" s="30"/>
      <c r="CI203" s="30"/>
      <c r="CJ203" s="30"/>
      <c r="CK203" s="30"/>
      <c r="CL203" s="85"/>
      <c r="CM203" s="85"/>
      <c r="CN203" s="85"/>
      <c r="CP203" s="81"/>
      <c r="CQ203" s="30"/>
      <c r="CR203" s="30"/>
      <c r="CT203" s="30"/>
      <c r="CU203" s="30"/>
      <c r="CV203" s="30"/>
      <c r="CW203" s="30"/>
      <c r="CX203" s="30"/>
      <c r="CY203" s="30"/>
      <c r="CZ203" s="30"/>
      <c r="DA203" s="85"/>
      <c r="DB203" s="85"/>
      <c r="DC203" s="85"/>
      <c r="DE203" s="81"/>
      <c r="DF203" s="30"/>
      <c r="DG203" s="30"/>
      <c r="DI203" s="30"/>
      <c r="DJ203" s="30"/>
      <c r="DK203" s="30"/>
      <c r="DL203" s="30"/>
      <c r="DM203" s="30"/>
      <c r="DN203" s="30"/>
      <c r="DO203" s="30"/>
      <c r="DP203" s="85"/>
      <c r="DQ203" s="85"/>
      <c r="DR203" s="85"/>
      <c r="DT203" s="81"/>
      <c r="DU203" s="30"/>
      <c r="DV203" s="30"/>
      <c r="DX203" s="30"/>
      <c r="DY203" s="30"/>
      <c r="DZ203" s="30"/>
      <c r="EA203" s="30"/>
      <c r="EB203" s="30"/>
      <c r="EC203" s="30"/>
      <c r="ED203" s="30"/>
      <c r="EE203" s="85"/>
      <c r="EF203" s="85"/>
      <c r="EG203" s="85"/>
      <c r="EI203" s="81"/>
      <c r="EJ203" s="30"/>
      <c r="EK203" s="30"/>
      <c r="EM203" s="30"/>
      <c r="EN203" s="30"/>
      <c r="EO203" s="30"/>
      <c r="EP203" s="30"/>
      <c r="EQ203" s="30"/>
      <c r="ER203" s="30"/>
      <c r="ES203" s="30"/>
      <c r="ET203" s="85"/>
      <c r="EU203" s="85"/>
      <c r="EV203" s="85"/>
    </row>
    <row r="204" spans="2:152">
      <c r="B204" s="11">
        <v>0.79</v>
      </c>
      <c r="C204" s="16"/>
      <c r="D204" s="16"/>
      <c r="E204" s="8"/>
      <c r="F204" s="27">
        <f t="shared" si="40"/>
        <v>1.6284568228261</v>
      </c>
      <c r="G204" s="27">
        <f t="shared" si="41"/>
        <v>-1.1231347023133302</v>
      </c>
      <c r="H204" s="27">
        <f t="shared" si="42"/>
        <v>-1.3261861242507464E-2</v>
      </c>
      <c r="I204" s="27">
        <f t="shared" si="43"/>
        <v>85.689070544141472</v>
      </c>
      <c r="J204" s="27">
        <f t="shared" si="44"/>
        <v>0.44308309287111158</v>
      </c>
      <c r="K204" s="27">
        <f t="shared" si="45"/>
        <v>7.185327684168203</v>
      </c>
      <c r="L204" s="27">
        <f t="shared" si="46"/>
        <v>10.072539068698871</v>
      </c>
      <c r="M204" s="17">
        <f t="shared" si="47"/>
        <v>0.38378334909588752</v>
      </c>
      <c r="N204" s="17">
        <f t="shared" si="48"/>
        <v>0.38378334909588752</v>
      </c>
      <c r="O204" s="17">
        <f t="shared" si="49"/>
        <v>0.38378334909588752</v>
      </c>
      <c r="P204" s="17">
        <f>IF(ISERROR(O204),0,IF('R-AFC ISOTOPE'!$G$7='R-AFC ISOTOPE_CONTROL'!B204,'R-AFC ISOTOPE_CONTROL'!O204,0))</f>
        <v>0</v>
      </c>
      <c r="S204" s="81"/>
      <c r="T204" s="30"/>
      <c r="U204" s="30"/>
      <c r="W204" s="30"/>
      <c r="X204" s="30"/>
      <c r="Y204" s="30"/>
      <c r="Z204" s="30"/>
      <c r="AA204" s="30"/>
      <c r="AB204" s="30"/>
      <c r="AC204" s="30"/>
      <c r="AD204" s="85"/>
      <c r="AE204" s="85"/>
      <c r="AF204" s="85"/>
      <c r="AH204" s="81"/>
      <c r="AI204" s="30"/>
      <c r="AJ204" s="30"/>
      <c r="AL204" s="30"/>
      <c r="AM204" s="30"/>
      <c r="AN204" s="30"/>
      <c r="AO204" s="30"/>
      <c r="AP204" s="30"/>
      <c r="AQ204" s="30"/>
      <c r="AR204" s="30"/>
      <c r="AS204" s="85"/>
      <c r="AT204" s="85"/>
      <c r="AU204" s="85"/>
      <c r="AW204" s="81"/>
      <c r="AX204" s="30"/>
      <c r="AY204" s="30"/>
      <c r="BA204" s="30"/>
      <c r="BB204" s="30"/>
      <c r="BC204" s="30"/>
      <c r="BD204" s="30"/>
      <c r="BE204" s="30"/>
      <c r="BF204" s="30"/>
      <c r="BG204" s="30"/>
      <c r="BH204" s="85"/>
      <c r="BI204" s="85"/>
      <c r="BJ204" s="85"/>
      <c r="BL204" s="81"/>
      <c r="BM204" s="30"/>
      <c r="BN204" s="30"/>
      <c r="BP204" s="30"/>
      <c r="BQ204" s="30"/>
      <c r="BR204" s="30"/>
      <c r="BS204" s="30"/>
      <c r="BT204" s="30"/>
      <c r="BU204" s="30"/>
      <c r="BV204" s="30"/>
      <c r="BW204" s="85"/>
      <c r="BX204" s="85"/>
      <c r="BY204" s="85"/>
      <c r="CA204" s="81"/>
      <c r="CB204" s="30"/>
      <c r="CC204" s="30"/>
      <c r="CE204" s="30"/>
      <c r="CF204" s="30"/>
      <c r="CG204" s="30"/>
      <c r="CH204" s="30"/>
      <c r="CI204" s="30"/>
      <c r="CJ204" s="30"/>
      <c r="CK204" s="30"/>
      <c r="CL204" s="85"/>
      <c r="CM204" s="85"/>
      <c r="CN204" s="85"/>
      <c r="CP204" s="81"/>
      <c r="CQ204" s="30"/>
      <c r="CR204" s="30"/>
      <c r="CT204" s="30"/>
      <c r="CU204" s="30"/>
      <c r="CV204" s="30"/>
      <c r="CW204" s="30"/>
      <c r="CX204" s="30"/>
      <c r="CY204" s="30"/>
      <c r="CZ204" s="30"/>
      <c r="DA204" s="85"/>
      <c r="DB204" s="85"/>
      <c r="DC204" s="85"/>
      <c r="DE204" s="81"/>
      <c r="DF204" s="30"/>
      <c r="DG204" s="30"/>
      <c r="DI204" s="30"/>
      <c r="DJ204" s="30"/>
      <c r="DK204" s="30"/>
      <c r="DL204" s="30"/>
      <c r="DM204" s="30"/>
      <c r="DN204" s="30"/>
      <c r="DO204" s="30"/>
      <c r="DP204" s="85"/>
      <c r="DQ204" s="85"/>
      <c r="DR204" s="85"/>
      <c r="DT204" s="81"/>
      <c r="DU204" s="30"/>
      <c r="DV204" s="30"/>
      <c r="DX204" s="30"/>
      <c r="DY204" s="30"/>
      <c r="DZ204" s="30"/>
      <c r="EA204" s="30"/>
      <c r="EB204" s="30"/>
      <c r="EC204" s="30"/>
      <c r="ED204" s="30"/>
      <c r="EE204" s="85"/>
      <c r="EF204" s="85"/>
      <c r="EG204" s="85"/>
      <c r="EI204" s="81"/>
      <c r="EJ204" s="30"/>
      <c r="EK204" s="30"/>
      <c r="EM204" s="30"/>
      <c r="EN204" s="30"/>
      <c r="EO204" s="30"/>
      <c r="EP204" s="30"/>
      <c r="EQ204" s="30"/>
      <c r="ER204" s="30"/>
      <c r="ES204" s="30"/>
      <c r="ET204" s="85"/>
      <c r="EU204" s="85"/>
      <c r="EV204" s="85"/>
    </row>
    <row r="205" spans="2:152">
      <c r="B205" s="11">
        <v>0.8</v>
      </c>
      <c r="C205" s="16"/>
      <c r="D205" s="16"/>
      <c r="E205" s="8"/>
      <c r="F205" s="27">
        <f t="shared" si="40"/>
        <v>1.6157638501299754</v>
      </c>
      <c r="G205" s="27">
        <f t="shared" si="41"/>
        <v>-1.133392784672012</v>
      </c>
      <c r="H205" s="27">
        <f t="shared" si="42"/>
        <v>-1.3429732903805025E-2</v>
      </c>
      <c r="I205" s="27">
        <f t="shared" si="43"/>
        <v>85.39429084631233</v>
      </c>
      <c r="J205" s="27">
        <f t="shared" si="44"/>
        <v>0.44812362213645696</v>
      </c>
      <c r="K205" s="27">
        <f t="shared" si="45"/>
        <v>7.3370061992257831</v>
      </c>
      <c r="L205" s="27">
        <f t="shared" si="46"/>
        <v>10.239105534758574</v>
      </c>
      <c r="M205" s="17">
        <f t="shared" si="47"/>
        <v>0.38456518641711346</v>
      </c>
      <c r="N205" s="17">
        <f t="shared" si="48"/>
        <v>0.38456518641711346</v>
      </c>
      <c r="O205" s="17">
        <f t="shared" si="49"/>
        <v>0.38456518641711346</v>
      </c>
      <c r="P205" s="17">
        <f>IF(ISERROR(O205),0,IF('R-AFC ISOTOPE'!$G$7='R-AFC ISOTOPE_CONTROL'!B205,'R-AFC ISOTOPE_CONTROL'!O205,0))</f>
        <v>0</v>
      </c>
      <c r="S205" s="81"/>
      <c r="T205" s="30"/>
      <c r="U205" s="30"/>
      <c r="W205" s="30"/>
      <c r="X205" s="30"/>
      <c r="Y205" s="30"/>
      <c r="Z205" s="30"/>
      <c r="AA205" s="30"/>
      <c r="AB205" s="30"/>
      <c r="AC205" s="30"/>
      <c r="AD205" s="85"/>
      <c r="AE205" s="85"/>
      <c r="AF205" s="85"/>
      <c r="AH205" s="81"/>
      <c r="AI205" s="30"/>
      <c r="AJ205" s="30"/>
      <c r="AL205" s="30"/>
      <c r="AM205" s="30"/>
      <c r="AN205" s="30"/>
      <c r="AO205" s="30"/>
      <c r="AP205" s="30"/>
      <c r="AQ205" s="30"/>
      <c r="AR205" s="30"/>
      <c r="AS205" s="85"/>
      <c r="AT205" s="85"/>
      <c r="AU205" s="85"/>
      <c r="AW205" s="81"/>
      <c r="AX205" s="30"/>
      <c r="AY205" s="30"/>
      <c r="BA205" s="30"/>
      <c r="BB205" s="30"/>
      <c r="BC205" s="30"/>
      <c r="BD205" s="30"/>
      <c r="BE205" s="30"/>
      <c r="BF205" s="30"/>
      <c r="BG205" s="30"/>
      <c r="BH205" s="85"/>
      <c r="BI205" s="85"/>
      <c r="BJ205" s="85"/>
      <c r="BL205" s="81"/>
      <c r="BM205" s="30"/>
      <c r="BN205" s="30"/>
      <c r="BP205" s="30"/>
      <c r="BQ205" s="30"/>
      <c r="BR205" s="30"/>
      <c r="BS205" s="30"/>
      <c r="BT205" s="30"/>
      <c r="BU205" s="30"/>
      <c r="BV205" s="30"/>
      <c r="BW205" s="85"/>
      <c r="BX205" s="85"/>
      <c r="BY205" s="85"/>
      <c r="CA205" s="81"/>
      <c r="CB205" s="30"/>
      <c r="CC205" s="30"/>
      <c r="CE205" s="30"/>
      <c r="CF205" s="30"/>
      <c r="CG205" s="30"/>
      <c r="CH205" s="30"/>
      <c r="CI205" s="30"/>
      <c r="CJ205" s="30"/>
      <c r="CK205" s="30"/>
      <c r="CL205" s="85"/>
      <c r="CM205" s="85"/>
      <c r="CN205" s="85"/>
      <c r="CP205" s="81"/>
      <c r="CQ205" s="30"/>
      <c r="CR205" s="30"/>
      <c r="CT205" s="30"/>
      <c r="CU205" s="30"/>
      <c r="CV205" s="30"/>
      <c r="CW205" s="30"/>
      <c r="CX205" s="30"/>
      <c r="CY205" s="30"/>
      <c r="CZ205" s="30"/>
      <c r="DA205" s="85"/>
      <c r="DB205" s="85"/>
      <c r="DC205" s="85"/>
      <c r="DE205" s="81"/>
      <c r="DF205" s="30"/>
      <c r="DG205" s="30"/>
      <c r="DI205" s="30"/>
      <c r="DJ205" s="30"/>
      <c r="DK205" s="30"/>
      <c r="DL205" s="30"/>
      <c r="DM205" s="30"/>
      <c r="DN205" s="30"/>
      <c r="DO205" s="30"/>
      <c r="DP205" s="85"/>
      <c r="DQ205" s="85"/>
      <c r="DR205" s="85"/>
      <c r="DT205" s="81"/>
      <c r="DU205" s="30"/>
      <c r="DV205" s="30"/>
      <c r="DX205" s="30"/>
      <c r="DY205" s="30"/>
      <c r="DZ205" s="30"/>
      <c r="EA205" s="30"/>
      <c r="EB205" s="30"/>
      <c r="EC205" s="30"/>
      <c r="ED205" s="30"/>
      <c r="EE205" s="85"/>
      <c r="EF205" s="85"/>
      <c r="EG205" s="85"/>
      <c r="EI205" s="81"/>
      <c r="EJ205" s="30"/>
      <c r="EK205" s="30"/>
      <c r="EM205" s="30"/>
      <c r="EN205" s="30"/>
      <c r="EO205" s="30"/>
      <c r="EP205" s="30"/>
      <c r="EQ205" s="30"/>
      <c r="ER205" s="30"/>
      <c r="ES205" s="30"/>
      <c r="ET205" s="85"/>
      <c r="EU205" s="85"/>
      <c r="EV205" s="85"/>
    </row>
    <row r="206" spans="2:152">
      <c r="B206" s="11">
        <v>0.81</v>
      </c>
      <c r="C206" s="16"/>
      <c r="D206" s="16"/>
      <c r="E206" s="8"/>
      <c r="F206" s="27">
        <f t="shared" si="40"/>
        <v>1.6035734481497423</v>
      </c>
      <c r="G206" s="27">
        <f t="shared" si="41"/>
        <v>-1.1436508670306937</v>
      </c>
      <c r="H206" s="27">
        <f t="shared" si="42"/>
        <v>-1.3597604565102589E-2</v>
      </c>
      <c r="I206" s="27">
        <f t="shared" si="43"/>
        <v>85.106789659540695</v>
      </c>
      <c r="J206" s="27">
        <f t="shared" si="44"/>
        <v>0.45307372841376298</v>
      </c>
      <c r="K206" s="27">
        <f t="shared" si="45"/>
        <v>7.4888663448598916</v>
      </c>
      <c r="L206" s="27">
        <f t="shared" si="46"/>
        <v>10.405373779209791</v>
      </c>
      <c r="M206" s="17">
        <f t="shared" si="47"/>
        <v>0.38532369237666958</v>
      </c>
      <c r="N206" s="17">
        <f t="shared" si="48"/>
        <v>0.38532369237666958</v>
      </c>
      <c r="O206" s="17">
        <f t="shared" si="49"/>
        <v>0.38532369237666958</v>
      </c>
      <c r="P206" s="17">
        <f>IF(ISERROR(O206),0,IF('R-AFC ISOTOPE'!$G$7='R-AFC ISOTOPE_CONTROL'!B206,'R-AFC ISOTOPE_CONTROL'!O206,0))</f>
        <v>0</v>
      </c>
      <c r="S206" s="81"/>
      <c r="T206" s="30"/>
      <c r="U206" s="30"/>
      <c r="W206" s="30"/>
      <c r="X206" s="30"/>
      <c r="Y206" s="30"/>
      <c r="Z206" s="30"/>
      <c r="AA206" s="30"/>
      <c r="AB206" s="30"/>
      <c r="AC206" s="30"/>
      <c r="AD206" s="85"/>
      <c r="AE206" s="85"/>
      <c r="AF206" s="85"/>
      <c r="AH206" s="81"/>
      <c r="AI206" s="30"/>
      <c r="AJ206" s="30"/>
      <c r="AL206" s="30"/>
      <c r="AM206" s="30"/>
      <c r="AN206" s="30"/>
      <c r="AO206" s="30"/>
      <c r="AP206" s="30"/>
      <c r="AQ206" s="30"/>
      <c r="AR206" s="30"/>
      <c r="AS206" s="85"/>
      <c r="AT206" s="85"/>
      <c r="AU206" s="85"/>
      <c r="AW206" s="81"/>
      <c r="AX206" s="30"/>
      <c r="AY206" s="30"/>
      <c r="BA206" s="30"/>
      <c r="BB206" s="30"/>
      <c r="BC206" s="30"/>
      <c r="BD206" s="30"/>
      <c r="BE206" s="30"/>
      <c r="BF206" s="30"/>
      <c r="BG206" s="30"/>
      <c r="BH206" s="85"/>
      <c r="BI206" s="85"/>
      <c r="BJ206" s="85"/>
      <c r="BL206" s="81"/>
      <c r="BM206" s="30"/>
      <c r="BN206" s="30"/>
      <c r="BP206" s="30"/>
      <c r="BQ206" s="30"/>
      <c r="BR206" s="30"/>
      <c r="BS206" s="30"/>
      <c r="BT206" s="30"/>
      <c r="BU206" s="30"/>
      <c r="BV206" s="30"/>
      <c r="BW206" s="85"/>
      <c r="BX206" s="85"/>
      <c r="BY206" s="85"/>
      <c r="CA206" s="81"/>
      <c r="CB206" s="30"/>
      <c r="CC206" s="30"/>
      <c r="CE206" s="30"/>
      <c r="CF206" s="30"/>
      <c r="CG206" s="30"/>
      <c r="CH206" s="30"/>
      <c r="CI206" s="30"/>
      <c r="CJ206" s="30"/>
      <c r="CK206" s="30"/>
      <c r="CL206" s="85"/>
      <c r="CM206" s="85"/>
      <c r="CN206" s="85"/>
      <c r="CP206" s="81"/>
      <c r="CQ206" s="30"/>
      <c r="CR206" s="30"/>
      <c r="CT206" s="30"/>
      <c r="CU206" s="30"/>
      <c r="CV206" s="30"/>
      <c r="CW206" s="30"/>
      <c r="CX206" s="30"/>
      <c r="CY206" s="30"/>
      <c r="CZ206" s="30"/>
      <c r="DA206" s="85"/>
      <c r="DB206" s="85"/>
      <c r="DC206" s="85"/>
      <c r="DE206" s="81"/>
      <c r="DF206" s="30"/>
      <c r="DG206" s="30"/>
      <c r="DI206" s="30"/>
      <c r="DJ206" s="30"/>
      <c r="DK206" s="30"/>
      <c r="DL206" s="30"/>
      <c r="DM206" s="30"/>
      <c r="DN206" s="30"/>
      <c r="DO206" s="30"/>
      <c r="DP206" s="85"/>
      <c r="DQ206" s="85"/>
      <c r="DR206" s="85"/>
      <c r="DT206" s="81"/>
      <c r="DU206" s="30"/>
      <c r="DV206" s="30"/>
      <c r="DX206" s="30"/>
      <c r="DY206" s="30"/>
      <c r="DZ206" s="30"/>
      <c r="EA206" s="30"/>
      <c r="EB206" s="30"/>
      <c r="EC206" s="30"/>
      <c r="ED206" s="30"/>
      <c r="EE206" s="85"/>
      <c r="EF206" s="85"/>
      <c r="EG206" s="85"/>
      <c r="EI206" s="81"/>
      <c r="EJ206" s="30"/>
      <c r="EK206" s="30"/>
      <c r="EM206" s="30"/>
      <c r="EN206" s="30"/>
      <c r="EO206" s="30"/>
      <c r="EP206" s="30"/>
      <c r="EQ206" s="30"/>
      <c r="ER206" s="30"/>
      <c r="ES206" s="30"/>
      <c r="ET206" s="85"/>
      <c r="EU206" s="85"/>
      <c r="EV206" s="85"/>
    </row>
    <row r="207" spans="2:152">
      <c r="B207" s="11">
        <v>0.82</v>
      </c>
      <c r="C207" s="16"/>
      <c r="D207" s="16"/>
      <c r="E207" s="8"/>
      <c r="F207" s="27">
        <f t="shared" si="40"/>
        <v>1.5918563478469492</v>
      </c>
      <c r="G207" s="27">
        <f t="shared" si="41"/>
        <v>-1.1539089493893753</v>
      </c>
      <c r="H207" s="27">
        <f t="shared" si="42"/>
        <v>-1.3765476226400149E-2</v>
      </c>
      <c r="I207" s="27">
        <f t="shared" si="43"/>
        <v>84.826300696836654</v>
      </c>
      <c r="J207" s="27">
        <f t="shared" si="44"/>
        <v>0.45793582324457882</v>
      </c>
      <c r="K207" s="27">
        <f t="shared" si="45"/>
        <v>7.640877109447378</v>
      </c>
      <c r="L207" s="27">
        <f t="shared" si="46"/>
        <v>10.571322381945308</v>
      </c>
      <c r="M207" s="17">
        <f t="shared" si="47"/>
        <v>0.38605979879070829</v>
      </c>
      <c r="N207" s="17">
        <f t="shared" si="48"/>
        <v>0.38605979879070829</v>
      </c>
      <c r="O207" s="17">
        <f t="shared" si="49"/>
        <v>0.38605979879070829</v>
      </c>
      <c r="P207" s="17">
        <f>IF(ISERROR(O207),0,IF('R-AFC ISOTOPE'!$G$7='R-AFC ISOTOPE_CONTROL'!B207,'R-AFC ISOTOPE_CONTROL'!O207,0))</f>
        <v>0</v>
      </c>
      <c r="S207" s="81"/>
      <c r="T207" s="30"/>
      <c r="U207" s="30"/>
      <c r="W207" s="30"/>
      <c r="X207" s="30"/>
      <c r="Y207" s="30"/>
      <c r="Z207" s="30"/>
      <c r="AA207" s="30"/>
      <c r="AB207" s="30"/>
      <c r="AC207" s="30"/>
      <c r="AD207" s="85"/>
      <c r="AE207" s="85"/>
      <c r="AF207" s="85"/>
      <c r="AH207" s="81"/>
      <c r="AI207" s="30"/>
      <c r="AJ207" s="30"/>
      <c r="AL207" s="30"/>
      <c r="AM207" s="30"/>
      <c r="AN207" s="30"/>
      <c r="AO207" s="30"/>
      <c r="AP207" s="30"/>
      <c r="AQ207" s="30"/>
      <c r="AR207" s="30"/>
      <c r="AS207" s="85"/>
      <c r="AT207" s="85"/>
      <c r="AU207" s="85"/>
      <c r="AW207" s="81"/>
      <c r="AX207" s="30"/>
      <c r="AY207" s="30"/>
      <c r="BA207" s="30"/>
      <c r="BB207" s="30"/>
      <c r="BC207" s="30"/>
      <c r="BD207" s="30"/>
      <c r="BE207" s="30"/>
      <c r="BF207" s="30"/>
      <c r="BG207" s="30"/>
      <c r="BH207" s="85"/>
      <c r="BI207" s="85"/>
      <c r="BJ207" s="85"/>
      <c r="BL207" s="81"/>
      <c r="BM207" s="30"/>
      <c r="BN207" s="30"/>
      <c r="BP207" s="30"/>
      <c r="BQ207" s="30"/>
      <c r="BR207" s="30"/>
      <c r="BS207" s="30"/>
      <c r="BT207" s="30"/>
      <c r="BU207" s="30"/>
      <c r="BV207" s="30"/>
      <c r="BW207" s="85"/>
      <c r="BX207" s="85"/>
      <c r="BY207" s="85"/>
      <c r="CA207" s="81"/>
      <c r="CB207" s="30"/>
      <c r="CC207" s="30"/>
      <c r="CE207" s="30"/>
      <c r="CF207" s="30"/>
      <c r="CG207" s="30"/>
      <c r="CH207" s="30"/>
      <c r="CI207" s="30"/>
      <c r="CJ207" s="30"/>
      <c r="CK207" s="30"/>
      <c r="CL207" s="85"/>
      <c r="CM207" s="85"/>
      <c r="CN207" s="85"/>
      <c r="CP207" s="81"/>
      <c r="CQ207" s="30"/>
      <c r="CR207" s="30"/>
      <c r="CT207" s="30"/>
      <c r="CU207" s="30"/>
      <c r="CV207" s="30"/>
      <c r="CW207" s="30"/>
      <c r="CX207" s="30"/>
      <c r="CY207" s="30"/>
      <c r="CZ207" s="30"/>
      <c r="DA207" s="85"/>
      <c r="DB207" s="85"/>
      <c r="DC207" s="85"/>
      <c r="DE207" s="81"/>
      <c r="DF207" s="30"/>
      <c r="DG207" s="30"/>
      <c r="DI207" s="30"/>
      <c r="DJ207" s="30"/>
      <c r="DK207" s="30"/>
      <c r="DL207" s="30"/>
      <c r="DM207" s="30"/>
      <c r="DN207" s="30"/>
      <c r="DO207" s="30"/>
      <c r="DP207" s="85"/>
      <c r="DQ207" s="85"/>
      <c r="DR207" s="85"/>
      <c r="DT207" s="81"/>
      <c r="DU207" s="30"/>
      <c r="DV207" s="30"/>
      <c r="DX207" s="30"/>
      <c r="DY207" s="30"/>
      <c r="DZ207" s="30"/>
      <c r="EA207" s="30"/>
      <c r="EB207" s="30"/>
      <c r="EC207" s="30"/>
      <c r="ED207" s="30"/>
      <c r="EE207" s="85"/>
      <c r="EF207" s="85"/>
      <c r="EG207" s="85"/>
      <c r="EI207" s="81"/>
      <c r="EJ207" s="30"/>
      <c r="EK207" s="30"/>
      <c r="EM207" s="30"/>
      <c r="EN207" s="30"/>
      <c r="EO207" s="30"/>
      <c r="EP207" s="30"/>
      <c r="EQ207" s="30"/>
      <c r="ER207" s="30"/>
      <c r="ES207" s="30"/>
      <c r="ET207" s="85"/>
      <c r="EU207" s="85"/>
      <c r="EV207" s="85"/>
    </row>
    <row r="208" spans="2:152">
      <c r="B208" s="11">
        <v>0.83</v>
      </c>
      <c r="C208" s="16"/>
      <c r="D208" s="16"/>
      <c r="E208" s="8"/>
      <c r="F208" s="27">
        <f t="shared" si="40"/>
        <v>1.5805855096876296</v>
      </c>
      <c r="G208" s="27">
        <f t="shared" si="41"/>
        <v>-1.164167031748057</v>
      </c>
      <c r="H208" s="27">
        <f t="shared" si="42"/>
        <v>-1.3933347887697713E-2</v>
      </c>
      <c r="I208" s="27">
        <f t="shared" si="43"/>
        <v>84.552570504318254</v>
      </c>
      <c r="J208" s="27">
        <f t="shared" si="44"/>
        <v>0.46271223317305671</v>
      </c>
      <c r="K208" s="27">
        <f t="shared" si="45"/>
        <v>7.7930085421693924</v>
      </c>
      <c r="L208" s="27">
        <f t="shared" si="46"/>
        <v>10.736930868937231</v>
      </c>
      <c r="M208" s="17">
        <f t="shared" si="47"/>
        <v>0.38677439238562022</v>
      </c>
      <c r="N208" s="17">
        <f t="shared" si="48"/>
        <v>0.38677439238562022</v>
      </c>
      <c r="O208" s="17">
        <f t="shared" si="49"/>
        <v>0.38677439238562022</v>
      </c>
      <c r="P208" s="17">
        <f>IF(ISERROR(O208),0,IF('R-AFC ISOTOPE'!$G$7='R-AFC ISOTOPE_CONTROL'!B208,'R-AFC ISOTOPE_CONTROL'!O208,0))</f>
        <v>0</v>
      </c>
      <c r="S208" s="81"/>
      <c r="T208" s="30"/>
      <c r="U208" s="30"/>
      <c r="W208" s="30"/>
      <c r="X208" s="30"/>
      <c r="Y208" s="30"/>
      <c r="Z208" s="30"/>
      <c r="AA208" s="30"/>
      <c r="AB208" s="30"/>
      <c r="AC208" s="30"/>
      <c r="AD208" s="85"/>
      <c r="AE208" s="85"/>
      <c r="AF208" s="85"/>
      <c r="AH208" s="81"/>
      <c r="AI208" s="30"/>
      <c r="AJ208" s="30"/>
      <c r="AL208" s="30"/>
      <c r="AM208" s="30"/>
      <c r="AN208" s="30"/>
      <c r="AO208" s="30"/>
      <c r="AP208" s="30"/>
      <c r="AQ208" s="30"/>
      <c r="AR208" s="30"/>
      <c r="AS208" s="85"/>
      <c r="AT208" s="85"/>
      <c r="AU208" s="85"/>
      <c r="AW208" s="81"/>
      <c r="AX208" s="30"/>
      <c r="AY208" s="30"/>
      <c r="BA208" s="30"/>
      <c r="BB208" s="30"/>
      <c r="BC208" s="30"/>
      <c r="BD208" s="30"/>
      <c r="BE208" s="30"/>
      <c r="BF208" s="30"/>
      <c r="BG208" s="30"/>
      <c r="BH208" s="85"/>
      <c r="BI208" s="85"/>
      <c r="BJ208" s="85"/>
      <c r="BL208" s="81"/>
      <c r="BM208" s="30"/>
      <c r="BN208" s="30"/>
      <c r="BP208" s="30"/>
      <c r="BQ208" s="30"/>
      <c r="BR208" s="30"/>
      <c r="BS208" s="30"/>
      <c r="BT208" s="30"/>
      <c r="BU208" s="30"/>
      <c r="BV208" s="30"/>
      <c r="BW208" s="85"/>
      <c r="BX208" s="85"/>
      <c r="BY208" s="85"/>
      <c r="CA208" s="81"/>
      <c r="CB208" s="30"/>
      <c r="CC208" s="30"/>
      <c r="CE208" s="30"/>
      <c r="CF208" s="30"/>
      <c r="CG208" s="30"/>
      <c r="CH208" s="30"/>
      <c r="CI208" s="30"/>
      <c r="CJ208" s="30"/>
      <c r="CK208" s="30"/>
      <c r="CL208" s="85"/>
      <c r="CM208" s="85"/>
      <c r="CN208" s="85"/>
      <c r="CP208" s="81"/>
      <c r="CQ208" s="30"/>
      <c r="CR208" s="30"/>
      <c r="CT208" s="30"/>
      <c r="CU208" s="30"/>
      <c r="CV208" s="30"/>
      <c r="CW208" s="30"/>
      <c r="CX208" s="30"/>
      <c r="CY208" s="30"/>
      <c r="CZ208" s="30"/>
      <c r="DA208" s="85"/>
      <c r="DB208" s="85"/>
      <c r="DC208" s="85"/>
      <c r="DE208" s="81"/>
      <c r="DF208" s="30"/>
      <c r="DG208" s="30"/>
      <c r="DI208" s="30"/>
      <c r="DJ208" s="30"/>
      <c r="DK208" s="30"/>
      <c r="DL208" s="30"/>
      <c r="DM208" s="30"/>
      <c r="DN208" s="30"/>
      <c r="DO208" s="30"/>
      <c r="DP208" s="85"/>
      <c r="DQ208" s="85"/>
      <c r="DR208" s="85"/>
      <c r="DT208" s="81"/>
      <c r="DU208" s="30"/>
      <c r="DV208" s="30"/>
      <c r="DX208" s="30"/>
      <c r="DY208" s="30"/>
      <c r="DZ208" s="30"/>
      <c r="EA208" s="30"/>
      <c r="EB208" s="30"/>
      <c r="EC208" s="30"/>
      <c r="ED208" s="30"/>
      <c r="EE208" s="85"/>
      <c r="EF208" s="85"/>
      <c r="EG208" s="85"/>
      <c r="EI208" s="81"/>
      <c r="EJ208" s="30"/>
      <c r="EK208" s="30"/>
      <c r="EM208" s="30"/>
      <c r="EN208" s="30"/>
      <c r="EO208" s="30"/>
      <c r="EP208" s="30"/>
      <c r="EQ208" s="30"/>
      <c r="ER208" s="30"/>
      <c r="ES208" s="30"/>
      <c r="ET208" s="85"/>
      <c r="EU208" s="85"/>
      <c r="EV208" s="85"/>
    </row>
    <row r="209" spans="2:152">
      <c r="B209" s="11">
        <v>0.84</v>
      </c>
      <c r="C209" s="16"/>
      <c r="D209" s="16"/>
      <c r="E209" s="8"/>
      <c r="F209" s="27">
        <f t="shared" si="40"/>
        <v>1.5697359153248456</v>
      </c>
      <c r="G209" s="27">
        <f t="shared" si="41"/>
        <v>-1.1744251141067388</v>
      </c>
      <c r="H209" s="27">
        <f t="shared" si="42"/>
        <v>-1.4101219548995276E-2</v>
      </c>
      <c r="I209" s="27">
        <f t="shared" si="43"/>
        <v>84.285357697336011</v>
      </c>
      <c r="J209" s="27">
        <f t="shared" si="44"/>
        <v>0.46740520345802461</v>
      </c>
      <c r="K209" s="27">
        <f t="shared" si="45"/>
        <v>7.945231726200479</v>
      </c>
      <c r="L209" s="27">
        <f t="shared" si="46"/>
        <v>10.902179680870466</v>
      </c>
      <c r="M209" s="17">
        <f t="shared" si="47"/>
        <v>0.38746831728962161</v>
      </c>
      <c r="N209" s="17">
        <f t="shared" si="48"/>
        <v>0.38746831728962161</v>
      </c>
      <c r="O209" s="17">
        <f t="shared" si="49"/>
        <v>0.38746831728962161</v>
      </c>
      <c r="P209" s="17">
        <f>IF(ISERROR(O209),0,IF('R-AFC ISOTOPE'!$G$7='R-AFC ISOTOPE_CONTROL'!B209,'R-AFC ISOTOPE_CONTROL'!O209,0))</f>
        <v>0</v>
      </c>
      <c r="S209" s="81"/>
      <c r="T209" s="30"/>
      <c r="U209" s="30"/>
      <c r="W209" s="30"/>
      <c r="X209" s="30"/>
      <c r="Y209" s="30"/>
      <c r="Z209" s="30"/>
      <c r="AA209" s="30"/>
      <c r="AB209" s="30"/>
      <c r="AC209" s="30"/>
      <c r="AD209" s="85"/>
      <c r="AE209" s="85"/>
      <c r="AF209" s="85"/>
      <c r="AH209" s="81"/>
      <c r="AI209" s="30"/>
      <c r="AJ209" s="30"/>
      <c r="AL209" s="30"/>
      <c r="AM209" s="30"/>
      <c r="AN209" s="30"/>
      <c r="AO209" s="30"/>
      <c r="AP209" s="30"/>
      <c r="AQ209" s="30"/>
      <c r="AR209" s="30"/>
      <c r="AS209" s="85"/>
      <c r="AT209" s="85"/>
      <c r="AU209" s="85"/>
      <c r="AW209" s="81"/>
      <c r="AX209" s="30"/>
      <c r="AY209" s="30"/>
      <c r="BA209" s="30"/>
      <c r="BB209" s="30"/>
      <c r="BC209" s="30"/>
      <c r="BD209" s="30"/>
      <c r="BE209" s="30"/>
      <c r="BF209" s="30"/>
      <c r="BG209" s="30"/>
      <c r="BH209" s="85"/>
      <c r="BI209" s="85"/>
      <c r="BJ209" s="85"/>
      <c r="BL209" s="81"/>
      <c r="BM209" s="30"/>
      <c r="BN209" s="30"/>
      <c r="BP209" s="30"/>
      <c r="BQ209" s="30"/>
      <c r="BR209" s="30"/>
      <c r="BS209" s="30"/>
      <c r="BT209" s="30"/>
      <c r="BU209" s="30"/>
      <c r="BV209" s="30"/>
      <c r="BW209" s="85"/>
      <c r="BX209" s="85"/>
      <c r="BY209" s="85"/>
      <c r="CA209" s="81"/>
      <c r="CB209" s="30"/>
      <c r="CC209" s="30"/>
      <c r="CE209" s="30"/>
      <c r="CF209" s="30"/>
      <c r="CG209" s="30"/>
      <c r="CH209" s="30"/>
      <c r="CI209" s="30"/>
      <c r="CJ209" s="30"/>
      <c r="CK209" s="30"/>
      <c r="CL209" s="85"/>
      <c r="CM209" s="85"/>
      <c r="CN209" s="85"/>
      <c r="CP209" s="81"/>
      <c r="CQ209" s="30"/>
      <c r="CR209" s="30"/>
      <c r="CT209" s="30"/>
      <c r="CU209" s="30"/>
      <c r="CV209" s="30"/>
      <c r="CW209" s="30"/>
      <c r="CX209" s="30"/>
      <c r="CY209" s="30"/>
      <c r="CZ209" s="30"/>
      <c r="DA209" s="85"/>
      <c r="DB209" s="85"/>
      <c r="DC209" s="85"/>
      <c r="DE209" s="81"/>
      <c r="DF209" s="30"/>
      <c r="DG209" s="30"/>
      <c r="DI209" s="30"/>
      <c r="DJ209" s="30"/>
      <c r="DK209" s="30"/>
      <c r="DL209" s="30"/>
      <c r="DM209" s="30"/>
      <c r="DN209" s="30"/>
      <c r="DO209" s="30"/>
      <c r="DP209" s="85"/>
      <c r="DQ209" s="85"/>
      <c r="DR209" s="85"/>
      <c r="DT209" s="81"/>
      <c r="DU209" s="30"/>
      <c r="DV209" s="30"/>
      <c r="DX209" s="30"/>
      <c r="DY209" s="30"/>
      <c r="DZ209" s="30"/>
      <c r="EA209" s="30"/>
      <c r="EB209" s="30"/>
      <c r="EC209" s="30"/>
      <c r="ED209" s="30"/>
      <c r="EE209" s="85"/>
      <c r="EF209" s="85"/>
      <c r="EG209" s="85"/>
      <c r="EI209" s="81"/>
      <c r="EJ209" s="30"/>
      <c r="EK209" s="30"/>
      <c r="EM209" s="30"/>
      <c r="EN209" s="30"/>
      <c r="EO209" s="30"/>
      <c r="EP209" s="30"/>
      <c r="EQ209" s="30"/>
      <c r="ER209" s="30"/>
      <c r="ES209" s="30"/>
      <c r="ET209" s="85"/>
      <c r="EU209" s="85"/>
      <c r="EV209" s="85"/>
    </row>
    <row r="210" spans="2:152">
      <c r="B210" s="11">
        <v>0.85</v>
      </c>
      <c r="C210" s="16"/>
      <c r="D210" s="16"/>
      <c r="E210" s="8"/>
      <c r="F210" s="27">
        <f t="shared" si="40"/>
        <v>1.559284382210137</v>
      </c>
      <c r="G210" s="27">
        <f t="shared" si="41"/>
        <v>-1.1846831964654203</v>
      </c>
      <c r="H210" s="27">
        <f t="shared" si="42"/>
        <v>-1.4269091210292838E-2</v>
      </c>
      <c r="I210" s="27">
        <f t="shared" si="43"/>
        <v>84.024432250518046</v>
      </c>
      <c r="J210" s="27">
        <f t="shared" si="44"/>
        <v>0.47201690159220372</v>
      </c>
      <c r="K210" s="27">
        <f t="shared" si="45"/>
        <v>8.0975187520673355</v>
      </c>
      <c r="L210" s="27">
        <f t="shared" si="46"/>
        <v>11.067050142542177</v>
      </c>
      <c r="M210" s="17">
        <f t="shared" si="47"/>
        <v>0.38814237737419682</v>
      </c>
      <c r="N210" s="17">
        <f t="shared" si="48"/>
        <v>0.38814237737419682</v>
      </c>
      <c r="O210" s="17">
        <f t="shared" si="49"/>
        <v>0.38814237737419682</v>
      </c>
      <c r="P210" s="17">
        <f>IF(ISERROR(O210),0,IF('R-AFC ISOTOPE'!$G$7='R-AFC ISOTOPE_CONTROL'!B210,'R-AFC ISOTOPE_CONTROL'!O210,0))</f>
        <v>0</v>
      </c>
      <c r="S210" s="81"/>
      <c r="T210" s="30"/>
      <c r="U210" s="30"/>
      <c r="W210" s="30"/>
      <c r="X210" s="30"/>
      <c r="Y210" s="30"/>
      <c r="Z210" s="30"/>
      <c r="AA210" s="30"/>
      <c r="AB210" s="30"/>
      <c r="AC210" s="30"/>
      <c r="AD210" s="85"/>
      <c r="AE210" s="85"/>
      <c r="AF210" s="85"/>
      <c r="AH210" s="81"/>
      <c r="AI210" s="30"/>
      <c r="AJ210" s="30"/>
      <c r="AL210" s="30"/>
      <c r="AM210" s="30"/>
      <c r="AN210" s="30"/>
      <c r="AO210" s="30"/>
      <c r="AP210" s="30"/>
      <c r="AQ210" s="30"/>
      <c r="AR210" s="30"/>
      <c r="AS210" s="85"/>
      <c r="AT210" s="85"/>
      <c r="AU210" s="85"/>
      <c r="AW210" s="81"/>
      <c r="AX210" s="30"/>
      <c r="AY210" s="30"/>
      <c r="BA210" s="30"/>
      <c r="BB210" s="30"/>
      <c r="BC210" s="30"/>
      <c r="BD210" s="30"/>
      <c r="BE210" s="30"/>
      <c r="BF210" s="30"/>
      <c r="BG210" s="30"/>
      <c r="BH210" s="85"/>
      <c r="BI210" s="85"/>
      <c r="BJ210" s="85"/>
      <c r="BL210" s="81"/>
      <c r="BM210" s="30"/>
      <c r="BN210" s="30"/>
      <c r="BP210" s="30"/>
      <c r="BQ210" s="30"/>
      <c r="BR210" s="30"/>
      <c r="BS210" s="30"/>
      <c r="BT210" s="30"/>
      <c r="BU210" s="30"/>
      <c r="BV210" s="30"/>
      <c r="BW210" s="85"/>
      <c r="BX210" s="85"/>
      <c r="BY210" s="85"/>
      <c r="CA210" s="81"/>
      <c r="CB210" s="30"/>
      <c r="CC210" s="30"/>
      <c r="CE210" s="30"/>
      <c r="CF210" s="30"/>
      <c r="CG210" s="30"/>
      <c r="CH210" s="30"/>
      <c r="CI210" s="30"/>
      <c r="CJ210" s="30"/>
      <c r="CK210" s="30"/>
      <c r="CL210" s="85"/>
      <c r="CM210" s="85"/>
      <c r="CN210" s="85"/>
      <c r="CP210" s="81"/>
      <c r="CQ210" s="30"/>
      <c r="CR210" s="30"/>
      <c r="CT210" s="30"/>
      <c r="CU210" s="30"/>
      <c r="CV210" s="30"/>
      <c r="CW210" s="30"/>
      <c r="CX210" s="30"/>
      <c r="CY210" s="30"/>
      <c r="CZ210" s="30"/>
      <c r="DA210" s="85"/>
      <c r="DB210" s="85"/>
      <c r="DC210" s="85"/>
      <c r="DE210" s="81"/>
      <c r="DF210" s="30"/>
      <c r="DG210" s="30"/>
      <c r="DI210" s="30"/>
      <c r="DJ210" s="30"/>
      <c r="DK210" s="30"/>
      <c r="DL210" s="30"/>
      <c r="DM210" s="30"/>
      <c r="DN210" s="30"/>
      <c r="DO210" s="30"/>
      <c r="DP210" s="85"/>
      <c r="DQ210" s="85"/>
      <c r="DR210" s="85"/>
      <c r="DT210" s="81"/>
      <c r="DU210" s="30"/>
      <c r="DV210" s="30"/>
      <c r="DX210" s="30"/>
      <c r="DY210" s="30"/>
      <c r="DZ210" s="30"/>
      <c r="EA210" s="30"/>
      <c r="EB210" s="30"/>
      <c r="EC210" s="30"/>
      <c r="ED210" s="30"/>
      <c r="EE210" s="85"/>
      <c r="EF210" s="85"/>
      <c r="EG210" s="85"/>
      <c r="EI210" s="81"/>
      <c r="EJ210" s="30"/>
      <c r="EK210" s="30"/>
      <c r="EM210" s="30"/>
      <c r="EN210" s="30"/>
      <c r="EO210" s="30"/>
      <c r="EP210" s="30"/>
      <c r="EQ210" s="30"/>
      <c r="ER210" s="30"/>
      <c r="ES210" s="30"/>
      <c r="ET210" s="85"/>
      <c r="EU210" s="85"/>
      <c r="EV210" s="85"/>
    </row>
    <row r="211" spans="2:152">
      <c r="B211" s="11">
        <v>0.86</v>
      </c>
      <c r="C211" s="16"/>
      <c r="D211" s="16"/>
      <c r="E211" s="8"/>
      <c r="F211" s="27">
        <f t="shared" si="40"/>
        <v>1.5492093982425761</v>
      </c>
      <c r="G211" s="27">
        <f t="shared" si="41"/>
        <v>-1.1949412788241021</v>
      </c>
      <c r="H211" s="27">
        <f t="shared" si="42"/>
        <v>-1.4436962871590402E-2</v>
      </c>
      <c r="I211" s="27">
        <f t="shared" si="43"/>
        <v>83.769574837347022</v>
      </c>
      <c r="J211" s="27">
        <f t="shared" si="44"/>
        <v>0.47654942064015965</v>
      </c>
      <c r="K211" s="27">
        <f t="shared" si="45"/>
        <v>8.2498426912293201</v>
      </c>
      <c r="L211" s="27">
        <f t="shared" si="46"/>
        <v>11.231524433032714</v>
      </c>
      <c r="M211" s="17">
        <f t="shared" si="47"/>
        <v>0.38879733845479569</v>
      </c>
      <c r="N211" s="17">
        <f t="shared" si="48"/>
        <v>0.38879733845479569</v>
      </c>
      <c r="O211" s="17">
        <f t="shared" si="49"/>
        <v>0.38879733845479569</v>
      </c>
      <c r="P211" s="17">
        <f>IF(ISERROR(O211),0,IF('R-AFC ISOTOPE'!$G$7='R-AFC ISOTOPE_CONTROL'!B211,'R-AFC ISOTOPE_CONTROL'!O211,0))</f>
        <v>0</v>
      </c>
      <c r="S211" s="81"/>
      <c r="T211" s="30"/>
      <c r="U211" s="30"/>
      <c r="W211" s="30"/>
      <c r="X211" s="30"/>
      <c r="Y211" s="30"/>
      <c r="Z211" s="30"/>
      <c r="AA211" s="30"/>
      <c r="AB211" s="30"/>
      <c r="AC211" s="30"/>
      <c r="AD211" s="85"/>
      <c r="AE211" s="85"/>
      <c r="AF211" s="85"/>
      <c r="AH211" s="81"/>
      <c r="AI211" s="30"/>
      <c r="AJ211" s="30"/>
      <c r="AL211" s="30"/>
      <c r="AM211" s="30"/>
      <c r="AN211" s="30"/>
      <c r="AO211" s="30"/>
      <c r="AP211" s="30"/>
      <c r="AQ211" s="30"/>
      <c r="AR211" s="30"/>
      <c r="AS211" s="85"/>
      <c r="AT211" s="85"/>
      <c r="AU211" s="85"/>
      <c r="AW211" s="81"/>
      <c r="AX211" s="30"/>
      <c r="AY211" s="30"/>
      <c r="BA211" s="30"/>
      <c r="BB211" s="30"/>
      <c r="BC211" s="30"/>
      <c r="BD211" s="30"/>
      <c r="BE211" s="30"/>
      <c r="BF211" s="30"/>
      <c r="BG211" s="30"/>
      <c r="BH211" s="85"/>
      <c r="BI211" s="85"/>
      <c r="BJ211" s="85"/>
      <c r="BL211" s="81"/>
      <c r="BM211" s="30"/>
      <c r="BN211" s="30"/>
      <c r="BP211" s="30"/>
      <c r="BQ211" s="30"/>
      <c r="BR211" s="30"/>
      <c r="BS211" s="30"/>
      <c r="BT211" s="30"/>
      <c r="BU211" s="30"/>
      <c r="BV211" s="30"/>
      <c r="BW211" s="85"/>
      <c r="BX211" s="85"/>
      <c r="BY211" s="85"/>
      <c r="CA211" s="81"/>
      <c r="CB211" s="30"/>
      <c r="CC211" s="30"/>
      <c r="CE211" s="30"/>
      <c r="CF211" s="30"/>
      <c r="CG211" s="30"/>
      <c r="CH211" s="30"/>
      <c r="CI211" s="30"/>
      <c r="CJ211" s="30"/>
      <c r="CK211" s="30"/>
      <c r="CL211" s="85"/>
      <c r="CM211" s="85"/>
      <c r="CN211" s="85"/>
      <c r="CP211" s="81"/>
      <c r="CQ211" s="30"/>
      <c r="CR211" s="30"/>
      <c r="CT211" s="30"/>
      <c r="CU211" s="30"/>
      <c r="CV211" s="30"/>
      <c r="CW211" s="30"/>
      <c r="CX211" s="30"/>
      <c r="CY211" s="30"/>
      <c r="CZ211" s="30"/>
      <c r="DA211" s="85"/>
      <c r="DB211" s="85"/>
      <c r="DC211" s="85"/>
      <c r="DE211" s="81"/>
      <c r="DF211" s="30"/>
      <c r="DG211" s="30"/>
      <c r="DI211" s="30"/>
      <c r="DJ211" s="30"/>
      <c r="DK211" s="30"/>
      <c r="DL211" s="30"/>
      <c r="DM211" s="30"/>
      <c r="DN211" s="30"/>
      <c r="DO211" s="30"/>
      <c r="DP211" s="85"/>
      <c r="DQ211" s="85"/>
      <c r="DR211" s="85"/>
      <c r="DT211" s="81"/>
      <c r="DU211" s="30"/>
      <c r="DV211" s="30"/>
      <c r="DX211" s="30"/>
      <c r="DY211" s="30"/>
      <c r="DZ211" s="30"/>
      <c r="EA211" s="30"/>
      <c r="EB211" s="30"/>
      <c r="EC211" s="30"/>
      <c r="ED211" s="30"/>
      <c r="EE211" s="85"/>
      <c r="EF211" s="85"/>
      <c r="EG211" s="85"/>
      <c r="EI211" s="81"/>
      <c r="EJ211" s="30"/>
      <c r="EK211" s="30"/>
      <c r="EM211" s="30"/>
      <c r="EN211" s="30"/>
      <c r="EO211" s="30"/>
      <c r="EP211" s="30"/>
      <c r="EQ211" s="30"/>
      <c r="ER211" s="30"/>
      <c r="ES211" s="30"/>
      <c r="ET211" s="85"/>
      <c r="EU211" s="85"/>
      <c r="EV211" s="85"/>
    </row>
    <row r="212" spans="2:152">
      <c r="B212" s="11">
        <v>0.87</v>
      </c>
      <c r="C212" s="16"/>
      <c r="D212" s="16"/>
      <c r="E212" s="8"/>
      <c r="F212" s="27">
        <f t="shared" si="40"/>
        <v>1.5394909739734288</v>
      </c>
      <c r="G212" s="27">
        <f t="shared" si="41"/>
        <v>-1.2051993611827838</v>
      </c>
      <c r="H212" s="27">
        <f t="shared" si="42"/>
        <v>-1.4604834532887965E-2</v>
      </c>
      <c r="I212" s="27">
        <f t="shared" si="43"/>
        <v>83.52057621528337</v>
      </c>
      <c r="J212" s="27">
        <f t="shared" si="44"/>
        <v>0.48100478240578753</v>
      </c>
      <c r="K212" s="27">
        <f t="shared" si="45"/>
        <v>8.4021775699265078</v>
      </c>
      <c r="L212" s="27">
        <f t="shared" si="46"/>
        <v>11.395585556650428</v>
      </c>
      <c r="M212" s="17">
        <f t="shared" si="47"/>
        <v>0.38943393035961643</v>
      </c>
      <c r="N212" s="17">
        <f t="shared" si="48"/>
        <v>0.38943393035961643</v>
      </c>
      <c r="O212" s="17">
        <f t="shared" si="49"/>
        <v>0.38943393035961643</v>
      </c>
      <c r="P212" s="17">
        <f>IF(ISERROR(O212),0,IF('R-AFC ISOTOPE'!$G$7='R-AFC ISOTOPE_CONTROL'!B212,'R-AFC ISOTOPE_CONTROL'!O212,0))</f>
        <v>0</v>
      </c>
      <c r="S212" s="81"/>
      <c r="T212" s="30"/>
      <c r="U212" s="30"/>
      <c r="W212" s="30"/>
      <c r="X212" s="30"/>
      <c r="Y212" s="30"/>
      <c r="Z212" s="30"/>
      <c r="AA212" s="30"/>
      <c r="AB212" s="30"/>
      <c r="AC212" s="30"/>
      <c r="AD212" s="85"/>
      <c r="AE212" s="85"/>
      <c r="AF212" s="85"/>
      <c r="AH212" s="81"/>
      <c r="AI212" s="30"/>
      <c r="AJ212" s="30"/>
      <c r="AL212" s="30"/>
      <c r="AM212" s="30"/>
      <c r="AN212" s="30"/>
      <c r="AO212" s="30"/>
      <c r="AP212" s="30"/>
      <c r="AQ212" s="30"/>
      <c r="AR212" s="30"/>
      <c r="AS212" s="85"/>
      <c r="AT212" s="85"/>
      <c r="AU212" s="85"/>
      <c r="AW212" s="81"/>
      <c r="AX212" s="30"/>
      <c r="AY212" s="30"/>
      <c r="BA212" s="30"/>
      <c r="BB212" s="30"/>
      <c r="BC212" s="30"/>
      <c r="BD212" s="30"/>
      <c r="BE212" s="30"/>
      <c r="BF212" s="30"/>
      <c r="BG212" s="30"/>
      <c r="BH212" s="85"/>
      <c r="BI212" s="85"/>
      <c r="BJ212" s="85"/>
      <c r="BL212" s="81"/>
      <c r="BM212" s="30"/>
      <c r="BN212" s="30"/>
      <c r="BP212" s="30"/>
      <c r="BQ212" s="30"/>
      <c r="BR212" s="30"/>
      <c r="BS212" s="30"/>
      <c r="BT212" s="30"/>
      <c r="BU212" s="30"/>
      <c r="BV212" s="30"/>
      <c r="BW212" s="85"/>
      <c r="BX212" s="85"/>
      <c r="BY212" s="85"/>
      <c r="CA212" s="81"/>
      <c r="CB212" s="30"/>
      <c r="CC212" s="30"/>
      <c r="CE212" s="30"/>
      <c r="CF212" s="30"/>
      <c r="CG212" s="30"/>
      <c r="CH212" s="30"/>
      <c r="CI212" s="30"/>
      <c r="CJ212" s="30"/>
      <c r="CK212" s="30"/>
      <c r="CL212" s="85"/>
      <c r="CM212" s="85"/>
      <c r="CN212" s="85"/>
      <c r="CP212" s="81"/>
      <c r="CQ212" s="30"/>
      <c r="CR212" s="30"/>
      <c r="CT212" s="30"/>
      <c r="CU212" s="30"/>
      <c r="CV212" s="30"/>
      <c r="CW212" s="30"/>
      <c r="CX212" s="30"/>
      <c r="CY212" s="30"/>
      <c r="CZ212" s="30"/>
      <c r="DA212" s="85"/>
      <c r="DB212" s="85"/>
      <c r="DC212" s="85"/>
      <c r="DE212" s="81"/>
      <c r="DF212" s="30"/>
      <c r="DG212" s="30"/>
      <c r="DI212" s="30"/>
      <c r="DJ212" s="30"/>
      <c r="DK212" s="30"/>
      <c r="DL212" s="30"/>
      <c r="DM212" s="30"/>
      <c r="DN212" s="30"/>
      <c r="DO212" s="30"/>
      <c r="DP212" s="85"/>
      <c r="DQ212" s="85"/>
      <c r="DR212" s="85"/>
      <c r="DT212" s="81"/>
      <c r="DU212" s="30"/>
      <c r="DV212" s="30"/>
      <c r="DX212" s="30"/>
      <c r="DY212" s="30"/>
      <c r="DZ212" s="30"/>
      <c r="EA212" s="30"/>
      <c r="EB212" s="30"/>
      <c r="EC212" s="30"/>
      <c r="ED212" s="30"/>
      <c r="EE212" s="85"/>
      <c r="EF212" s="85"/>
      <c r="EG212" s="85"/>
      <c r="EI212" s="81"/>
      <c r="EJ212" s="30"/>
      <c r="EK212" s="30"/>
      <c r="EM212" s="30"/>
      <c r="EN212" s="30"/>
      <c r="EO212" s="30"/>
      <c r="EP212" s="30"/>
      <c r="EQ212" s="30"/>
      <c r="ER212" s="30"/>
      <c r="ES212" s="30"/>
      <c r="ET212" s="85"/>
      <c r="EU212" s="85"/>
      <c r="EV212" s="85"/>
    </row>
    <row r="213" spans="2:152">
      <c r="B213" s="11">
        <v>0.88</v>
      </c>
      <c r="C213" s="16"/>
      <c r="D213" s="16"/>
      <c r="E213" s="8"/>
      <c r="F213" s="27">
        <f t="shared" si="40"/>
        <v>1.5301105102296699</v>
      </c>
      <c r="G213" s="27">
        <f t="shared" si="41"/>
        <v>-1.2154574435414653</v>
      </c>
      <c r="H213" s="27">
        <f t="shared" si="42"/>
        <v>-1.4772706194185527E-2</v>
      </c>
      <c r="I213" s="27">
        <f t="shared" si="43"/>
        <v>83.277236652812064</v>
      </c>
      <c r="J213" s="27">
        <f t="shared" si="44"/>
        <v>0.48538494043940089</v>
      </c>
      <c r="K213" s="27">
        <f t="shared" si="45"/>
        <v>8.5544983433352488</v>
      </c>
      <c r="L213" s="27">
        <f t="shared" si="46"/>
        <v>11.559217314649894</v>
      </c>
      <c r="M213" s="17">
        <f t="shared" si="47"/>
        <v>0.39005284887476765</v>
      </c>
      <c r="N213" s="17">
        <f t="shared" si="48"/>
        <v>0.39005284887476765</v>
      </c>
      <c r="O213" s="17">
        <f t="shared" si="49"/>
        <v>0.39005284887476765</v>
      </c>
      <c r="P213" s="17">
        <f>IF(ISERROR(O213),0,IF('R-AFC ISOTOPE'!$G$7='R-AFC ISOTOPE_CONTROL'!B213,'R-AFC ISOTOPE_CONTROL'!O213,0))</f>
        <v>0</v>
      </c>
      <c r="S213" s="81"/>
      <c r="T213" s="30"/>
      <c r="U213" s="30"/>
      <c r="W213" s="30"/>
      <c r="X213" s="30"/>
      <c r="Y213" s="30"/>
      <c r="Z213" s="30"/>
      <c r="AA213" s="30"/>
      <c r="AB213" s="30"/>
      <c r="AC213" s="30"/>
      <c r="AD213" s="85"/>
      <c r="AE213" s="85"/>
      <c r="AF213" s="85"/>
      <c r="AH213" s="81"/>
      <c r="AI213" s="30"/>
      <c r="AJ213" s="30"/>
      <c r="AL213" s="30"/>
      <c r="AM213" s="30"/>
      <c r="AN213" s="30"/>
      <c r="AO213" s="30"/>
      <c r="AP213" s="30"/>
      <c r="AQ213" s="30"/>
      <c r="AR213" s="30"/>
      <c r="AS213" s="85"/>
      <c r="AT213" s="85"/>
      <c r="AU213" s="85"/>
      <c r="AW213" s="81"/>
      <c r="AX213" s="30"/>
      <c r="AY213" s="30"/>
      <c r="BA213" s="30"/>
      <c r="BB213" s="30"/>
      <c r="BC213" s="30"/>
      <c r="BD213" s="30"/>
      <c r="BE213" s="30"/>
      <c r="BF213" s="30"/>
      <c r="BG213" s="30"/>
      <c r="BH213" s="85"/>
      <c r="BI213" s="85"/>
      <c r="BJ213" s="85"/>
      <c r="BL213" s="81"/>
      <c r="BM213" s="30"/>
      <c r="BN213" s="30"/>
      <c r="BP213" s="30"/>
      <c r="BQ213" s="30"/>
      <c r="BR213" s="30"/>
      <c r="BS213" s="30"/>
      <c r="BT213" s="30"/>
      <c r="BU213" s="30"/>
      <c r="BV213" s="30"/>
      <c r="BW213" s="85"/>
      <c r="BX213" s="85"/>
      <c r="BY213" s="85"/>
      <c r="CA213" s="81"/>
      <c r="CB213" s="30"/>
      <c r="CC213" s="30"/>
      <c r="CE213" s="30"/>
      <c r="CF213" s="30"/>
      <c r="CG213" s="30"/>
      <c r="CH213" s="30"/>
      <c r="CI213" s="30"/>
      <c r="CJ213" s="30"/>
      <c r="CK213" s="30"/>
      <c r="CL213" s="85"/>
      <c r="CM213" s="85"/>
      <c r="CN213" s="85"/>
      <c r="CP213" s="81"/>
      <c r="CQ213" s="30"/>
      <c r="CR213" s="30"/>
      <c r="CT213" s="30"/>
      <c r="CU213" s="30"/>
      <c r="CV213" s="30"/>
      <c r="CW213" s="30"/>
      <c r="CX213" s="30"/>
      <c r="CY213" s="30"/>
      <c r="CZ213" s="30"/>
      <c r="DA213" s="85"/>
      <c r="DB213" s="85"/>
      <c r="DC213" s="85"/>
      <c r="DE213" s="81"/>
      <c r="DF213" s="30"/>
      <c r="DG213" s="30"/>
      <c r="DI213" s="30"/>
      <c r="DJ213" s="30"/>
      <c r="DK213" s="30"/>
      <c r="DL213" s="30"/>
      <c r="DM213" s="30"/>
      <c r="DN213" s="30"/>
      <c r="DO213" s="30"/>
      <c r="DP213" s="85"/>
      <c r="DQ213" s="85"/>
      <c r="DR213" s="85"/>
      <c r="DT213" s="81"/>
      <c r="DU213" s="30"/>
      <c r="DV213" s="30"/>
      <c r="DX213" s="30"/>
      <c r="DY213" s="30"/>
      <c r="DZ213" s="30"/>
      <c r="EA213" s="30"/>
      <c r="EB213" s="30"/>
      <c r="EC213" s="30"/>
      <c r="ED213" s="30"/>
      <c r="EE213" s="85"/>
      <c r="EF213" s="85"/>
      <c r="EG213" s="85"/>
      <c r="EI213" s="81"/>
      <c r="EJ213" s="30"/>
      <c r="EK213" s="30"/>
      <c r="EM213" s="30"/>
      <c r="EN213" s="30"/>
      <c r="EO213" s="30"/>
      <c r="EP213" s="30"/>
      <c r="EQ213" s="30"/>
      <c r="ER213" s="30"/>
      <c r="ES213" s="30"/>
      <c r="ET213" s="85"/>
      <c r="EU213" s="85"/>
      <c r="EV213" s="85"/>
    </row>
    <row r="214" spans="2:152">
      <c r="B214" s="11">
        <v>0.89</v>
      </c>
      <c r="C214" s="16"/>
      <c r="D214" s="16"/>
      <c r="E214" s="8"/>
      <c r="F214" s="27">
        <f t="shared" si="40"/>
        <v>1.5210506793117469</v>
      </c>
      <c r="G214" s="27">
        <f t="shared" si="41"/>
        <v>-1.2257155259001471</v>
      </c>
      <c r="H214" s="27">
        <f t="shared" si="42"/>
        <v>-1.4940577855483091E-2</v>
      </c>
      <c r="I214" s="27">
        <f t="shared" si="43"/>
        <v>83.039365395115411</v>
      </c>
      <c r="J214" s="27">
        <f t="shared" si="44"/>
        <v>0.48969178289382254</v>
      </c>
      <c r="K214" s="27">
        <f t="shared" si="45"/>
        <v>8.706780870066229</v>
      </c>
      <c r="L214" s="27">
        <f t="shared" si="46"/>
        <v>11.722404277721013</v>
      </c>
      <c r="M214" s="17">
        <f t="shared" si="47"/>
        <v>0.39065475757359014</v>
      </c>
      <c r="N214" s="17">
        <f t="shared" si="48"/>
        <v>0.39065475757359014</v>
      </c>
      <c r="O214" s="17">
        <f t="shared" si="49"/>
        <v>0.39065475757359014</v>
      </c>
      <c r="P214" s="17">
        <f>IF(ISERROR(O214),0,IF('R-AFC ISOTOPE'!$G$7='R-AFC ISOTOPE_CONTROL'!B214,'R-AFC ISOTOPE_CONTROL'!O214,0))</f>
        <v>0</v>
      </c>
      <c r="S214" s="81"/>
      <c r="T214" s="30"/>
      <c r="U214" s="30"/>
      <c r="W214" s="30"/>
      <c r="X214" s="30"/>
      <c r="Y214" s="30"/>
      <c r="Z214" s="30"/>
      <c r="AA214" s="30"/>
      <c r="AB214" s="30"/>
      <c r="AC214" s="30"/>
      <c r="AD214" s="85"/>
      <c r="AE214" s="85"/>
      <c r="AF214" s="85"/>
      <c r="AH214" s="81"/>
      <c r="AI214" s="30"/>
      <c r="AJ214" s="30"/>
      <c r="AL214" s="30"/>
      <c r="AM214" s="30"/>
      <c r="AN214" s="30"/>
      <c r="AO214" s="30"/>
      <c r="AP214" s="30"/>
      <c r="AQ214" s="30"/>
      <c r="AR214" s="30"/>
      <c r="AS214" s="85"/>
      <c r="AT214" s="85"/>
      <c r="AU214" s="85"/>
      <c r="AW214" s="81"/>
      <c r="AX214" s="30"/>
      <c r="AY214" s="30"/>
      <c r="BA214" s="30"/>
      <c r="BB214" s="30"/>
      <c r="BC214" s="30"/>
      <c r="BD214" s="30"/>
      <c r="BE214" s="30"/>
      <c r="BF214" s="30"/>
      <c r="BG214" s="30"/>
      <c r="BH214" s="85"/>
      <c r="BI214" s="85"/>
      <c r="BJ214" s="85"/>
      <c r="BL214" s="81"/>
      <c r="BM214" s="30"/>
      <c r="BN214" s="30"/>
      <c r="BP214" s="30"/>
      <c r="BQ214" s="30"/>
      <c r="BR214" s="30"/>
      <c r="BS214" s="30"/>
      <c r="BT214" s="30"/>
      <c r="BU214" s="30"/>
      <c r="BV214" s="30"/>
      <c r="BW214" s="85"/>
      <c r="BX214" s="85"/>
      <c r="BY214" s="85"/>
      <c r="CA214" s="81"/>
      <c r="CB214" s="30"/>
      <c r="CC214" s="30"/>
      <c r="CE214" s="30"/>
      <c r="CF214" s="30"/>
      <c r="CG214" s="30"/>
      <c r="CH214" s="30"/>
      <c r="CI214" s="30"/>
      <c r="CJ214" s="30"/>
      <c r="CK214" s="30"/>
      <c r="CL214" s="85"/>
      <c r="CM214" s="85"/>
      <c r="CN214" s="85"/>
      <c r="CP214" s="81"/>
      <c r="CQ214" s="30"/>
      <c r="CR214" s="30"/>
      <c r="CT214" s="30"/>
      <c r="CU214" s="30"/>
      <c r="CV214" s="30"/>
      <c r="CW214" s="30"/>
      <c r="CX214" s="30"/>
      <c r="CY214" s="30"/>
      <c r="CZ214" s="30"/>
      <c r="DA214" s="85"/>
      <c r="DB214" s="85"/>
      <c r="DC214" s="85"/>
      <c r="DE214" s="81"/>
      <c r="DF214" s="30"/>
      <c r="DG214" s="30"/>
      <c r="DI214" s="30"/>
      <c r="DJ214" s="30"/>
      <c r="DK214" s="30"/>
      <c r="DL214" s="30"/>
      <c r="DM214" s="30"/>
      <c r="DN214" s="30"/>
      <c r="DO214" s="30"/>
      <c r="DP214" s="85"/>
      <c r="DQ214" s="85"/>
      <c r="DR214" s="85"/>
      <c r="DT214" s="81"/>
      <c r="DU214" s="30"/>
      <c r="DV214" s="30"/>
      <c r="DX214" s="30"/>
      <c r="DY214" s="30"/>
      <c r="DZ214" s="30"/>
      <c r="EA214" s="30"/>
      <c r="EB214" s="30"/>
      <c r="EC214" s="30"/>
      <c r="ED214" s="30"/>
      <c r="EE214" s="85"/>
      <c r="EF214" s="85"/>
      <c r="EG214" s="85"/>
      <c r="EI214" s="81"/>
      <c r="EJ214" s="30"/>
      <c r="EK214" s="30"/>
      <c r="EM214" s="30"/>
      <c r="EN214" s="30"/>
      <c r="EO214" s="30"/>
      <c r="EP214" s="30"/>
      <c r="EQ214" s="30"/>
      <c r="ER214" s="30"/>
      <c r="ES214" s="30"/>
      <c r="ET214" s="85"/>
      <c r="EU214" s="85"/>
      <c r="EV214" s="85"/>
    </row>
    <row r="215" spans="2:152">
      <c r="B215" s="11">
        <v>0.9</v>
      </c>
      <c r="C215" s="16"/>
      <c r="D215" s="16"/>
      <c r="E215" s="8"/>
      <c r="F215" s="27">
        <f t="shared" si="40"/>
        <v>1.512295318168948</v>
      </c>
      <c r="G215" s="27">
        <f t="shared" si="41"/>
        <v>-1.2359736082588288</v>
      </c>
      <c r="H215" s="27">
        <f t="shared" si="42"/>
        <v>-1.5108449516780654E-2</v>
      </c>
      <c r="I215" s="27">
        <f t="shared" si="43"/>
        <v>82.80678016536757</v>
      </c>
      <c r="J215" s="27">
        <f t="shared" si="44"/>
        <v>0.49392713523824816</v>
      </c>
      <c r="K215" s="27">
        <f t="shared" si="45"/>
        <v>8.8590018870348768</v>
      </c>
      <c r="L215" s="27">
        <f t="shared" si="46"/>
        <v>11.885131759243771</v>
      </c>
      <c r="M215" s="17">
        <f t="shared" si="47"/>
        <v>0.39124028953743117</v>
      </c>
      <c r="N215" s="17">
        <f t="shared" si="48"/>
        <v>0.39124028953743117</v>
      </c>
      <c r="O215" s="17">
        <f t="shared" si="49"/>
        <v>0.39124028953743117</v>
      </c>
      <c r="P215" s="17">
        <f>IF(ISERROR(O215),0,IF('R-AFC ISOTOPE'!$G$7='R-AFC ISOTOPE_CONTROL'!B215,'R-AFC ISOTOPE_CONTROL'!O215,0))</f>
        <v>0</v>
      </c>
      <c r="S215" s="81"/>
      <c r="T215" s="30"/>
      <c r="U215" s="30"/>
      <c r="W215" s="30"/>
      <c r="X215" s="30"/>
      <c r="Y215" s="30"/>
      <c r="Z215" s="30"/>
      <c r="AA215" s="30"/>
      <c r="AB215" s="30"/>
      <c r="AC215" s="30"/>
      <c r="AD215" s="85"/>
      <c r="AE215" s="85"/>
      <c r="AF215" s="85"/>
      <c r="AH215" s="81"/>
      <c r="AI215" s="30"/>
      <c r="AJ215" s="30"/>
      <c r="AL215" s="30"/>
      <c r="AM215" s="30"/>
      <c r="AN215" s="30"/>
      <c r="AO215" s="30"/>
      <c r="AP215" s="30"/>
      <c r="AQ215" s="30"/>
      <c r="AR215" s="30"/>
      <c r="AS215" s="85"/>
      <c r="AT215" s="85"/>
      <c r="AU215" s="85"/>
      <c r="AW215" s="81"/>
      <c r="AX215" s="30"/>
      <c r="AY215" s="30"/>
      <c r="BA215" s="30"/>
      <c r="BB215" s="30"/>
      <c r="BC215" s="30"/>
      <c r="BD215" s="30"/>
      <c r="BE215" s="30"/>
      <c r="BF215" s="30"/>
      <c r="BG215" s="30"/>
      <c r="BH215" s="85"/>
      <c r="BI215" s="85"/>
      <c r="BJ215" s="85"/>
      <c r="BL215" s="81"/>
      <c r="BM215" s="30"/>
      <c r="BN215" s="30"/>
      <c r="BP215" s="30"/>
      <c r="BQ215" s="30"/>
      <c r="BR215" s="30"/>
      <c r="BS215" s="30"/>
      <c r="BT215" s="30"/>
      <c r="BU215" s="30"/>
      <c r="BV215" s="30"/>
      <c r="BW215" s="85"/>
      <c r="BX215" s="85"/>
      <c r="BY215" s="85"/>
      <c r="CA215" s="81"/>
      <c r="CB215" s="30"/>
      <c r="CC215" s="30"/>
      <c r="CE215" s="30"/>
      <c r="CF215" s="30"/>
      <c r="CG215" s="30"/>
      <c r="CH215" s="30"/>
      <c r="CI215" s="30"/>
      <c r="CJ215" s="30"/>
      <c r="CK215" s="30"/>
      <c r="CL215" s="85"/>
      <c r="CM215" s="85"/>
      <c r="CN215" s="85"/>
      <c r="CP215" s="81"/>
      <c r="CQ215" s="30"/>
      <c r="CR215" s="30"/>
      <c r="CT215" s="30"/>
      <c r="CU215" s="30"/>
      <c r="CV215" s="30"/>
      <c r="CW215" s="30"/>
      <c r="CX215" s="30"/>
      <c r="CY215" s="30"/>
      <c r="CZ215" s="30"/>
      <c r="DA215" s="85"/>
      <c r="DB215" s="85"/>
      <c r="DC215" s="85"/>
      <c r="DE215" s="81"/>
      <c r="DF215" s="30"/>
      <c r="DG215" s="30"/>
      <c r="DI215" s="30"/>
      <c r="DJ215" s="30"/>
      <c r="DK215" s="30"/>
      <c r="DL215" s="30"/>
      <c r="DM215" s="30"/>
      <c r="DN215" s="30"/>
      <c r="DO215" s="30"/>
      <c r="DP215" s="85"/>
      <c r="DQ215" s="85"/>
      <c r="DR215" s="85"/>
      <c r="DT215" s="81"/>
      <c r="DU215" s="30"/>
      <c r="DV215" s="30"/>
      <c r="DX215" s="30"/>
      <c r="DY215" s="30"/>
      <c r="DZ215" s="30"/>
      <c r="EA215" s="30"/>
      <c r="EB215" s="30"/>
      <c r="EC215" s="30"/>
      <c r="ED215" s="30"/>
      <c r="EE215" s="85"/>
      <c r="EF215" s="85"/>
      <c r="EG215" s="85"/>
      <c r="EI215" s="81"/>
      <c r="EJ215" s="30"/>
      <c r="EK215" s="30"/>
      <c r="EM215" s="30"/>
      <c r="EN215" s="30"/>
      <c r="EO215" s="30"/>
      <c r="EP215" s="30"/>
      <c r="EQ215" s="30"/>
      <c r="ER215" s="30"/>
      <c r="ES215" s="30"/>
      <c r="ET215" s="85"/>
      <c r="EU215" s="85"/>
      <c r="EV215" s="85"/>
    </row>
    <row r="216" spans="2:152">
      <c r="B216" s="11">
        <v>0.91</v>
      </c>
      <c r="C216" s="16"/>
      <c r="D216" s="16"/>
      <c r="E216" s="8"/>
      <c r="F216" s="27">
        <f t="shared" si="40"/>
        <v>1.5038293321668139</v>
      </c>
      <c r="G216" s="27">
        <f t="shared" si="41"/>
        <v>-1.2462316906175104</v>
      </c>
      <c r="H216" s="27">
        <f t="shared" si="42"/>
        <v>-1.5276321178078216E-2</v>
      </c>
      <c r="I216" s="27">
        <f t="shared" si="43"/>
        <v>82.579306698910884</v>
      </c>
      <c r="J216" s="27">
        <f t="shared" si="44"/>
        <v>0.49809276283807885</v>
      </c>
      <c r="K216" s="27">
        <f t="shared" si="45"/>
        <v>9.0111389847300991</v>
      </c>
      <c r="L216" s="27">
        <f t="shared" si="46"/>
        <v>12.047385789302192</v>
      </c>
      <c r="M216" s="17">
        <f t="shared" si="47"/>
        <v>0.39181004897470784</v>
      </c>
      <c r="N216" s="17">
        <f t="shared" si="48"/>
        <v>0.39181004897470784</v>
      </c>
      <c r="O216" s="17">
        <f t="shared" si="49"/>
        <v>0.39181004897470784</v>
      </c>
      <c r="P216" s="17">
        <f>IF(ISERROR(O216),0,IF('R-AFC ISOTOPE'!$G$7='R-AFC ISOTOPE_CONTROL'!B216,'R-AFC ISOTOPE_CONTROL'!O216,0))</f>
        <v>0</v>
      </c>
      <c r="S216" s="81"/>
      <c r="T216" s="30"/>
      <c r="U216" s="30"/>
      <c r="W216" s="30"/>
      <c r="X216" s="30"/>
      <c r="Y216" s="30"/>
      <c r="Z216" s="30"/>
      <c r="AA216" s="30"/>
      <c r="AB216" s="30"/>
      <c r="AC216" s="30"/>
      <c r="AD216" s="85"/>
      <c r="AE216" s="85"/>
      <c r="AF216" s="85"/>
      <c r="AH216" s="81"/>
      <c r="AI216" s="30"/>
      <c r="AJ216" s="30"/>
      <c r="AL216" s="30"/>
      <c r="AM216" s="30"/>
      <c r="AN216" s="30"/>
      <c r="AO216" s="30"/>
      <c r="AP216" s="30"/>
      <c r="AQ216" s="30"/>
      <c r="AR216" s="30"/>
      <c r="AS216" s="85"/>
      <c r="AT216" s="85"/>
      <c r="AU216" s="85"/>
      <c r="AW216" s="81"/>
      <c r="AX216" s="30"/>
      <c r="AY216" s="30"/>
      <c r="BA216" s="30"/>
      <c r="BB216" s="30"/>
      <c r="BC216" s="30"/>
      <c r="BD216" s="30"/>
      <c r="BE216" s="30"/>
      <c r="BF216" s="30"/>
      <c r="BG216" s="30"/>
      <c r="BH216" s="85"/>
      <c r="BI216" s="85"/>
      <c r="BJ216" s="85"/>
      <c r="BL216" s="81"/>
      <c r="BM216" s="30"/>
      <c r="BN216" s="30"/>
      <c r="BP216" s="30"/>
      <c r="BQ216" s="30"/>
      <c r="BR216" s="30"/>
      <c r="BS216" s="30"/>
      <c r="BT216" s="30"/>
      <c r="BU216" s="30"/>
      <c r="BV216" s="30"/>
      <c r="BW216" s="85"/>
      <c r="BX216" s="85"/>
      <c r="BY216" s="85"/>
      <c r="CA216" s="81"/>
      <c r="CB216" s="30"/>
      <c r="CC216" s="30"/>
      <c r="CE216" s="30"/>
      <c r="CF216" s="30"/>
      <c r="CG216" s="30"/>
      <c r="CH216" s="30"/>
      <c r="CI216" s="30"/>
      <c r="CJ216" s="30"/>
      <c r="CK216" s="30"/>
      <c r="CL216" s="85"/>
      <c r="CM216" s="85"/>
      <c r="CN216" s="85"/>
      <c r="CP216" s="81"/>
      <c r="CQ216" s="30"/>
      <c r="CR216" s="30"/>
      <c r="CT216" s="30"/>
      <c r="CU216" s="30"/>
      <c r="CV216" s="30"/>
      <c r="CW216" s="30"/>
      <c r="CX216" s="30"/>
      <c r="CY216" s="30"/>
      <c r="CZ216" s="30"/>
      <c r="DA216" s="85"/>
      <c r="DB216" s="85"/>
      <c r="DC216" s="85"/>
      <c r="DE216" s="81"/>
      <c r="DF216" s="30"/>
      <c r="DG216" s="30"/>
      <c r="DI216" s="30"/>
      <c r="DJ216" s="30"/>
      <c r="DK216" s="30"/>
      <c r="DL216" s="30"/>
      <c r="DM216" s="30"/>
      <c r="DN216" s="30"/>
      <c r="DO216" s="30"/>
      <c r="DP216" s="85"/>
      <c r="DQ216" s="85"/>
      <c r="DR216" s="85"/>
      <c r="DT216" s="81"/>
      <c r="DU216" s="30"/>
      <c r="DV216" s="30"/>
      <c r="DX216" s="30"/>
      <c r="DY216" s="30"/>
      <c r="DZ216" s="30"/>
      <c r="EA216" s="30"/>
      <c r="EB216" s="30"/>
      <c r="EC216" s="30"/>
      <c r="ED216" s="30"/>
      <c r="EE216" s="85"/>
      <c r="EF216" s="85"/>
      <c r="EG216" s="85"/>
      <c r="EI216" s="81"/>
      <c r="EJ216" s="30"/>
      <c r="EK216" s="30"/>
      <c r="EM216" s="30"/>
      <c r="EN216" s="30"/>
      <c r="EO216" s="30"/>
      <c r="EP216" s="30"/>
      <c r="EQ216" s="30"/>
      <c r="ER216" s="30"/>
      <c r="ES216" s="30"/>
      <c r="ET216" s="85"/>
      <c r="EU216" s="85"/>
      <c r="EV216" s="85"/>
    </row>
    <row r="217" spans="2:152">
      <c r="B217" s="11">
        <v>0.92</v>
      </c>
      <c r="C217" s="16"/>
      <c r="D217" s="16"/>
      <c r="E217" s="8"/>
      <c r="F217" s="27">
        <f t="shared" si="40"/>
        <v>1.495638608241237</v>
      </c>
      <c r="G217" s="27">
        <f t="shared" si="41"/>
        <v>-1.2564897729761921</v>
      </c>
      <c r="H217" s="27">
        <f t="shared" si="42"/>
        <v>-1.544419283937578E-2</v>
      </c>
      <c r="I217" s="27">
        <f t="shared" si="43"/>
        <v>82.35677830781195</v>
      </c>
      <c r="J217" s="27">
        <f t="shared" si="44"/>
        <v>0.50219037340838224</v>
      </c>
      <c r="K217" s="27">
        <f t="shared" si="45"/>
        <v>9.163170582903069</v>
      </c>
      <c r="L217" s="27">
        <f t="shared" si="46"/>
        <v>12.209153089448954</v>
      </c>
      <c r="M217" s="17">
        <f t="shared" si="47"/>
        <v>0.39236461274465861</v>
      </c>
      <c r="N217" s="17">
        <f t="shared" si="48"/>
        <v>0.39236461274465861</v>
      </c>
      <c r="O217" s="17">
        <f t="shared" si="49"/>
        <v>0.39236461274465861</v>
      </c>
      <c r="P217" s="17">
        <f>IF(ISERROR(O217),0,IF('R-AFC ISOTOPE'!$G$7='R-AFC ISOTOPE_CONTROL'!B217,'R-AFC ISOTOPE_CONTROL'!O217,0))</f>
        <v>0</v>
      </c>
      <c r="S217" s="81"/>
      <c r="T217" s="30"/>
      <c r="U217" s="30"/>
      <c r="W217" s="30"/>
      <c r="X217" s="30"/>
      <c r="Y217" s="30"/>
      <c r="Z217" s="30"/>
      <c r="AA217" s="30"/>
      <c r="AB217" s="30"/>
      <c r="AC217" s="30"/>
      <c r="AD217" s="85"/>
      <c r="AE217" s="85"/>
      <c r="AF217" s="85"/>
      <c r="AH217" s="81"/>
      <c r="AI217" s="30"/>
      <c r="AJ217" s="30"/>
      <c r="AL217" s="30"/>
      <c r="AM217" s="30"/>
      <c r="AN217" s="30"/>
      <c r="AO217" s="30"/>
      <c r="AP217" s="30"/>
      <c r="AQ217" s="30"/>
      <c r="AR217" s="30"/>
      <c r="AS217" s="85"/>
      <c r="AT217" s="85"/>
      <c r="AU217" s="85"/>
      <c r="AW217" s="81"/>
      <c r="AX217" s="30"/>
      <c r="AY217" s="30"/>
      <c r="BA217" s="30"/>
      <c r="BB217" s="30"/>
      <c r="BC217" s="30"/>
      <c r="BD217" s="30"/>
      <c r="BE217" s="30"/>
      <c r="BF217" s="30"/>
      <c r="BG217" s="30"/>
      <c r="BH217" s="85"/>
      <c r="BI217" s="85"/>
      <c r="BJ217" s="85"/>
      <c r="BL217" s="81"/>
      <c r="BM217" s="30"/>
      <c r="BN217" s="30"/>
      <c r="BP217" s="30"/>
      <c r="BQ217" s="30"/>
      <c r="BR217" s="30"/>
      <c r="BS217" s="30"/>
      <c r="BT217" s="30"/>
      <c r="BU217" s="30"/>
      <c r="BV217" s="30"/>
      <c r="BW217" s="85"/>
      <c r="BX217" s="85"/>
      <c r="BY217" s="85"/>
      <c r="CA217" s="81"/>
      <c r="CB217" s="30"/>
      <c r="CC217" s="30"/>
      <c r="CE217" s="30"/>
      <c r="CF217" s="30"/>
      <c r="CG217" s="30"/>
      <c r="CH217" s="30"/>
      <c r="CI217" s="30"/>
      <c r="CJ217" s="30"/>
      <c r="CK217" s="30"/>
      <c r="CL217" s="85"/>
      <c r="CM217" s="85"/>
      <c r="CN217" s="85"/>
      <c r="CP217" s="81"/>
      <c r="CQ217" s="30"/>
      <c r="CR217" s="30"/>
      <c r="CT217" s="30"/>
      <c r="CU217" s="30"/>
      <c r="CV217" s="30"/>
      <c r="CW217" s="30"/>
      <c r="CX217" s="30"/>
      <c r="CY217" s="30"/>
      <c r="CZ217" s="30"/>
      <c r="DA217" s="85"/>
      <c r="DB217" s="85"/>
      <c r="DC217" s="85"/>
      <c r="DE217" s="81"/>
      <c r="DF217" s="30"/>
      <c r="DG217" s="30"/>
      <c r="DI217" s="30"/>
      <c r="DJ217" s="30"/>
      <c r="DK217" s="30"/>
      <c r="DL217" s="30"/>
      <c r="DM217" s="30"/>
      <c r="DN217" s="30"/>
      <c r="DO217" s="30"/>
      <c r="DP217" s="85"/>
      <c r="DQ217" s="85"/>
      <c r="DR217" s="85"/>
      <c r="DT217" s="81"/>
      <c r="DU217" s="30"/>
      <c r="DV217" s="30"/>
      <c r="DX217" s="30"/>
      <c r="DY217" s="30"/>
      <c r="DZ217" s="30"/>
      <c r="EA217" s="30"/>
      <c r="EB217" s="30"/>
      <c r="EC217" s="30"/>
      <c r="ED217" s="30"/>
      <c r="EE217" s="85"/>
      <c r="EF217" s="85"/>
      <c r="EG217" s="85"/>
      <c r="EI217" s="81"/>
      <c r="EJ217" s="30"/>
      <c r="EK217" s="30"/>
      <c r="EM217" s="30"/>
      <c r="EN217" s="30"/>
      <c r="EO217" s="30"/>
      <c r="EP217" s="30"/>
      <c r="EQ217" s="30"/>
      <c r="ER217" s="30"/>
      <c r="ES217" s="30"/>
      <c r="ET217" s="85"/>
      <c r="EU217" s="85"/>
      <c r="EV217" s="85"/>
    </row>
    <row r="218" spans="2:152">
      <c r="B218" s="11">
        <v>0.93</v>
      </c>
      <c r="C218" s="16"/>
      <c r="D218" s="16"/>
      <c r="E218" s="8"/>
      <c r="F218" s="27">
        <f t="shared" si="40"/>
        <v>1.4877099363881394</v>
      </c>
      <c r="G218" s="27">
        <f t="shared" si="41"/>
        <v>-1.2667478553348739</v>
      </c>
      <c r="H218" s="27">
        <f t="shared" si="42"/>
        <v>-1.5612064500673343E-2</v>
      </c>
      <c r="I218" s="27">
        <f t="shared" si="43"/>
        <v>82.139035473510859</v>
      </c>
      <c r="J218" s="27">
        <f t="shared" si="44"/>
        <v>0.50622161934814458</v>
      </c>
      <c r="K218" s="27">
        <f t="shared" si="45"/>
        <v>9.3150759066944584</v>
      </c>
      <c r="L218" s="27">
        <f t="shared" si="46"/>
        <v>12.370421048210963</v>
      </c>
      <c r="M218" s="17">
        <f t="shared" si="47"/>
        <v>0.39290453179177581</v>
      </c>
      <c r="N218" s="17">
        <f t="shared" si="48"/>
        <v>0.39290453179177581</v>
      </c>
      <c r="O218" s="17">
        <f t="shared" si="49"/>
        <v>0.39290453179177581</v>
      </c>
      <c r="P218" s="17">
        <f>IF(ISERROR(O218),0,IF('R-AFC ISOTOPE'!$G$7='R-AFC ISOTOPE_CONTROL'!B218,'R-AFC ISOTOPE_CONTROL'!O218,0))</f>
        <v>0</v>
      </c>
      <c r="S218" s="81"/>
      <c r="T218" s="30"/>
      <c r="U218" s="30"/>
      <c r="W218" s="30"/>
      <c r="X218" s="30"/>
      <c r="Y218" s="30"/>
      <c r="Z218" s="30"/>
      <c r="AA218" s="30"/>
      <c r="AB218" s="30"/>
      <c r="AC218" s="30"/>
      <c r="AD218" s="85"/>
      <c r="AE218" s="85"/>
      <c r="AF218" s="85"/>
      <c r="AH218" s="81"/>
      <c r="AI218" s="30"/>
      <c r="AJ218" s="30"/>
      <c r="AL218" s="30"/>
      <c r="AM218" s="30"/>
      <c r="AN218" s="30"/>
      <c r="AO218" s="30"/>
      <c r="AP218" s="30"/>
      <c r="AQ218" s="30"/>
      <c r="AR218" s="30"/>
      <c r="AS218" s="85"/>
      <c r="AT218" s="85"/>
      <c r="AU218" s="85"/>
      <c r="AW218" s="81"/>
      <c r="AX218" s="30"/>
      <c r="AY218" s="30"/>
      <c r="BA218" s="30"/>
      <c r="BB218" s="30"/>
      <c r="BC218" s="30"/>
      <c r="BD218" s="30"/>
      <c r="BE218" s="30"/>
      <c r="BF218" s="30"/>
      <c r="BG218" s="30"/>
      <c r="BH218" s="85"/>
      <c r="BI218" s="85"/>
      <c r="BJ218" s="85"/>
      <c r="BL218" s="81"/>
      <c r="BM218" s="30"/>
      <c r="BN218" s="30"/>
      <c r="BP218" s="30"/>
      <c r="BQ218" s="30"/>
      <c r="BR218" s="30"/>
      <c r="BS218" s="30"/>
      <c r="BT218" s="30"/>
      <c r="BU218" s="30"/>
      <c r="BV218" s="30"/>
      <c r="BW218" s="85"/>
      <c r="BX218" s="85"/>
      <c r="BY218" s="85"/>
      <c r="CA218" s="81"/>
      <c r="CB218" s="30"/>
      <c r="CC218" s="30"/>
      <c r="CE218" s="30"/>
      <c r="CF218" s="30"/>
      <c r="CG218" s="30"/>
      <c r="CH218" s="30"/>
      <c r="CI218" s="30"/>
      <c r="CJ218" s="30"/>
      <c r="CK218" s="30"/>
      <c r="CL218" s="85"/>
      <c r="CM218" s="85"/>
      <c r="CN218" s="85"/>
      <c r="CP218" s="81"/>
      <c r="CQ218" s="30"/>
      <c r="CR218" s="30"/>
      <c r="CT218" s="30"/>
      <c r="CU218" s="30"/>
      <c r="CV218" s="30"/>
      <c r="CW218" s="30"/>
      <c r="CX218" s="30"/>
      <c r="CY218" s="30"/>
      <c r="CZ218" s="30"/>
      <c r="DA218" s="85"/>
      <c r="DB218" s="85"/>
      <c r="DC218" s="85"/>
      <c r="DE218" s="81"/>
      <c r="DF218" s="30"/>
      <c r="DG218" s="30"/>
      <c r="DI218" s="30"/>
      <c r="DJ218" s="30"/>
      <c r="DK218" s="30"/>
      <c r="DL218" s="30"/>
      <c r="DM218" s="30"/>
      <c r="DN218" s="30"/>
      <c r="DO218" s="30"/>
      <c r="DP218" s="85"/>
      <c r="DQ218" s="85"/>
      <c r="DR218" s="85"/>
      <c r="DT218" s="81"/>
      <c r="DU218" s="30"/>
      <c r="DV218" s="30"/>
      <c r="DX218" s="30"/>
      <c r="DY218" s="30"/>
      <c r="DZ218" s="30"/>
      <c r="EA218" s="30"/>
      <c r="EB218" s="30"/>
      <c r="EC218" s="30"/>
      <c r="ED218" s="30"/>
      <c r="EE218" s="85"/>
      <c r="EF218" s="85"/>
      <c r="EG218" s="85"/>
      <c r="EI218" s="81"/>
      <c r="EJ218" s="30"/>
      <c r="EK218" s="30"/>
      <c r="EM218" s="30"/>
      <c r="EN218" s="30"/>
      <c r="EO218" s="30"/>
      <c r="EP218" s="30"/>
      <c r="EQ218" s="30"/>
      <c r="ER218" s="30"/>
      <c r="ES218" s="30"/>
      <c r="ET218" s="85"/>
      <c r="EU218" s="85"/>
      <c r="EV218" s="85"/>
    </row>
    <row r="219" spans="2:152">
      <c r="B219" s="11">
        <v>0.94</v>
      </c>
      <c r="C219" s="16"/>
      <c r="D219" s="16"/>
      <c r="E219" s="8"/>
      <c r="F219" s="27">
        <f t="shared" si="40"/>
        <v>1.4800309385700281</v>
      </c>
      <c r="G219" s="27">
        <f t="shared" si="41"/>
        <v>-1.2770059376935554</v>
      </c>
      <c r="H219" s="27">
        <f t="shared" si="42"/>
        <v>-1.5779936161970903E-2</v>
      </c>
      <c r="I219" s="27">
        <f t="shared" si="43"/>
        <v>81.925925465471479</v>
      </c>
      <c r="J219" s="27">
        <f t="shared" si="44"/>
        <v>0.51018809996201842</v>
      </c>
      <c r="K219" s="27">
        <f t="shared" si="45"/>
        <v>9.4668349632152626</v>
      </c>
      <c r="L219" s="27">
        <f t="shared" si="46"/>
        <v>12.531177697325015</v>
      </c>
      <c r="M219" s="17">
        <f t="shared" si="47"/>
        <v>0.39343033249652704</v>
      </c>
      <c r="N219" s="17">
        <f t="shared" si="48"/>
        <v>0.39343033249652704</v>
      </c>
      <c r="O219" s="17">
        <f t="shared" si="49"/>
        <v>0.39343033249652704</v>
      </c>
      <c r="P219" s="17">
        <f>IF(ISERROR(O219),0,IF('R-AFC ISOTOPE'!$G$7='R-AFC ISOTOPE_CONTROL'!B219,'R-AFC ISOTOPE_CONTROL'!O219,0))</f>
        <v>0</v>
      </c>
      <c r="S219" s="81"/>
      <c r="T219" s="30"/>
      <c r="U219" s="30"/>
      <c r="W219" s="30"/>
      <c r="X219" s="30"/>
      <c r="Y219" s="30"/>
      <c r="Z219" s="30"/>
      <c r="AA219" s="30"/>
      <c r="AB219" s="30"/>
      <c r="AC219" s="30"/>
      <c r="AD219" s="85"/>
      <c r="AE219" s="85"/>
      <c r="AF219" s="85"/>
      <c r="AH219" s="81"/>
      <c r="AI219" s="30"/>
      <c r="AJ219" s="30"/>
      <c r="AL219" s="30"/>
      <c r="AM219" s="30"/>
      <c r="AN219" s="30"/>
      <c r="AO219" s="30"/>
      <c r="AP219" s="30"/>
      <c r="AQ219" s="30"/>
      <c r="AR219" s="30"/>
      <c r="AS219" s="85"/>
      <c r="AT219" s="85"/>
      <c r="AU219" s="85"/>
      <c r="AW219" s="81"/>
      <c r="AX219" s="30"/>
      <c r="AY219" s="30"/>
      <c r="BA219" s="30"/>
      <c r="BB219" s="30"/>
      <c r="BC219" s="30"/>
      <c r="BD219" s="30"/>
      <c r="BE219" s="30"/>
      <c r="BF219" s="30"/>
      <c r="BG219" s="30"/>
      <c r="BH219" s="85"/>
      <c r="BI219" s="85"/>
      <c r="BJ219" s="85"/>
      <c r="BL219" s="81"/>
      <c r="BM219" s="30"/>
      <c r="BN219" s="30"/>
      <c r="BP219" s="30"/>
      <c r="BQ219" s="30"/>
      <c r="BR219" s="30"/>
      <c r="BS219" s="30"/>
      <c r="BT219" s="30"/>
      <c r="BU219" s="30"/>
      <c r="BV219" s="30"/>
      <c r="BW219" s="85"/>
      <c r="BX219" s="85"/>
      <c r="BY219" s="85"/>
      <c r="CA219" s="81"/>
      <c r="CB219" s="30"/>
      <c r="CC219" s="30"/>
      <c r="CE219" s="30"/>
      <c r="CF219" s="30"/>
      <c r="CG219" s="30"/>
      <c r="CH219" s="30"/>
      <c r="CI219" s="30"/>
      <c r="CJ219" s="30"/>
      <c r="CK219" s="30"/>
      <c r="CL219" s="85"/>
      <c r="CM219" s="85"/>
      <c r="CN219" s="85"/>
      <c r="CP219" s="81"/>
      <c r="CQ219" s="30"/>
      <c r="CR219" s="30"/>
      <c r="CT219" s="30"/>
      <c r="CU219" s="30"/>
      <c r="CV219" s="30"/>
      <c r="CW219" s="30"/>
      <c r="CX219" s="30"/>
      <c r="CY219" s="30"/>
      <c r="CZ219" s="30"/>
      <c r="DA219" s="85"/>
      <c r="DB219" s="85"/>
      <c r="DC219" s="85"/>
      <c r="DE219" s="81"/>
      <c r="DF219" s="30"/>
      <c r="DG219" s="30"/>
      <c r="DI219" s="30"/>
      <c r="DJ219" s="30"/>
      <c r="DK219" s="30"/>
      <c r="DL219" s="30"/>
      <c r="DM219" s="30"/>
      <c r="DN219" s="30"/>
      <c r="DO219" s="30"/>
      <c r="DP219" s="85"/>
      <c r="DQ219" s="85"/>
      <c r="DR219" s="85"/>
      <c r="DT219" s="81"/>
      <c r="DU219" s="30"/>
      <c r="DV219" s="30"/>
      <c r="DX219" s="30"/>
      <c r="DY219" s="30"/>
      <c r="DZ219" s="30"/>
      <c r="EA219" s="30"/>
      <c r="EB219" s="30"/>
      <c r="EC219" s="30"/>
      <c r="ED219" s="30"/>
      <c r="EE219" s="85"/>
      <c r="EF219" s="85"/>
      <c r="EG219" s="85"/>
      <c r="EI219" s="81"/>
      <c r="EJ219" s="30"/>
      <c r="EK219" s="30"/>
      <c r="EM219" s="30"/>
      <c r="EN219" s="30"/>
      <c r="EO219" s="30"/>
      <c r="EP219" s="30"/>
      <c r="EQ219" s="30"/>
      <c r="ER219" s="30"/>
      <c r="ES219" s="30"/>
      <c r="ET219" s="85"/>
      <c r="EU219" s="85"/>
      <c r="EV219" s="85"/>
    </row>
    <row r="220" spans="2:152">
      <c r="B220" s="11">
        <v>0.95</v>
      </c>
      <c r="C220" s="16"/>
      <c r="D220" s="16"/>
      <c r="E220" s="8"/>
      <c r="F220" s="27">
        <f t="shared" si="40"/>
        <v>1.4725900042346427</v>
      </c>
      <c r="G220" s="27">
        <f t="shared" si="41"/>
        <v>-1.2872640200522372</v>
      </c>
      <c r="H220" s="27">
        <f t="shared" si="42"/>
        <v>-1.5947807823268465E-2</v>
      </c>
      <c r="I220" s="27">
        <f t="shared" si="43"/>
        <v>81.717301983917153</v>
      </c>
      <c r="J220" s="27">
        <f t="shared" si="44"/>
        <v>0.51409136357584029</v>
      </c>
      <c r="K220" s="27">
        <f t="shared" si="45"/>
        <v>9.618428518593392</v>
      </c>
      <c r="L220" s="27">
        <f t="shared" si="46"/>
        <v>12.691411688691408</v>
      </c>
      <c r="M220" s="17">
        <f t="shared" si="47"/>
        <v>0.39394251794761032</v>
      </c>
      <c r="N220" s="17">
        <f t="shared" si="48"/>
        <v>0.39394251794761032</v>
      </c>
      <c r="O220" s="17">
        <f t="shared" si="49"/>
        <v>0.39394251794761032</v>
      </c>
      <c r="P220" s="17">
        <f>IF(ISERROR(O220),0,IF('R-AFC ISOTOPE'!$G$7='R-AFC ISOTOPE_CONTROL'!B220,'R-AFC ISOTOPE_CONTROL'!O220,0))</f>
        <v>0</v>
      </c>
      <c r="S220" s="81"/>
      <c r="T220" s="30"/>
      <c r="U220" s="30"/>
      <c r="W220" s="30"/>
      <c r="X220" s="30"/>
      <c r="Y220" s="30"/>
      <c r="Z220" s="30"/>
      <c r="AA220" s="30"/>
      <c r="AB220" s="30"/>
      <c r="AC220" s="30"/>
      <c r="AD220" s="85"/>
      <c r="AE220" s="85"/>
      <c r="AF220" s="85"/>
      <c r="AH220" s="81"/>
      <c r="AI220" s="30"/>
      <c r="AJ220" s="30"/>
      <c r="AL220" s="30"/>
      <c r="AM220" s="30"/>
      <c r="AN220" s="30"/>
      <c r="AO220" s="30"/>
      <c r="AP220" s="30"/>
      <c r="AQ220" s="30"/>
      <c r="AR220" s="30"/>
      <c r="AS220" s="85"/>
      <c r="AT220" s="85"/>
      <c r="AU220" s="85"/>
      <c r="AW220" s="81"/>
      <c r="AX220" s="30"/>
      <c r="AY220" s="30"/>
      <c r="BA220" s="30"/>
      <c r="BB220" s="30"/>
      <c r="BC220" s="30"/>
      <c r="BD220" s="30"/>
      <c r="BE220" s="30"/>
      <c r="BF220" s="30"/>
      <c r="BG220" s="30"/>
      <c r="BH220" s="85"/>
      <c r="BI220" s="85"/>
      <c r="BJ220" s="85"/>
      <c r="BL220" s="81"/>
      <c r="BM220" s="30"/>
      <c r="BN220" s="30"/>
      <c r="BP220" s="30"/>
      <c r="BQ220" s="30"/>
      <c r="BR220" s="30"/>
      <c r="BS220" s="30"/>
      <c r="BT220" s="30"/>
      <c r="BU220" s="30"/>
      <c r="BV220" s="30"/>
      <c r="BW220" s="85"/>
      <c r="BX220" s="85"/>
      <c r="BY220" s="85"/>
      <c r="CA220" s="81"/>
      <c r="CB220" s="30"/>
      <c r="CC220" s="30"/>
      <c r="CE220" s="30"/>
      <c r="CF220" s="30"/>
      <c r="CG220" s="30"/>
      <c r="CH220" s="30"/>
      <c r="CI220" s="30"/>
      <c r="CJ220" s="30"/>
      <c r="CK220" s="30"/>
      <c r="CL220" s="85"/>
      <c r="CM220" s="85"/>
      <c r="CN220" s="85"/>
      <c r="CP220" s="81"/>
      <c r="CQ220" s="30"/>
      <c r="CR220" s="30"/>
      <c r="CT220" s="30"/>
      <c r="CU220" s="30"/>
      <c r="CV220" s="30"/>
      <c r="CW220" s="30"/>
      <c r="CX220" s="30"/>
      <c r="CY220" s="30"/>
      <c r="CZ220" s="30"/>
      <c r="DA220" s="85"/>
      <c r="DB220" s="85"/>
      <c r="DC220" s="85"/>
      <c r="DE220" s="81"/>
      <c r="DF220" s="30"/>
      <c r="DG220" s="30"/>
      <c r="DI220" s="30"/>
      <c r="DJ220" s="30"/>
      <c r="DK220" s="30"/>
      <c r="DL220" s="30"/>
      <c r="DM220" s="30"/>
      <c r="DN220" s="30"/>
      <c r="DO220" s="30"/>
      <c r="DP220" s="85"/>
      <c r="DQ220" s="85"/>
      <c r="DR220" s="85"/>
      <c r="DT220" s="81"/>
      <c r="DU220" s="30"/>
      <c r="DV220" s="30"/>
      <c r="DX220" s="30"/>
      <c r="DY220" s="30"/>
      <c r="DZ220" s="30"/>
      <c r="EA220" s="30"/>
      <c r="EB220" s="30"/>
      <c r="EC220" s="30"/>
      <c r="ED220" s="30"/>
      <c r="EE220" s="85"/>
      <c r="EF220" s="85"/>
      <c r="EG220" s="85"/>
      <c r="EI220" s="81"/>
      <c r="EJ220" s="30"/>
      <c r="EK220" s="30"/>
      <c r="EM220" s="30"/>
      <c r="EN220" s="30"/>
      <c r="EO220" s="30"/>
      <c r="EP220" s="30"/>
      <c r="EQ220" s="30"/>
      <c r="ER220" s="30"/>
      <c r="ES220" s="30"/>
      <c r="ET220" s="85"/>
      <c r="EU220" s="85"/>
      <c r="EV220" s="85"/>
    </row>
    <row r="221" spans="2:152">
      <c r="B221" s="11">
        <v>0.96</v>
      </c>
      <c r="C221" s="16"/>
      <c r="D221" s="16"/>
      <c r="E221" s="8"/>
      <c r="F221" s="27">
        <f t="shared" si="40"/>
        <v>1.4653762317391952</v>
      </c>
      <c r="G221" s="27">
        <f t="shared" si="41"/>
        <v>-1.2975221024109189</v>
      </c>
      <c r="H221" s="27">
        <f t="shared" si="42"/>
        <v>-1.611567948456603E-2</v>
      </c>
      <c r="I221" s="27">
        <f t="shared" si="43"/>
        <v>81.513024824895183</v>
      </c>
      <c r="J221" s="27">
        <f t="shared" si="44"/>
        <v>0.51793290955179871</v>
      </c>
      <c r="K221" s="27">
        <f t="shared" si="45"/>
        <v>9.7698380754958265</v>
      </c>
      <c r="L221" s="27">
        <f t="shared" si="46"/>
        <v>12.85111227203299</v>
      </c>
      <c r="M221" s="17">
        <f t="shared" si="47"/>
        <v>0.39444156914065204</v>
      </c>
      <c r="N221" s="17">
        <f t="shared" si="48"/>
        <v>0.39444156914065204</v>
      </c>
      <c r="O221" s="17">
        <f t="shared" si="49"/>
        <v>0.39444156914065204</v>
      </c>
      <c r="P221" s="17">
        <f>IF(ISERROR(O221),0,IF('R-AFC ISOTOPE'!$G$7='R-AFC ISOTOPE_CONTROL'!B221,'R-AFC ISOTOPE_CONTROL'!O221,0))</f>
        <v>0</v>
      </c>
      <c r="S221" s="81"/>
      <c r="T221" s="30"/>
      <c r="U221" s="30"/>
      <c r="W221" s="30"/>
      <c r="X221" s="30"/>
      <c r="Y221" s="30"/>
      <c r="Z221" s="30"/>
      <c r="AA221" s="30"/>
      <c r="AB221" s="30"/>
      <c r="AC221" s="30"/>
      <c r="AD221" s="85"/>
      <c r="AE221" s="85"/>
      <c r="AF221" s="85"/>
      <c r="AH221" s="81"/>
      <c r="AI221" s="30"/>
      <c r="AJ221" s="30"/>
      <c r="AL221" s="30"/>
      <c r="AM221" s="30"/>
      <c r="AN221" s="30"/>
      <c r="AO221" s="30"/>
      <c r="AP221" s="30"/>
      <c r="AQ221" s="30"/>
      <c r="AR221" s="30"/>
      <c r="AS221" s="85"/>
      <c r="AT221" s="85"/>
      <c r="AU221" s="85"/>
      <c r="AW221" s="81"/>
      <c r="AX221" s="30"/>
      <c r="AY221" s="30"/>
      <c r="BA221" s="30"/>
      <c r="BB221" s="30"/>
      <c r="BC221" s="30"/>
      <c r="BD221" s="30"/>
      <c r="BE221" s="30"/>
      <c r="BF221" s="30"/>
      <c r="BG221" s="30"/>
      <c r="BH221" s="85"/>
      <c r="BI221" s="85"/>
      <c r="BJ221" s="85"/>
      <c r="BL221" s="81"/>
      <c r="BM221" s="30"/>
      <c r="BN221" s="30"/>
      <c r="BP221" s="30"/>
      <c r="BQ221" s="30"/>
      <c r="BR221" s="30"/>
      <c r="BS221" s="30"/>
      <c r="BT221" s="30"/>
      <c r="BU221" s="30"/>
      <c r="BV221" s="30"/>
      <c r="BW221" s="85"/>
      <c r="BX221" s="85"/>
      <c r="BY221" s="85"/>
      <c r="CA221" s="81"/>
      <c r="CB221" s="30"/>
      <c r="CC221" s="30"/>
      <c r="CE221" s="30"/>
      <c r="CF221" s="30"/>
      <c r="CG221" s="30"/>
      <c r="CH221" s="30"/>
      <c r="CI221" s="30"/>
      <c r="CJ221" s="30"/>
      <c r="CK221" s="30"/>
      <c r="CL221" s="85"/>
      <c r="CM221" s="85"/>
      <c r="CN221" s="85"/>
      <c r="CP221" s="81"/>
      <c r="CQ221" s="30"/>
      <c r="CR221" s="30"/>
      <c r="CT221" s="30"/>
      <c r="CU221" s="30"/>
      <c r="CV221" s="30"/>
      <c r="CW221" s="30"/>
      <c r="CX221" s="30"/>
      <c r="CY221" s="30"/>
      <c r="CZ221" s="30"/>
      <c r="DA221" s="85"/>
      <c r="DB221" s="85"/>
      <c r="DC221" s="85"/>
      <c r="DE221" s="81"/>
      <c r="DF221" s="30"/>
      <c r="DG221" s="30"/>
      <c r="DI221" s="30"/>
      <c r="DJ221" s="30"/>
      <c r="DK221" s="30"/>
      <c r="DL221" s="30"/>
      <c r="DM221" s="30"/>
      <c r="DN221" s="30"/>
      <c r="DO221" s="30"/>
      <c r="DP221" s="85"/>
      <c r="DQ221" s="85"/>
      <c r="DR221" s="85"/>
      <c r="DT221" s="81"/>
      <c r="DU221" s="30"/>
      <c r="DV221" s="30"/>
      <c r="DX221" s="30"/>
      <c r="DY221" s="30"/>
      <c r="DZ221" s="30"/>
      <c r="EA221" s="30"/>
      <c r="EB221" s="30"/>
      <c r="EC221" s="30"/>
      <c r="ED221" s="30"/>
      <c r="EE221" s="85"/>
      <c r="EF221" s="85"/>
      <c r="EG221" s="85"/>
      <c r="EI221" s="81"/>
      <c r="EJ221" s="30"/>
      <c r="EK221" s="30"/>
      <c r="EM221" s="30"/>
      <c r="EN221" s="30"/>
      <c r="EO221" s="30"/>
      <c r="EP221" s="30"/>
      <c r="EQ221" s="30"/>
      <c r="ER221" s="30"/>
      <c r="ES221" s="30"/>
      <c r="ET221" s="85"/>
      <c r="EU221" s="85"/>
      <c r="EV221" s="85"/>
    </row>
    <row r="222" spans="2:152">
      <c r="B222" s="11">
        <v>0.97</v>
      </c>
      <c r="C222" s="16"/>
      <c r="D222" s="16"/>
      <c r="E222" s="8"/>
      <c r="F222" s="27">
        <f t="shared" si="40"/>
        <v>1.4583793750586698</v>
      </c>
      <c r="G222" s="27">
        <f t="shared" si="41"/>
        <v>-1.3077801847696005</v>
      </c>
      <c r="H222" s="27">
        <f t="shared" si="42"/>
        <v>-1.6283551145863592E-2</v>
      </c>
      <c r="I222" s="27">
        <f t="shared" si="43"/>
        <v>81.312959566059249</v>
      </c>
      <c r="J222" s="27">
        <f t="shared" si="44"/>
        <v>0.52171419020876086</v>
      </c>
      <c r="K222" s="27">
        <f t="shared" si="45"/>
        <v>9.9210458511335027</v>
      </c>
      <c r="L222" s="27">
        <f t="shared" si="46"/>
        <v>13.010269273245816</v>
      </c>
      <c r="M222" s="17">
        <f t="shared" si="47"/>
        <v>0.39492794610793519</v>
      </c>
      <c r="N222" s="17">
        <f t="shared" si="48"/>
        <v>0.39492794610793519</v>
      </c>
      <c r="O222" s="17">
        <f t="shared" si="49"/>
        <v>0.39492794610793519</v>
      </c>
      <c r="P222" s="17">
        <f>IF(ISERROR(O222),0,IF('R-AFC ISOTOPE'!$G$7='R-AFC ISOTOPE_CONTROL'!B222,'R-AFC ISOTOPE_CONTROL'!O222,0))</f>
        <v>0</v>
      </c>
      <c r="S222" s="81"/>
      <c r="T222" s="30"/>
      <c r="U222" s="30"/>
      <c r="W222" s="30"/>
      <c r="X222" s="30"/>
      <c r="Y222" s="30"/>
      <c r="Z222" s="30"/>
      <c r="AA222" s="30"/>
      <c r="AB222" s="30"/>
      <c r="AC222" s="30"/>
      <c r="AD222" s="85"/>
      <c r="AE222" s="85"/>
      <c r="AF222" s="85"/>
      <c r="AH222" s="81"/>
      <c r="AI222" s="30"/>
      <c r="AJ222" s="30"/>
      <c r="AL222" s="30"/>
      <c r="AM222" s="30"/>
      <c r="AN222" s="30"/>
      <c r="AO222" s="30"/>
      <c r="AP222" s="30"/>
      <c r="AQ222" s="30"/>
      <c r="AR222" s="30"/>
      <c r="AS222" s="85"/>
      <c r="AT222" s="85"/>
      <c r="AU222" s="85"/>
      <c r="AW222" s="81"/>
      <c r="AX222" s="30"/>
      <c r="AY222" s="30"/>
      <c r="BA222" s="30"/>
      <c r="BB222" s="30"/>
      <c r="BC222" s="30"/>
      <c r="BD222" s="30"/>
      <c r="BE222" s="30"/>
      <c r="BF222" s="30"/>
      <c r="BG222" s="30"/>
      <c r="BH222" s="85"/>
      <c r="BI222" s="85"/>
      <c r="BJ222" s="85"/>
      <c r="BL222" s="81"/>
      <c r="BM222" s="30"/>
      <c r="BN222" s="30"/>
      <c r="BP222" s="30"/>
      <c r="BQ222" s="30"/>
      <c r="BR222" s="30"/>
      <c r="BS222" s="30"/>
      <c r="BT222" s="30"/>
      <c r="BU222" s="30"/>
      <c r="BV222" s="30"/>
      <c r="BW222" s="85"/>
      <c r="BX222" s="85"/>
      <c r="BY222" s="85"/>
      <c r="CA222" s="81"/>
      <c r="CB222" s="30"/>
      <c r="CC222" s="30"/>
      <c r="CE222" s="30"/>
      <c r="CF222" s="30"/>
      <c r="CG222" s="30"/>
      <c r="CH222" s="30"/>
      <c r="CI222" s="30"/>
      <c r="CJ222" s="30"/>
      <c r="CK222" s="30"/>
      <c r="CL222" s="85"/>
      <c r="CM222" s="85"/>
      <c r="CN222" s="85"/>
      <c r="CP222" s="81"/>
      <c r="CQ222" s="30"/>
      <c r="CR222" s="30"/>
      <c r="CT222" s="30"/>
      <c r="CU222" s="30"/>
      <c r="CV222" s="30"/>
      <c r="CW222" s="30"/>
      <c r="CX222" s="30"/>
      <c r="CY222" s="30"/>
      <c r="CZ222" s="30"/>
      <c r="DA222" s="85"/>
      <c r="DB222" s="85"/>
      <c r="DC222" s="85"/>
      <c r="DE222" s="81"/>
      <c r="DF222" s="30"/>
      <c r="DG222" s="30"/>
      <c r="DI222" s="30"/>
      <c r="DJ222" s="30"/>
      <c r="DK222" s="30"/>
      <c r="DL222" s="30"/>
      <c r="DM222" s="30"/>
      <c r="DN222" s="30"/>
      <c r="DO222" s="30"/>
      <c r="DP222" s="85"/>
      <c r="DQ222" s="85"/>
      <c r="DR222" s="85"/>
      <c r="DT222" s="81"/>
      <c r="DU222" s="30"/>
      <c r="DV222" s="30"/>
      <c r="DX222" s="30"/>
      <c r="DY222" s="30"/>
      <c r="DZ222" s="30"/>
      <c r="EA222" s="30"/>
      <c r="EB222" s="30"/>
      <c r="EC222" s="30"/>
      <c r="ED222" s="30"/>
      <c r="EE222" s="85"/>
      <c r="EF222" s="85"/>
      <c r="EG222" s="85"/>
      <c r="EI222" s="81"/>
      <c r="EJ222" s="30"/>
      <c r="EK222" s="30"/>
      <c r="EM222" s="30"/>
      <c r="EN222" s="30"/>
      <c r="EO222" s="30"/>
      <c r="EP222" s="30"/>
      <c r="EQ222" s="30"/>
      <c r="ER222" s="30"/>
      <c r="ES222" s="30"/>
      <c r="ET222" s="85"/>
      <c r="EU222" s="85"/>
      <c r="EV222" s="85"/>
    </row>
    <row r="223" spans="2:152">
      <c r="B223" s="11">
        <v>0.98</v>
      </c>
      <c r="C223" s="16"/>
      <c r="D223" s="16"/>
      <c r="E223" s="8"/>
      <c r="F223" s="27">
        <f t="shared" si="40"/>
        <v>1.4515897952303105</v>
      </c>
      <c r="G223" s="27">
        <f t="shared" si="41"/>
        <v>-1.3180382671282822</v>
      </c>
      <c r="H223" s="27">
        <f t="shared" si="42"/>
        <v>-1.6451422807161154E-2</v>
      </c>
      <c r="I223" s="27">
        <f t="shared" si="43"/>
        <v>81.116977271689365</v>
      </c>
      <c r="J223" s="27">
        <f t="shared" si="44"/>
        <v>0.52543661265292629</v>
      </c>
      <c r="K223" s="27">
        <f t="shared" si="45"/>
        <v>10.072034755754233</v>
      </c>
      <c r="L223" s="27">
        <f t="shared" si="46"/>
        <v>13.168873073427546</v>
      </c>
      <c r="M223" s="17">
        <f t="shared" si="47"/>
        <v>0.39540208898345014</v>
      </c>
      <c r="N223" s="17">
        <f t="shared" si="48"/>
        <v>0.39540208898345014</v>
      </c>
      <c r="O223" s="17">
        <f t="shared" si="49"/>
        <v>0.39540208898345014</v>
      </c>
      <c r="P223" s="17">
        <f>IF(ISERROR(O223),0,IF('R-AFC ISOTOPE'!$G$7='R-AFC ISOTOPE_CONTROL'!B223,'R-AFC ISOTOPE_CONTROL'!O223,0))</f>
        <v>0</v>
      </c>
      <c r="S223" s="81"/>
      <c r="T223" s="30"/>
      <c r="U223" s="30"/>
      <c r="W223" s="30"/>
      <c r="X223" s="30"/>
      <c r="Y223" s="30"/>
      <c r="Z223" s="30"/>
      <c r="AA223" s="30"/>
      <c r="AB223" s="30"/>
      <c r="AC223" s="30"/>
      <c r="AD223" s="85"/>
      <c r="AE223" s="85"/>
      <c r="AF223" s="85"/>
      <c r="AH223" s="81"/>
      <c r="AI223" s="30"/>
      <c r="AJ223" s="30"/>
      <c r="AL223" s="30"/>
      <c r="AM223" s="30"/>
      <c r="AN223" s="30"/>
      <c r="AO223" s="30"/>
      <c r="AP223" s="30"/>
      <c r="AQ223" s="30"/>
      <c r="AR223" s="30"/>
      <c r="AS223" s="85"/>
      <c r="AT223" s="85"/>
      <c r="AU223" s="85"/>
      <c r="AW223" s="81"/>
      <c r="AX223" s="30"/>
      <c r="AY223" s="30"/>
      <c r="BA223" s="30"/>
      <c r="BB223" s="30"/>
      <c r="BC223" s="30"/>
      <c r="BD223" s="30"/>
      <c r="BE223" s="30"/>
      <c r="BF223" s="30"/>
      <c r="BG223" s="30"/>
      <c r="BH223" s="85"/>
      <c r="BI223" s="85"/>
      <c r="BJ223" s="85"/>
      <c r="BL223" s="81"/>
      <c r="BM223" s="30"/>
      <c r="BN223" s="30"/>
      <c r="BP223" s="30"/>
      <c r="BQ223" s="30"/>
      <c r="BR223" s="30"/>
      <c r="BS223" s="30"/>
      <c r="BT223" s="30"/>
      <c r="BU223" s="30"/>
      <c r="BV223" s="30"/>
      <c r="BW223" s="85"/>
      <c r="BX223" s="85"/>
      <c r="BY223" s="85"/>
      <c r="CA223" s="81"/>
      <c r="CB223" s="30"/>
      <c r="CC223" s="30"/>
      <c r="CE223" s="30"/>
      <c r="CF223" s="30"/>
      <c r="CG223" s="30"/>
      <c r="CH223" s="30"/>
      <c r="CI223" s="30"/>
      <c r="CJ223" s="30"/>
      <c r="CK223" s="30"/>
      <c r="CL223" s="85"/>
      <c r="CM223" s="85"/>
      <c r="CN223" s="85"/>
      <c r="CP223" s="81"/>
      <c r="CQ223" s="30"/>
      <c r="CR223" s="30"/>
      <c r="CT223" s="30"/>
      <c r="CU223" s="30"/>
      <c r="CV223" s="30"/>
      <c r="CW223" s="30"/>
      <c r="CX223" s="30"/>
      <c r="CY223" s="30"/>
      <c r="CZ223" s="30"/>
      <c r="DA223" s="85"/>
      <c r="DB223" s="85"/>
      <c r="DC223" s="85"/>
      <c r="DE223" s="81"/>
      <c r="DF223" s="30"/>
      <c r="DG223" s="30"/>
      <c r="DI223" s="30"/>
      <c r="DJ223" s="30"/>
      <c r="DK223" s="30"/>
      <c r="DL223" s="30"/>
      <c r="DM223" s="30"/>
      <c r="DN223" s="30"/>
      <c r="DO223" s="30"/>
      <c r="DP223" s="85"/>
      <c r="DQ223" s="85"/>
      <c r="DR223" s="85"/>
      <c r="DT223" s="81"/>
      <c r="DU223" s="30"/>
      <c r="DV223" s="30"/>
      <c r="DX223" s="30"/>
      <c r="DY223" s="30"/>
      <c r="DZ223" s="30"/>
      <c r="EA223" s="30"/>
      <c r="EB223" s="30"/>
      <c r="EC223" s="30"/>
      <c r="ED223" s="30"/>
      <c r="EE223" s="85"/>
      <c r="EF223" s="85"/>
      <c r="EG223" s="85"/>
      <c r="EI223" s="81"/>
      <c r="EJ223" s="30"/>
      <c r="EK223" s="30"/>
      <c r="EM223" s="30"/>
      <c r="EN223" s="30"/>
      <c r="EO223" s="30"/>
      <c r="EP223" s="30"/>
      <c r="EQ223" s="30"/>
      <c r="ER223" s="30"/>
      <c r="ES223" s="30"/>
      <c r="ET223" s="85"/>
      <c r="EU223" s="85"/>
      <c r="EV223" s="85"/>
    </row>
    <row r="224" spans="2:152">
      <c r="B224" s="11">
        <v>0.99</v>
      </c>
      <c r="C224" s="16"/>
      <c r="D224" s="16"/>
      <c r="E224" s="8"/>
      <c r="F224" s="27">
        <f t="shared" si="40"/>
        <v>1.4449984160503881</v>
      </c>
      <c r="G224" s="27">
        <f t="shared" si="41"/>
        <v>-1.328296349486964</v>
      </c>
      <c r="H224" s="27">
        <f t="shared" si="42"/>
        <v>-1.6619294468458719E-2</v>
      </c>
      <c r="I224" s="27">
        <f t="shared" si="43"/>
        <v>80.924954215589551</v>
      </c>
      <c r="J224" s="27">
        <f t="shared" si="44"/>
        <v>0.52910154052365443</v>
      </c>
      <c r="K224" s="27">
        <f t="shared" si="45"/>
        <v>10.222788371626967</v>
      </c>
      <c r="L224" s="27">
        <f t="shared" si="46"/>
        <v>13.326914588568906</v>
      </c>
      <c r="M224" s="17">
        <f t="shared" si="47"/>
        <v>0.39586441900728087</v>
      </c>
      <c r="N224" s="17">
        <f t="shared" si="48"/>
        <v>0.39586441900728087</v>
      </c>
      <c r="O224" s="17">
        <f t="shared" si="49"/>
        <v>0.39586441900728087</v>
      </c>
      <c r="P224" s="17">
        <f>IF(ISERROR(O224),0,IF('R-AFC ISOTOPE'!$G$7='R-AFC ISOTOPE_CONTROL'!B224,'R-AFC ISOTOPE_CONTROL'!O224,0))</f>
        <v>0</v>
      </c>
      <c r="S224" s="81"/>
      <c r="T224" s="30"/>
      <c r="U224" s="30"/>
      <c r="W224" s="30"/>
      <c r="X224" s="30"/>
      <c r="Y224" s="30"/>
      <c r="Z224" s="30"/>
      <c r="AA224" s="30"/>
      <c r="AB224" s="30"/>
      <c r="AC224" s="30"/>
      <c r="AD224" s="85"/>
      <c r="AE224" s="85"/>
      <c r="AF224" s="85"/>
      <c r="AH224" s="81"/>
      <c r="AI224" s="30"/>
      <c r="AJ224" s="30"/>
      <c r="AL224" s="30"/>
      <c r="AM224" s="30"/>
      <c r="AN224" s="30"/>
      <c r="AO224" s="30"/>
      <c r="AP224" s="30"/>
      <c r="AQ224" s="30"/>
      <c r="AR224" s="30"/>
      <c r="AS224" s="85"/>
      <c r="AT224" s="85"/>
      <c r="AU224" s="85"/>
      <c r="AW224" s="81"/>
      <c r="AX224" s="30"/>
      <c r="AY224" s="30"/>
      <c r="BA224" s="30"/>
      <c r="BB224" s="30"/>
      <c r="BC224" s="30"/>
      <c r="BD224" s="30"/>
      <c r="BE224" s="30"/>
      <c r="BF224" s="30"/>
      <c r="BG224" s="30"/>
      <c r="BH224" s="85"/>
      <c r="BI224" s="85"/>
      <c r="BJ224" s="85"/>
      <c r="BL224" s="81"/>
      <c r="BM224" s="30"/>
      <c r="BN224" s="30"/>
      <c r="BP224" s="30"/>
      <c r="BQ224" s="30"/>
      <c r="BR224" s="30"/>
      <c r="BS224" s="30"/>
      <c r="BT224" s="30"/>
      <c r="BU224" s="30"/>
      <c r="BV224" s="30"/>
      <c r="BW224" s="85"/>
      <c r="BX224" s="85"/>
      <c r="BY224" s="85"/>
      <c r="CA224" s="81"/>
      <c r="CB224" s="30"/>
      <c r="CC224" s="30"/>
      <c r="CE224" s="30"/>
      <c r="CF224" s="30"/>
      <c r="CG224" s="30"/>
      <c r="CH224" s="30"/>
      <c r="CI224" s="30"/>
      <c r="CJ224" s="30"/>
      <c r="CK224" s="30"/>
      <c r="CL224" s="85"/>
      <c r="CM224" s="85"/>
      <c r="CN224" s="85"/>
      <c r="CP224" s="81"/>
      <c r="CQ224" s="30"/>
      <c r="CR224" s="30"/>
      <c r="CT224" s="30"/>
      <c r="CU224" s="30"/>
      <c r="CV224" s="30"/>
      <c r="CW224" s="30"/>
      <c r="CX224" s="30"/>
      <c r="CY224" s="30"/>
      <c r="CZ224" s="30"/>
      <c r="DA224" s="85"/>
      <c r="DB224" s="85"/>
      <c r="DC224" s="85"/>
      <c r="DE224" s="81"/>
      <c r="DF224" s="30"/>
      <c r="DG224" s="30"/>
      <c r="DI224" s="30"/>
      <c r="DJ224" s="30"/>
      <c r="DK224" s="30"/>
      <c r="DL224" s="30"/>
      <c r="DM224" s="30"/>
      <c r="DN224" s="30"/>
      <c r="DO224" s="30"/>
      <c r="DP224" s="85"/>
      <c r="DQ224" s="85"/>
      <c r="DR224" s="85"/>
      <c r="DT224" s="81"/>
      <c r="DU224" s="30"/>
      <c r="DV224" s="30"/>
      <c r="DX224" s="30"/>
      <c r="DY224" s="30"/>
      <c r="DZ224" s="30"/>
      <c r="EA224" s="30"/>
      <c r="EB224" s="30"/>
      <c r="EC224" s="30"/>
      <c r="ED224" s="30"/>
      <c r="EE224" s="85"/>
      <c r="EF224" s="85"/>
      <c r="EG224" s="85"/>
      <c r="EI224" s="81"/>
      <c r="EJ224" s="30"/>
      <c r="EK224" s="30"/>
      <c r="EM224" s="30"/>
      <c r="EN224" s="30"/>
      <c r="EO224" s="30"/>
      <c r="EP224" s="30"/>
      <c r="EQ224" s="30"/>
      <c r="ER224" s="30"/>
      <c r="ES224" s="30"/>
      <c r="ET224" s="85"/>
      <c r="EU224" s="85"/>
      <c r="EV224" s="85"/>
    </row>
    <row r="225" spans="2:152">
      <c r="B225" s="11">
        <v>1</v>
      </c>
      <c r="C225" s="18"/>
      <c r="D225" s="18"/>
      <c r="E225" s="10"/>
      <c r="F225" s="27">
        <f t="shared" si="40"/>
        <v>1.4385966835950368</v>
      </c>
      <c r="G225" s="27">
        <f t="shared" si="41"/>
        <v>-1.3385544318456455</v>
      </c>
      <c r="H225" s="27">
        <f t="shared" si="42"/>
        <v>-1.6787166129756281E-2</v>
      </c>
      <c r="I225" s="27">
        <f t="shared" si="43"/>
        <v>80.736771620611748</v>
      </c>
      <c r="J225" s="27">
        <f t="shared" si="44"/>
        <v>0.53271029565901662</v>
      </c>
      <c r="K225" s="27">
        <f t="shared" si="45"/>
        <v>10.373290932519049</v>
      </c>
      <c r="L225" s="27">
        <f t="shared" si="46"/>
        <v>13.484385249893334</v>
      </c>
      <c r="M225" s="17">
        <f t="shared" si="47"/>
        <v>0.39631533947307751</v>
      </c>
      <c r="N225" s="17">
        <f t="shared" si="48"/>
        <v>0.39631533947307751</v>
      </c>
      <c r="O225" s="17">
        <f t="shared" si="49"/>
        <v>0.39631533947307751</v>
      </c>
      <c r="P225" s="17">
        <f>IF(ISERROR(O225),0,IF('R-AFC ISOTOPE'!$G$7='R-AFC ISOTOPE_CONTROL'!B225,'R-AFC ISOTOPE_CONTROL'!O225,0))</f>
        <v>0</v>
      </c>
      <c r="S225" s="81"/>
      <c r="T225" s="30"/>
      <c r="U225" s="30"/>
      <c r="W225" s="30"/>
      <c r="X225" s="30"/>
      <c r="Y225" s="30"/>
      <c r="Z225" s="30"/>
      <c r="AA225" s="30"/>
      <c r="AB225" s="30"/>
      <c r="AC225" s="30"/>
      <c r="AD225" s="85"/>
      <c r="AE225" s="85"/>
      <c r="AF225" s="85"/>
      <c r="AH225" s="81"/>
      <c r="AI225" s="30"/>
      <c r="AJ225" s="30"/>
      <c r="AL225" s="30"/>
      <c r="AM225" s="30"/>
      <c r="AN225" s="30"/>
      <c r="AO225" s="30"/>
      <c r="AP225" s="30"/>
      <c r="AQ225" s="30"/>
      <c r="AR225" s="30"/>
      <c r="AS225" s="85"/>
      <c r="AT225" s="85"/>
      <c r="AU225" s="85"/>
      <c r="AW225" s="81"/>
      <c r="AX225" s="30"/>
      <c r="AY225" s="30"/>
      <c r="BA225" s="30"/>
      <c r="BB225" s="30"/>
      <c r="BC225" s="30"/>
      <c r="BD225" s="30"/>
      <c r="BE225" s="30"/>
      <c r="BF225" s="30"/>
      <c r="BG225" s="30"/>
      <c r="BH225" s="85"/>
      <c r="BI225" s="85"/>
      <c r="BJ225" s="85"/>
      <c r="BL225" s="81"/>
      <c r="BM225" s="30"/>
      <c r="BN225" s="30"/>
      <c r="BP225" s="30"/>
      <c r="BQ225" s="30"/>
      <c r="BR225" s="30"/>
      <c r="BS225" s="30"/>
      <c r="BT225" s="30"/>
      <c r="BU225" s="30"/>
      <c r="BV225" s="30"/>
      <c r="BW225" s="85"/>
      <c r="BX225" s="85"/>
      <c r="BY225" s="85"/>
      <c r="CA225" s="81"/>
      <c r="CB225" s="30"/>
      <c r="CC225" s="30"/>
      <c r="CE225" s="30"/>
      <c r="CF225" s="30"/>
      <c r="CG225" s="30"/>
      <c r="CH225" s="30"/>
      <c r="CI225" s="30"/>
      <c r="CJ225" s="30"/>
      <c r="CK225" s="30"/>
      <c r="CL225" s="85"/>
      <c r="CM225" s="85"/>
      <c r="CN225" s="85"/>
      <c r="CP225" s="81"/>
      <c r="CQ225" s="30"/>
      <c r="CR225" s="30"/>
      <c r="CT225" s="30"/>
      <c r="CU225" s="30"/>
      <c r="CV225" s="30"/>
      <c r="CW225" s="30"/>
      <c r="CX225" s="30"/>
      <c r="CY225" s="30"/>
      <c r="CZ225" s="30"/>
      <c r="DA225" s="85"/>
      <c r="DB225" s="85"/>
      <c r="DC225" s="85"/>
      <c r="DE225" s="81"/>
      <c r="DF225" s="30"/>
      <c r="DG225" s="30"/>
      <c r="DI225" s="30"/>
      <c r="DJ225" s="30"/>
      <c r="DK225" s="30"/>
      <c r="DL225" s="30"/>
      <c r="DM225" s="30"/>
      <c r="DN225" s="30"/>
      <c r="DO225" s="30"/>
      <c r="DP225" s="85"/>
      <c r="DQ225" s="85"/>
      <c r="DR225" s="85"/>
      <c r="DT225" s="81"/>
      <c r="DU225" s="30"/>
      <c r="DV225" s="30"/>
      <c r="DX225" s="30"/>
      <c r="DY225" s="30"/>
      <c r="DZ225" s="30"/>
      <c r="EA225" s="30"/>
      <c r="EB225" s="30"/>
      <c r="EC225" s="30"/>
      <c r="ED225" s="30"/>
      <c r="EE225" s="85"/>
      <c r="EF225" s="85"/>
      <c r="EG225" s="85"/>
      <c r="EI225" s="81"/>
      <c r="EJ225" s="30"/>
      <c r="EK225" s="30"/>
      <c r="EM225" s="30"/>
      <c r="EN225" s="30"/>
      <c r="EO225" s="30"/>
      <c r="EP225" s="30"/>
      <c r="EQ225" s="30"/>
      <c r="ER225" s="30"/>
      <c r="ES225" s="30"/>
      <c r="ET225" s="85"/>
      <c r="EU225" s="85"/>
      <c r="EV225" s="85"/>
    </row>
  </sheetData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R-AFC TRACE</vt:lpstr>
      <vt:lpstr>R-AFC ISOTOPE</vt:lpstr>
      <vt:lpstr>Element Concentration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MESUT</dc:creator>
  <cp:lastModifiedBy>Mesut Gündüz</cp:lastModifiedBy>
  <dcterms:created xsi:type="dcterms:W3CDTF">2023-02-20T19:47:29Z</dcterms:created>
  <dcterms:modified xsi:type="dcterms:W3CDTF">2025-10-26T20:42:25Z</dcterms:modified>
</cp:coreProperties>
</file>